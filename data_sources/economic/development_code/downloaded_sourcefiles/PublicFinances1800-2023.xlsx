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VScode\Politcal_analysis\PoliticalAnalysis_PG_2025\DataSources\"/>
    </mc:Choice>
  </mc:AlternateContent>
  <xr:revisionPtr revIDLastSave="0" documentId="13_ncr:1_{5E575889-D9FC-42A7-9EE2-6CD75096ED28}" xr6:coauthVersionLast="47" xr6:coauthVersionMax="47" xr10:uidLastSave="{00000000-0000-0000-0000-000000000000}"/>
  <bookViews>
    <workbookView xWindow="-120" yWindow="-120" windowWidth="29040" windowHeight="15840" tabRatio="239" xr2:uid="{E29A5826-129E-4EDF-8FCF-49FA90B44751}"/>
  </bookViews>
  <sheets>
    <sheet name="Sheet1" sheetId="2" r:id="rId1"/>
    <sheet name="PublicFinances1800-2023" sheetId="1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2" l="1"/>
  <c r="B16" i="2"/>
  <c r="BX224" i="1"/>
  <c r="BW224" i="1"/>
  <c r="BV224" i="1"/>
  <c r="BU224" i="1"/>
  <c r="BX223" i="1"/>
  <c r="BW223" i="1"/>
  <c r="BV223" i="1"/>
  <c r="BU223" i="1"/>
  <c r="BX222" i="1"/>
  <c r="BW222" i="1"/>
  <c r="BV222" i="1"/>
  <c r="BU222" i="1"/>
  <c r="BX221" i="1"/>
  <c r="BW221" i="1"/>
  <c r="BV221" i="1"/>
  <c r="BU221" i="1"/>
  <c r="BX220" i="1"/>
  <c r="BW220" i="1"/>
  <c r="BV220" i="1"/>
  <c r="BU220" i="1"/>
  <c r="BX219" i="1"/>
  <c r="BW219" i="1"/>
  <c r="BV219" i="1"/>
  <c r="BU219" i="1"/>
  <c r="BX218" i="1"/>
  <c r="BW218" i="1"/>
  <c r="BV218" i="1"/>
  <c r="BU218" i="1"/>
  <c r="BX217" i="1"/>
  <c r="BW217" i="1"/>
  <c r="BV217" i="1"/>
  <c r="BU217" i="1"/>
  <c r="BX216" i="1"/>
  <c r="BW216" i="1"/>
  <c r="BV216" i="1"/>
  <c r="BU216" i="1"/>
  <c r="BX215" i="1"/>
  <c r="BW215" i="1"/>
  <c r="BV215" i="1"/>
  <c r="BU215" i="1"/>
  <c r="BX214" i="1"/>
  <c r="BW214" i="1"/>
  <c r="BV214" i="1"/>
  <c r="BU214" i="1"/>
  <c r="BX213" i="1"/>
  <c r="BW213" i="1"/>
  <c r="BV213" i="1"/>
  <c r="BU213" i="1"/>
  <c r="BX212" i="1"/>
  <c r="BW212" i="1"/>
  <c r="BV212" i="1"/>
  <c r="BU212" i="1"/>
  <c r="BX211" i="1"/>
  <c r="BW211" i="1"/>
  <c r="BV211" i="1"/>
  <c r="BU211" i="1"/>
  <c r="BX210" i="1"/>
  <c r="BW210" i="1"/>
  <c r="BV210" i="1"/>
  <c r="BU210" i="1"/>
  <c r="BX209" i="1"/>
  <c r="BW209" i="1"/>
  <c r="BV209" i="1"/>
  <c r="BU209" i="1"/>
  <c r="BX208" i="1"/>
  <c r="BW208" i="1"/>
  <c r="BV208" i="1"/>
  <c r="BU208" i="1"/>
  <c r="BX207" i="1"/>
  <c r="BW207" i="1"/>
  <c r="BV207" i="1"/>
  <c r="BU207" i="1"/>
  <c r="BX206" i="1"/>
  <c r="BW206" i="1"/>
  <c r="BV206" i="1"/>
  <c r="BU206" i="1"/>
  <c r="BX205" i="1"/>
  <c r="BW205" i="1"/>
  <c r="BV205" i="1"/>
  <c r="BU205" i="1"/>
  <c r="BX204" i="1"/>
  <c r="BW204" i="1"/>
  <c r="BV204" i="1"/>
  <c r="BU204" i="1"/>
  <c r="BX203" i="1"/>
  <c r="BW203" i="1"/>
  <c r="BV203" i="1"/>
  <c r="BU203" i="1"/>
  <c r="BX202" i="1"/>
  <c r="BW202" i="1"/>
  <c r="BV202" i="1"/>
  <c r="BU202" i="1"/>
  <c r="BX201" i="1"/>
  <c r="BW201" i="1"/>
  <c r="BV201" i="1"/>
  <c r="BU201" i="1"/>
  <c r="BX200" i="1"/>
  <c r="BW200" i="1"/>
  <c r="BV200" i="1"/>
  <c r="BU200" i="1"/>
  <c r="BX199" i="1"/>
  <c r="BW199" i="1"/>
  <c r="BV199" i="1"/>
  <c r="BU199" i="1"/>
  <c r="BX198" i="1"/>
  <c r="BW198" i="1"/>
  <c r="BV198" i="1"/>
  <c r="BU198" i="1"/>
  <c r="BX197" i="1"/>
  <c r="BW197" i="1"/>
  <c r="BV197" i="1"/>
  <c r="BU197" i="1"/>
  <c r="BX196" i="1"/>
  <c r="BW196" i="1"/>
  <c r="BV196" i="1"/>
  <c r="BU196" i="1"/>
  <c r="BX195" i="1"/>
  <c r="BW195" i="1"/>
  <c r="BV195" i="1"/>
  <c r="BU195" i="1"/>
  <c r="BX194" i="1"/>
  <c r="BW194" i="1"/>
  <c r="BV194" i="1"/>
  <c r="BU194" i="1"/>
  <c r="BX193" i="1"/>
  <c r="BW193" i="1"/>
  <c r="BV193" i="1"/>
  <c r="BU193" i="1"/>
  <c r="BX192" i="1"/>
  <c r="BW192" i="1"/>
  <c r="BV192" i="1"/>
  <c r="BU192" i="1"/>
  <c r="BX191" i="1"/>
  <c r="BW191" i="1"/>
  <c r="BV191" i="1"/>
  <c r="BU191" i="1"/>
  <c r="BX190" i="1"/>
  <c r="BW190" i="1"/>
  <c r="BV190" i="1"/>
  <c r="BU190" i="1"/>
  <c r="BX189" i="1"/>
  <c r="BW189" i="1"/>
  <c r="BV189" i="1"/>
  <c r="BU189" i="1"/>
  <c r="BX188" i="1"/>
  <c r="BW188" i="1"/>
  <c r="BV188" i="1"/>
  <c r="BU188" i="1"/>
  <c r="BX187" i="1"/>
  <c r="BW187" i="1"/>
  <c r="BV187" i="1"/>
  <c r="BU187" i="1"/>
  <c r="BX186" i="1"/>
  <c r="BW186" i="1"/>
  <c r="BV186" i="1"/>
  <c r="BU186" i="1"/>
  <c r="BX185" i="1"/>
  <c r="BW185" i="1"/>
  <c r="BV185" i="1"/>
  <c r="BU185" i="1"/>
  <c r="BX184" i="1"/>
  <c r="BW184" i="1"/>
  <c r="BV184" i="1"/>
  <c r="BU184" i="1"/>
  <c r="BX183" i="1"/>
  <c r="BW183" i="1"/>
  <c r="BV183" i="1"/>
  <c r="BU183" i="1"/>
  <c r="BX182" i="1"/>
  <c r="BW182" i="1"/>
  <c r="BV182" i="1"/>
  <c r="BU182" i="1"/>
  <c r="BX181" i="1"/>
  <c r="BW181" i="1"/>
  <c r="BV181" i="1"/>
  <c r="BU181" i="1"/>
  <c r="BX180" i="1"/>
  <c r="BW180" i="1"/>
  <c r="BV180" i="1"/>
  <c r="BU180" i="1"/>
  <c r="BX179" i="1"/>
  <c r="BW179" i="1"/>
  <c r="BV179" i="1"/>
  <c r="BU179" i="1"/>
  <c r="BX178" i="1"/>
  <c r="BW178" i="1"/>
  <c r="BV178" i="1"/>
  <c r="BU178" i="1"/>
  <c r="BX177" i="1"/>
  <c r="BW177" i="1"/>
  <c r="BV177" i="1"/>
  <c r="BU177" i="1"/>
  <c r="BX176" i="1"/>
  <c r="BW176" i="1"/>
  <c r="BV176" i="1"/>
  <c r="BU176" i="1"/>
  <c r="BX175" i="1"/>
  <c r="BW175" i="1"/>
  <c r="BV175" i="1"/>
  <c r="BU175" i="1"/>
  <c r="BX174" i="1"/>
  <c r="BW174" i="1"/>
  <c r="BV174" i="1"/>
  <c r="BU174" i="1"/>
  <c r="BX173" i="1"/>
  <c r="BW173" i="1"/>
  <c r="BV173" i="1"/>
  <c r="BU173" i="1"/>
  <c r="BX172" i="1"/>
  <c r="BW172" i="1"/>
  <c r="BV172" i="1"/>
  <c r="BU172" i="1"/>
  <c r="BX171" i="1"/>
  <c r="BW171" i="1"/>
  <c r="BV171" i="1"/>
  <c r="BU171" i="1"/>
  <c r="BX170" i="1"/>
  <c r="BW170" i="1"/>
  <c r="BV170" i="1"/>
  <c r="BU170" i="1"/>
  <c r="BX169" i="1"/>
  <c r="BW169" i="1"/>
  <c r="BV169" i="1"/>
  <c r="BU169" i="1"/>
  <c r="BX168" i="1"/>
  <c r="BW168" i="1"/>
  <c r="BV168" i="1"/>
  <c r="BU168" i="1"/>
  <c r="BX167" i="1"/>
  <c r="BW167" i="1"/>
  <c r="BV167" i="1"/>
  <c r="BU167" i="1"/>
  <c r="BX166" i="1"/>
  <c r="BW166" i="1"/>
  <c r="BV166" i="1"/>
  <c r="BU166" i="1"/>
  <c r="BX165" i="1"/>
  <c r="BW165" i="1"/>
  <c r="BV165" i="1"/>
  <c r="BU165" i="1"/>
  <c r="BX164" i="1"/>
  <c r="BW164" i="1"/>
  <c r="BV164" i="1"/>
  <c r="BU164" i="1"/>
  <c r="BX163" i="1"/>
  <c r="BW163" i="1"/>
  <c r="BV163" i="1"/>
  <c r="BU163" i="1"/>
  <c r="BX162" i="1"/>
  <c r="BW162" i="1"/>
  <c r="BV162" i="1"/>
  <c r="BU162" i="1"/>
  <c r="BX161" i="1"/>
  <c r="BW161" i="1"/>
  <c r="BV161" i="1"/>
  <c r="BU161" i="1"/>
  <c r="BX160" i="1"/>
  <c r="BW160" i="1"/>
  <c r="BV160" i="1"/>
  <c r="BU160" i="1"/>
  <c r="BX159" i="1"/>
  <c r="BW159" i="1"/>
  <c r="BV159" i="1"/>
  <c r="BU159" i="1"/>
  <c r="BX158" i="1"/>
  <c r="BW158" i="1"/>
  <c r="BV158" i="1"/>
  <c r="BU158" i="1"/>
  <c r="BX157" i="1"/>
  <c r="BW157" i="1"/>
  <c r="BV157" i="1"/>
  <c r="BU157" i="1"/>
  <c r="BX156" i="1"/>
  <c r="BW156" i="1"/>
  <c r="BV156" i="1"/>
  <c r="BU156" i="1"/>
  <c r="BX155" i="1"/>
  <c r="BW155" i="1"/>
  <c r="BV155" i="1"/>
  <c r="BU155" i="1"/>
  <c r="BX154" i="1"/>
  <c r="BW154" i="1"/>
  <c r="BV154" i="1"/>
  <c r="BU154" i="1"/>
  <c r="BX153" i="1"/>
  <c r="BW153" i="1"/>
  <c r="BV153" i="1"/>
  <c r="BU153" i="1"/>
  <c r="BX152" i="1"/>
  <c r="BW152" i="1"/>
  <c r="BV152" i="1"/>
  <c r="BU152" i="1"/>
  <c r="BX151" i="1"/>
  <c r="BW151" i="1"/>
  <c r="BV151" i="1"/>
  <c r="BU151" i="1"/>
  <c r="BX150" i="1"/>
  <c r="BW150" i="1"/>
  <c r="BV150" i="1"/>
  <c r="BU150" i="1"/>
  <c r="BX149" i="1"/>
  <c r="BW149" i="1"/>
  <c r="BV149" i="1"/>
  <c r="BU149" i="1"/>
  <c r="BX148" i="1"/>
  <c r="BW148" i="1"/>
  <c r="BV148" i="1"/>
  <c r="BU148" i="1"/>
  <c r="BX147" i="1"/>
  <c r="BW147" i="1"/>
  <c r="BV147" i="1"/>
  <c r="BU147" i="1"/>
  <c r="BX146" i="1"/>
  <c r="BW146" i="1"/>
  <c r="BV146" i="1"/>
  <c r="BU146" i="1"/>
  <c r="BX145" i="1"/>
  <c r="BW145" i="1"/>
  <c r="BV145" i="1"/>
  <c r="BU145" i="1"/>
  <c r="BX144" i="1"/>
  <c r="BW144" i="1"/>
  <c r="BV144" i="1"/>
  <c r="BU144" i="1"/>
  <c r="BX143" i="1"/>
  <c r="BW143" i="1"/>
  <c r="BV143" i="1"/>
  <c r="BU143" i="1"/>
  <c r="BX142" i="1"/>
  <c r="BW142" i="1"/>
  <c r="BV142" i="1"/>
  <c r="BU142" i="1"/>
  <c r="BX141" i="1"/>
  <c r="BW141" i="1"/>
  <c r="BV141" i="1"/>
  <c r="BU141" i="1"/>
  <c r="BX140" i="1"/>
  <c r="BW140" i="1"/>
  <c r="BV140" i="1"/>
  <c r="BU140" i="1"/>
  <c r="BX139" i="1"/>
  <c r="BW139" i="1"/>
  <c r="BV139" i="1"/>
  <c r="BU139" i="1"/>
  <c r="BX138" i="1"/>
  <c r="BW138" i="1"/>
  <c r="BV138" i="1"/>
  <c r="BU138" i="1"/>
  <c r="BX137" i="1"/>
  <c r="BW137" i="1"/>
  <c r="BV137" i="1"/>
  <c r="BU137" i="1"/>
  <c r="BX136" i="1"/>
  <c r="BW136" i="1"/>
  <c r="BV136" i="1"/>
  <c r="BU136" i="1"/>
  <c r="BX135" i="1"/>
  <c r="BW135" i="1"/>
  <c r="BV135" i="1"/>
  <c r="BU135" i="1"/>
  <c r="BX134" i="1"/>
  <c r="BW134" i="1"/>
  <c r="BV134" i="1"/>
  <c r="BU134" i="1"/>
  <c r="BX133" i="1"/>
  <c r="BW133" i="1"/>
  <c r="BV133" i="1"/>
  <c r="BU133" i="1"/>
  <c r="BX132" i="1"/>
  <c r="BW132" i="1"/>
  <c r="BV132" i="1"/>
  <c r="BU132" i="1"/>
  <c r="BX131" i="1"/>
  <c r="BW131" i="1"/>
  <c r="BV131" i="1"/>
  <c r="BU131" i="1"/>
  <c r="BX130" i="1"/>
  <c r="BW130" i="1"/>
  <c r="BV130" i="1"/>
  <c r="BU130" i="1"/>
  <c r="BX129" i="1"/>
  <c r="BW129" i="1"/>
  <c r="BV129" i="1"/>
  <c r="BU129" i="1"/>
  <c r="BX128" i="1"/>
  <c r="BW128" i="1"/>
  <c r="BV128" i="1"/>
  <c r="BU128" i="1"/>
  <c r="BX127" i="1"/>
  <c r="BW127" i="1"/>
  <c r="BV127" i="1"/>
  <c r="BU127" i="1"/>
  <c r="BX126" i="1"/>
  <c r="BW126" i="1"/>
  <c r="BV126" i="1"/>
  <c r="BU126" i="1"/>
  <c r="BX125" i="1"/>
  <c r="BW125" i="1"/>
  <c r="BV125" i="1"/>
  <c r="BU125" i="1"/>
  <c r="BX124" i="1"/>
  <c r="BW124" i="1"/>
  <c r="BV124" i="1"/>
  <c r="BU124" i="1"/>
  <c r="BX123" i="1"/>
  <c r="BW123" i="1"/>
  <c r="BV123" i="1"/>
  <c r="BU123" i="1"/>
  <c r="BX122" i="1"/>
  <c r="BW122" i="1"/>
  <c r="BV122" i="1"/>
  <c r="BU122" i="1"/>
  <c r="BX121" i="1"/>
  <c r="BW121" i="1"/>
  <c r="BV121" i="1"/>
  <c r="BU121" i="1"/>
  <c r="BX120" i="1"/>
  <c r="BW120" i="1"/>
  <c r="BV120" i="1"/>
  <c r="BU120" i="1"/>
  <c r="BX119" i="1"/>
  <c r="BW119" i="1"/>
  <c r="BV119" i="1"/>
  <c r="BU119" i="1"/>
  <c r="BX118" i="1"/>
  <c r="BW118" i="1"/>
  <c r="BV118" i="1"/>
  <c r="BU118" i="1"/>
  <c r="BX117" i="1"/>
  <c r="BW117" i="1"/>
  <c r="BV117" i="1"/>
  <c r="BU117" i="1"/>
  <c r="BX116" i="1"/>
  <c r="BW116" i="1"/>
  <c r="BV116" i="1"/>
  <c r="BU116" i="1"/>
  <c r="BX115" i="1"/>
  <c r="BW115" i="1"/>
  <c r="BV115" i="1"/>
  <c r="BU115" i="1"/>
  <c r="BX114" i="1"/>
  <c r="BW114" i="1"/>
  <c r="BV114" i="1"/>
  <c r="BU114" i="1"/>
  <c r="BX113" i="1"/>
  <c r="BW113" i="1"/>
  <c r="BV113" i="1"/>
  <c r="BU113" i="1"/>
  <c r="BX112" i="1"/>
  <c r="BW112" i="1"/>
  <c r="BV112" i="1"/>
  <c r="BU112" i="1"/>
  <c r="BX111" i="1"/>
  <c r="BW111" i="1"/>
  <c r="BV111" i="1"/>
  <c r="BU111" i="1"/>
  <c r="BX110" i="1"/>
  <c r="BW110" i="1"/>
  <c r="BV110" i="1"/>
  <c r="BU110" i="1"/>
  <c r="BX109" i="1"/>
  <c r="BW109" i="1"/>
  <c r="BV109" i="1"/>
  <c r="BU109" i="1"/>
  <c r="BX108" i="1"/>
  <c r="BW108" i="1"/>
  <c r="BV108" i="1"/>
  <c r="BU108" i="1"/>
  <c r="BX107" i="1"/>
  <c r="BW107" i="1"/>
  <c r="BV107" i="1"/>
  <c r="BU107" i="1"/>
  <c r="BX106" i="1"/>
  <c r="BW106" i="1"/>
  <c r="BV106" i="1"/>
  <c r="BU106" i="1"/>
  <c r="BX105" i="1"/>
  <c r="BW105" i="1"/>
  <c r="BV105" i="1"/>
  <c r="BU105" i="1"/>
  <c r="BX104" i="1"/>
  <c r="BW104" i="1"/>
  <c r="BV104" i="1"/>
  <c r="BU104" i="1"/>
  <c r="BX103" i="1"/>
  <c r="BW103" i="1"/>
  <c r="BV103" i="1"/>
  <c r="BU103" i="1"/>
  <c r="BX102" i="1"/>
  <c r="BW102" i="1"/>
  <c r="BV102" i="1"/>
  <c r="BU102" i="1"/>
  <c r="BX101" i="1"/>
  <c r="BW101" i="1"/>
  <c r="BV101" i="1"/>
  <c r="BU101" i="1"/>
  <c r="BX100" i="1"/>
  <c r="BW100" i="1"/>
  <c r="BV100" i="1"/>
  <c r="BU100" i="1"/>
  <c r="BX99" i="1"/>
  <c r="BW99" i="1"/>
  <c r="BV99" i="1"/>
  <c r="BU99" i="1"/>
  <c r="BX98" i="1"/>
  <c r="BW98" i="1"/>
  <c r="BV98" i="1"/>
  <c r="BU98" i="1"/>
  <c r="BX97" i="1"/>
  <c r="BW97" i="1"/>
  <c r="BV97" i="1"/>
  <c r="BU97" i="1"/>
  <c r="BX96" i="1"/>
  <c r="BW96" i="1"/>
  <c r="BV96" i="1"/>
  <c r="BU96" i="1"/>
  <c r="BX95" i="1"/>
  <c r="BW95" i="1"/>
  <c r="BV95" i="1"/>
  <c r="BU95" i="1"/>
  <c r="BX94" i="1"/>
  <c r="BW94" i="1"/>
  <c r="BV94" i="1"/>
  <c r="BU94" i="1"/>
  <c r="BX93" i="1"/>
  <c r="BW93" i="1"/>
  <c r="BV93" i="1"/>
  <c r="BU93" i="1"/>
  <c r="BX92" i="1"/>
  <c r="BW92" i="1"/>
  <c r="BV92" i="1"/>
  <c r="BU92" i="1"/>
  <c r="BX91" i="1"/>
  <c r="BW91" i="1"/>
  <c r="BV91" i="1"/>
  <c r="BU91" i="1"/>
  <c r="BX90" i="1"/>
  <c r="BW90" i="1"/>
  <c r="BV90" i="1"/>
  <c r="BU90" i="1"/>
  <c r="BX89" i="1"/>
  <c r="BW89" i="1"/>
  <c r="BV89" i="1"/>
  <c r="BU89" i="1"/>
  <c r="BX88" i="1"/>
  <c r="BW88" i="1"/>
  <c r="BV88" i="1"/>
  <c r="BU88" i="1"/>
  <c r="BX87" i="1"/>
  <c r="BW87" i="1"/>
  <c r="BV87" i="1"/>
  <c r="BU87" i="1"/>
  <c r="BX86" i="1"/>
  <c r="BW86" i="1"/>
  <c r="BV86" i="1"/>
  <c r="BU86" i="1"/>
  <c r="BX85" i="1"/>
  <c r="BW85" i="1"/>
  <c r="BV85" i="1"/>
  <c r="BU85" i="1"/>
  <c r="BX84" i="1"/>
  <c r="BW84" i="1"/>
  <c r="BV84" i="1"/>
  <c r="BU84" i="1"/>
  <c r="BX83" i="1"/>
  <c r="BW83" i="1"/>
  <c r="BV83" i="1"/>
  <c r="BU83" i="1"/>
  <c r="BX82" i="1"/>
  <c r="BW82" i="1"/>
  <c r="BV82" i="1"/>
  <c r="BU82" i="1"/>
  <c r="BX81" i="1"/>
  <c r="BW81" i="1"/>
  <c r="BV81" i="1"/>
  <c r="BU81" i="1"/>
  <c r="BX80" i="1"/>
  <c r="BW80" i="1"/>
  <c r="BV80" i="1"/>
  <c r="BU80" i="1"/>
  <c r="BX79" i="1"/>
  <c r="BW79" i="1"/>
  <c r="BV79" i="1"/>
  <c r="BU79" i="1"/>
  <c r="BX78" i="1"/>
  <c r="BW78" i="1"/>
  <c r="BV78" i="1"/>
  <c r="BU78" i="1"/>
  <c r="BX77" i="1"/>
  <c r="BW77" i="1"/>
  <c r="BV77" i="1"/>
  <c r="BU77" i="1"/>
  <c r="BX76" i="1"/>
  <c r="BW76" i="1"/>
  <c r="BV76" i="1"/>
  <c r="BU76" i="1"/>
  <c r="BX75" i="1"/>
  <c r="BW75" i="1"/>
  <c r="BV75" i="1"/>
  <c r="BU75" i="1"/>
  <c r="BX74" i="1"/>
  <c r="BW74" i="1"/>
  <c r="BV74" i="1"/>
  <c r="BU74" i="1"/>
  <c r="BX73" i="1"/>
  <c r="BW73" i="1"/>
  <c r="BV73" i="1"/>
  <c r="BU73" i="1"/>
  <c r="BX72" i="1"/>
  <c r="BW72" i="1"/>
  <c r="BV72" i="1"/>
  <c r="BU72" i="1"/>
  <c r="BX71" i="1"/>
  <c r="BW71" i="1"/>
  <c r="BV71" i="1"/>
  <c r="BU71" i="1"/>
  <c r="BX70" i="1"/>
  <c r="BW70" i="1"/>
  <c r="BV70" i="1"/>
  <c r="BU70" i="1"/>
  <c r="BX69" i="1"/>
  <c r="BW69" i="1"/>
  <c r="BV69" i="1"/>
  <c r="BU69" i="1"/>
  <c r="BX68" i="1"/>
  <c r="BW68" i="1"/>
  <c r="BV68" i="1"/>
  <c r="BU68" i="1"/>
  <c r="BX67" i="1"/>
  <c r="BW67" i="1"/>
  <c r="BV67" i="1"/>
  <c r="BU67" i="1"/>
  <c r="BX66" i="1"/>
  <c r="BW66" i="1"/>
  <c r="BV66" i="1"/>
  <c r="BU66" i="1"/>
  <c r="BX65" i="1"/>
  <c r="BW65" i="1"/>
  <c r="BV65" i="1"/>
  <c r="BU65" i="1"/>
  <c r="BX64" i="1"/>
  <c r="BW64" i="1"/>
  <c r="BV64" i="1"/>
  <c r="BU64" i="1"/>
  <c r="BX63" i="1"/>
  <c r="BW63" i="1"/>
  <c r="BV63" i="1"/>
  <c r="BU63" i="1"/>
  <c r="BX62" i="1"/>
  <c r="BW62" i="1"/>
  <c r="BV62" i="1"/>
  <c r="BU62" i="1"/>
  <c r="BX61" i="1"/>
  <c r="BW61" i="1"/>
  <c r="BV61" i="1"/>
  <c r="BU61" i="1"/>
  <c r="BX60" i="1"/>
  <c r="BW60" i="1"/>
  <c r="BV60" i="1"/>
  <c r="BU60" i="1"/>
  <c r="BX59" i="1"/>
  <c r="BW59" i="1"/>
  <c r="BV59" i="1"/>
  <c r="BU59" i="1"/>
  <c r="BX58" i="1"/>
  <c r="BW58" i="1"/>
  <c r="BV58" i="1"/>
  <c r="BU58" i="1"/>
  <c r="BX57" i="1"/>
  <c r="BW57" i="1"/>
  <c r="BV57" i="1"/>
  <c r="BU57" i="1"/>
  <c r="BX56" i="1"/>
  <c r="BW56" i="1"/>
  <c r="BV56" i="1"/>
  <c r="BU56" i="1"/>
  <c r="BX55" i="1"/>
  <c r="BW55" i="1"/>
  <c r="BV55" i="1"/>
  <c r="BU55" i="1"/>
  <c r="BX54" i="1"/>
  <c r="BW54" i="1"/>
  <c r="BV54" i="1"/>
  <c r="BU54" i="1"/>
  <c r="BX53" i="1"/>
  <c r="BW53" i="1"/>
  <c r="BV53" i="1"/>
  <c r="BU53" i="1"/>
  <c r="BX52" i="1"/>
  <c r="BW52" i="1"/>
  <c r="BV52" i="1"/>
  <c r="BU52" i="1"/>
  <c r="BX51" i="1"/>
  <c r="BW51" i="1"/>
  <c r="BV51" i="1"/>
  <c r="BU51" i="1"/>
  <c r="BX50" i="1"/>
  <c r="BW50" i="1"/>
  <c r="BV50" i="1"/>
  <c r="BU50" i="1"/>
  <c r="BX49" i="1"/>
  <c r="BW49" i="1"/>
  <c r="BV49" i="1"/>
  <c r="BU49" i="1"/>
  <c r="BX48" i="1"/>
  <c r="BW48" i="1"/>
  <c r="BV48" i="1"/>
  <c r="BU48" i="1"/>
  <c r="BX47" i="1"/>
  <c r="BW47" i="1"/>
  <c r="BV47" i="1"/>
  <c r="BU47" i="1"/>
  <c r="BX46" i="1"/>
  <c r="BW46" i="1"/>
  <c r="BV46" i="1"/>
  <c r="BU46" i="1"/>
  <c r="BX45" i="1"/>
  <c r="BW45" i="1"/>
  <c r="BV45" i="1"/>
  <c r="BU45" i="1"/>
  <c r="BX44" i="1"/>
  <c r="BW44" i="1"/>
  <c r="BV44" i="1"/>
  <c r="BU44" i="1"/>
  <c r="BX43" i="1"/>
  <c r="BW43" i="1"/>
  <c r="BV43" i="1"/>
  <c r="BU43" i="1"/>
  <c r="BX42" i="1"/>
  <c r="BW42" i="1"/>
  <c r="BV42" i="1"/>
  <c r="BU42" i="1"/>
  <c r="BX41" i="1"/>
  <c r="BW41" i="1"/>
  <c r="BV41" i="1"/>
  <c r="BU41" i="1"/>
  <c r="BX40" i="1"/>
  <c r="BW40" i="1"/>
  <c r="BV40" i="1"/>
  <c r="BU40" i="1"/>
  <c r="BX39" i="1"/>
  <c r="BW39" i="1"/>
  <c r="BV39" i="1"/>
  <c r="BU39" i="1"/>
  <c r="BX38" i="1"/>
  <c r="BW38" i="1"/>
  <c r="BV38" i="1"/>
  <c r="BU38" i="1"/>
  <c r="BX37" i="1"/>
  <c r="BW37" i="1"/>
  <c r="BV37" i="1"/>
  <c r="BU37" i="1"/>
  <c r="BX36" i="1"/>
  <c r="BW36" i="1"/>
  <c r="BV36" i="1"/>
  <c r="BU36" i="1"/>
  <c r="BX35" i="1"/>
  <c r="BW35" i="1"/>
  <c r="BV35" i="1"/>
  <c r="BU35" i="1"/>
  <c r="BX34" i="1"/>
  <c r="BW34" i="1"/>
  <c r="BV34" i="1"/>
  <c r="BU34" i="1"/>
  <c r="BX33" i="1"/>
  <c r="BW33" i="1"/>
  <c r="BV33" i="1"/>
  <c r="BU33" i="1"/>
  <c r="BX32" i="1"/>
  <c r="BW32" i="1"/>
  <c r="BV32" i="1"/>
  <c r="BU32" i="1"/>
  <c r="BX31" i="1"/>
  <c r="BW31" i="1"/>
  <c r="BV31" i="1"/>
  <c r="BU31" i="1"/>
  <c r="BX30" i="1"/>
  <c r="BW30" i="1"/>
  <c r="BV30" i="1"/>
  <c r="BU30" i="1"/>
  <c r="BX29" i="1"/>
  <c r="BW29" i="1"/>
  <c r="BV29" i="1"/>
  <c r="BU29" i="1"/>
  <c r="BX28" i="1"/>
  <c r="BW28" i="1"/>
  <c r="BV28" i="1"/>
  <c r="BU28" i="1"/>
  <c r="BX27" i="1"/>
  <c r="BW27" i="1"/>
  <c r="BV27" i="1"/>
  <c r="BU27" i="1"/>
  <c r="BX26" i="1"/>
  <c r="BW26" i="1"/>
  <c r="BV26" i="1"/>
  <c r="BU26" i="1"/>
  <c r="BX25" i="1"/>
  <c r="BW25" i="1"/>
  <c r="BV25" i="1"/>
  <c r="BU25" i="1"/>
  <c r="BX24" i="1"/>
  <c r="BW24" i="1"/>
  <c r="BV24" i="1"/>
  <c r="BU24" i="1"/>
  <c r="BX23" i="1"/>
  <c r="BW23" i="1"/>
  <c r="BV23" i="1"/>
  <c r="BU23" i="1"/>
  <c r="BX22" i="1"/>
  <c r="BW22" i="1"/>
  <c r="BV22" i="1"/>
  <c r="BU22" i="1"/>
  <c r="BX21" i="1"/>
  <c r="BW21" i="1"/>
  <c r="BV21" i="1"/>
  <c r="BU21" i="1"/>
  <c r="BX20" i="1"/>
  <c r="BW20" i="1"/>
  <c r="BV20" i="1"/>
  <c r="BU20" i="1"/>
  <c r="BX19" i="1"/>
  <c r="BW19" i="1"/>
  <c r="BV19" i="1"/>
  <c r="BU19" i="1"/>
  <c r="BX18" i="1"/>
  <c r="BW18" i="1"/>
  <c r="BV18" i="1"/>
  <c r="BU18" i="1"/>
  <c r="BX17" i="1"/>
  <c r="BW17" i="1"/>
  <c r="BV17" i="1"/>
  <c r="BU17" i="1"/>
  <c r="BX16" i="1"/>
  <c r="BW16" i="1"/>
  <c r="BV16" i="1"/>
  <c r="BU16" i="1"/>
  <c r="BX15" i="1"/>
  <c r="BW15" i="1"/>
  <c r="BV15" i="1"/>
  <c r="BU15" i="1"/>
  <c r="BX14" i="1"/>
  <c r="BW14" i="1"/>
  <c r="BV14" i="1"/>
  <c r="BU14" i="1"/>
  <c r="BX13" i="1"/>
  <c r="BW13" i="1"/>
  <c r="BV13" i="1"/>
  <c r="BU13" i="1"/>
  <c r="BX12" i="1"/>
  <c r="BW12" i="1"/>
  <c r="BV12" i="1"/>
  <c r="BU12" i="1"/>
  <c r="BX11" i="1"/>
  <c r="BW11" i="1"/>
  <c r="BV11" i="1"/>
  <c r="BU11" i="1"/>
  <c r="BX10" i="1"/>
  <c r="BW10" i="1"/>
  <c r="BV10" i="1"/>
  <c r="BU10" i="1"/>
  <c r="BX9" i="1"/>
  <c r="BW9" i="1"/>
  <c r="BV9" i="1"/>
  <c r="BU9" i="1"/>
  <c r="BX8" i="1"/>
  <c r="BW8" i="1"/>
  <c r="BV8" i="1"/>
  <c r="BU8" i="1"/>
  <c r="BX7" i="1"/>
  <c r="BW7" i="1"/>
  <c r="BV7" i="1"/>
  <c r="BU7" i="1"/>
  <c r="BX6" i="1"/>
  <c r="BW6" i="1"/>
  <c r="BV6" i="1"/>
  <c r="BU6" i="1"/>
  <c r="BX5" i="1"/>
  <c r="BW5" i="1"/>
  <c r="BV5" i="1"/>
  <c r="BU5" i="1"/>
  <c r="BX4" i="1"/>
  <c r="BW4" i="1"/>
  <c r="BV4" i="1"/>
  <c r="BU4" i="1"/>
  <c r="BX3" i="1"/>
  <c r="BW3" i="1"/>
  <c r="BV3" i="1"/>
  <c r="BU3" i="1"/>
  <c r="BX2" i="1"/>
  <c r="BW2" i="1"/>
  <c r="BV2" i="1"/>
  <c r="BU2" i="1"/>
  <c r="BT1" i="1"/>
  <c r="V224" i="1"/>
  <c r="BH224" i="1" s="1"/>
  <c r="V223" i="1"/>
  <c r="AH223" i="1" s="1"/>
  <c r="BT223" i="1" s="1"/>
  <c r="V222" i="1"/>
  <c r="AH222" i="1" s="1"/>
  <c r="BT222" i="1" s="1"/>
  <c r="V221" i="1"/>
  <c r="AH221" i="1" s="1"/>
  <c r="BT221" i="1" s="1"/>
  <c r="V220" i="1"/>
  <c r="AH220" i="1" s="1"/>
  <c r="BT220" i="1" s="1"/>
  <c r="V219" i="1"/>
  <c r="BH219" i="1" s="1"/>
  <c r="V218" i="1"/>
  <c r="BH218" i="1" s="1"/>
  <c r="V217" i="1"/>
  <c r="AH217" i="1" s="1"/>
  <c r="BT217" i="1" s="1"/>
  <c r="V216" i="1"/>
  <c r="BH216" i="1" s="1"/>
  <c r="V215" i="1"/>
  <c r="AH215" i="1" s="1"/>
  <c r="BT215" i="1" s="1"/>
  <c r="V214" i="1"/>
  <c r="AH214" i="1" s="1"/>
  <c r="BT214" i="1" s="1"/>
  <c r="V213" i="1"/>
  <c r="AH213" i="1" s="1"/>
  <c r="BT213" i="1" s="1"/>
  <c r="V212" i="1"/>
  <c r="AH212" i="1" s="1"/>
  <c r="BT212" i="1" s="1"/>
  <c r="V211" i="1"/>
  <c r="AH211" i="1" s="1"/>
  <c r="BT211" i="1" s="1"/>
  <c r="V210" i="1"/>
  <c r="BH210" i="1" s="1"/>
  <c r="V209" i="1"/>
  <c r="BH209" i="1" s="1"/>
  <c r="V208" i="1"/>
  <c r="AH208" i="1" s="1"/>
  <c r="BT208" i="1" s="1"/>
  <c r="V207" i="1"/>
  <c r="AH207" i="1" s="1"/>
  <c r="BT207" i="1" s="1"/>
  <c r="V206" i="1"/>
  <c r="AH206" i="1" s="1"/>
  <c r="BT206" i="1" s="1"/>
  <c r="V205" i="1"/>
  <c r="AH205" i="1" s="1"/>
  <c r="BT205" i="1" s="1"/>
  <c r="V204" i="1"/>
  <c r="AH204" i="1" s="1"/>
  <c r="BT204" i="1" s="1"/>
  <c r="V203" i="1"/>
  <c r="BH203" i="1" s="1"/>
  <c r="V202" i="1"/>
  <c r="BH202" i="1" s="1"/>
  <c r="V201" i="1"/>
  <c r="BH201" i="1" s="1"/>
  <c r="V200" i="1"/>
  <c r="AH200" i="1" s="1"/>
  <c r="BT200" i="1" s="1"/>
  <c r="V199" i="1"/>
  <c r="AH199" i="1" s="1"/>
  <c r="BT199" i="1" s="1"/>
  <c r="V198" i="1"/>
  <c r="AH198" i="1" s="1"/>
  <c r="BT198" i="1" s="1"/>
  <c r="V197" i="1"/>
  <c r="AH197" i="1" s="1"/>
  <c r="BT197" i="1" s="1"/>
  <c r="V196" i="1"/>
  <c r="BH196" i="1" s="1"/>
  <c r="V195" i="1"/>
  <c r="BH195" i="1" s="1"/>
  <c r="V194" i="1"/>
  <c r="BH194" i="1" s="1"/>
  <c r="V193" i="1"/>
  <c r="AH193" i="1" s="1"/>
  <c r="BT193" i="1" s="1"/>
  <c r="V192" i="1"/>
  <c r="AH192" i="1" s="1"/>
  <c r="BT192" i="1" s="1"/>
  <c r="V191" i="1"/>
  <c r="AH191" i="1" s="1"/>
  <c r="BT191" i="1" s="1"/>
  <c r="V190" i="1"/>
  <c r="AH190" i="1" s="1"/>
  <c r="BT190" i="1" s="1"/>
  <c r="V189" i="1"/>
  <c r="AH189" i="1" s="1"/>
  <c r="BT189" i="1" s="1"/>
  <c r="V188" i="1"/>
  <c r="AH188" i="1" s="1"/>
  <c r="BT188" i="1" s="1"/>
  <c r="V187" i="1"/>
  <c r="BH187" i="1" s="1"/>
  <c r="V186" i="1"/>
  <c r="BH186" i="1" s="1"/>
  <c r="V185" i="1"/>
  <c r="BH185" i="1" s="1"/>
  <c r="V184" i="1"/>
  <c r="AH184" i="1" s="1"/>
  <c r="BT184" i="1" s="1"/>
  <c r="V183" i="1"/>
  <c r="AH183" i="1" s="1"/>
  <c r="BT183" i="1" s="1"/>
  <c r="V182" i="1"/>
  <c r="AH182" i="1" s="1"/>
  <c r="BT182" i="1" s="1"/>
  <c r="V181" i="1"/>
  <c r="AH181" i="1" s="1"/>
  <c r="BT181" i="1" s="1"/>
  <c r="V180" i="1"/>
  <c r="AH180" i="1" s="1"/>
  <c r="BT180" i="1" s="1"/>
  <c r="V179" i="1"/>
  <c r="BH179" i="1" s="1"/>
  <c r="V178" i="1"/>
  <c r="BH178" i="1" s="1"/>
  <c r="V177" i="1"/>
  <c r="BH177" i="1" s="1"/>
  <c r="V176" i="1"/>
  <c r="AH176" i="1" s="1"/>
  <c r="BT176" i="1" s="1"/>
  <c r="V175" i="1"/>
  <c r="AH175" i="1" s="1"/>
  <c r="BT175" i="1" s="1"/>
  <c r="V174" i="1"/>
  <c r="AH174" i="1" s="1"/>
  <c r="BT174" i="1" s="1"/>
  <c r="V173" i="1"/>
  <c r="AH173" i="1" s="1"/>
  <c r="BT173" i="1" s="1"/>
  <c r="V172" i="1"/>
  <c r="AH172" i="1" s="1"/>
  <c r="BT172" i="1" s="1"/>
  <c r="V171" i="1"/>
  <c r="BH171" i="1" s="1"/>
  <c r="V170" i="1"/>
  <c r="BH170" i="1" s="1"/>
  <c r="V169" i="1"/>
  <c r="BH169" i="1" s="1"/>
  <c r="V168" i="1"/>
  <c r="AH168" i="1" s="1"/>
  <c r="BT168" i="1" s="1"/>
  <c r="V167" i="1"/>
  <c r="AH167" i="1" s="1"/>
  <c r="BT167" i="1" s="1"/>
  <c r="V166" i="1"/>
  <c r="AH166" i="1" s="1"/>
  <c r="BT166" i="1" s="1"/>
  <c r="V165" i="1"/>
  <c r="AH165" i="1" s="1"/>
  <c r="BT165" i="1" s="1"/>
  <c r="V164" i="1"/>
  <c r="AH164" i="1" s="1"/>
  <c r="BT164" i="1" s="1"/>
  <c r="V163" i="1"/>
  <c r="BH163" i="1" s="1"/>
  <c r="V162" i="1"/>
  <c r="BH162" i="1" s="1"/>
  <c r="V161" i="1"/>
  <c r="AH161" i="1" s="1"/>
  <c r="BT161" i="1" s="1"/>
  <c r="V160" i="1"/>
  <c r="AH160" i="1" s="1"/>
  <c r="BT160" i="1" s="1"/>
  <c r="V159" i="1"/>
  <c r="AH159" i="1" s="1"/>
  <c r="BT159" i="1" s="1"/>
  <c r="V158" i="1"/>
  <c r="AH158" i="1" s="1"/>
  <c r="BT158" i="1" s="1"/>
  <c r="V157" i="1"/>
  <c r="AH157" i="1" s="1"/>
  <c r="BT157" i="1" s="1"/>
  <c r="V156" i="1"/>
  <c r="AH156" i="1" s="1"/>
  <c r="BT156" i="1" s="1"/>
  <c r="V155" i="1"/>
  <c r="BH155" i="1" s="1"/>
  <c r="V154" i="1"/>
  <c r="BH154" i="1" s="1"/>
  <c r="V153" i="1"/>
  <c r="BH153" i="1" s="1"/>
  <c r="V152" i="1"/>
  <c r="AH152" i="1" s="1"/>
  <c r="BT152" i="1" s="1"/>
  <c r="V151" i="1"/>
  <c r="AH151" i="1" s="1"/>
  <c r="BT151" i="1" s="1"/>
  <c r="V150" i="1"/>
  <c r="AH150" i="1" s="1"/>
  <c r="BT150" i="1" s="1"/>
  <c r="V149" i="1"/>
  <c r="AH149" i="1" s="1"/>
  <c r="BT149" i="1" s="1"/>
  <c r="V148" i="1"/>
  <c r="AH148" i="1" s="1"/>
  <c r="BT148" i="1" s="1"/>
  <c r="V147" i="1"/>
  <c r="BH147" i="1" s="1"/>
  <c r="V146" i="1"/>
  <c r="BH146" i="1" s="1"/>
  <c r="V145" i="1"/>
  <c r="BH145" i="1" s="1"/>
  <c r="V144" i="1"/>
  <c r="AH144" i="1" s="1"/>
  <c r="BT144" i="1" s="1"/>
  <c r="V143" i="1"/>
  <c r="AH143" i="1" s="1"/>
  <c r="BT143" i="1" s="1"/>
  <c r="V142" i="1"/>
  <c r="AH142" i="1" s="1"/>
  <c r="BT142" i="1" s="1"/>
  <c r="V141" i="1"/>
  <c r="AH141" i="1" s="1"/>
  <c r="BT141" i="1" s="1"/>
  <c r="V140" i="1"/>
  <c r="AH140" i="1" s="1"/>
  <c r="BT140" i="1" s="1"/>
  <c r="V139" i="1"/>
  <c r="BH139" i="1" s="1"/>
  <c r="V138" i="1"/>
  <c r="BH138" i="1" s="1"/>
  <c r="V137" i="1"/>
  <c r="BH137" i="1" s="1"/>
  <c r="V136" i="1"/>
  <c r="AH136" i="1" s="1"/>
  <c r="BT136" i="1" s="1"/>
  <c r="V135" i="1"/>
  <c r="AH135" i="1" s="1"/>
  <c r="BT135" i="1" s="1"/>
  <c r="V134" i="1"/>
  <c r="AH134" i="1" s="1"/>
  <c r="BT134" i="1" s="1"/>
  <c r="V133" i="1"/>
  <c r="AH133" i="1" s="1"/>
  <c r="BT133" i="1" s="1"/>
  <c r="V132" i="1"/>
  <c r="AH132" i="1" s="1"/>
  <c r="BT132" i="1" s="1"/>
  <c r="V131" i="1"/>
  <c r="BH131" i="1" s="1"/>
  <c r="V130" i="1"/>
  <c r="BH130" i="1" s="1"/>
  <c r="V129" i="1"/>
  <c r="BH129" i="1" s="1"/>
  <c r="V128" i="1"/>
  <c r="AH128" i="1" s="1"/>
  <c r="BT128" i="1" s="1"/>
  <c r="V127" i="1"/>
  <c r="AH127" i="1" s="1"/>
  <c r="BT127" i="1" s="1"/>
  <c r="V126" i="1"/>
  <c r="AH126" i="1" s="1"/>
  <c r="BT126" i="1" s="1"/>
  <c r="V125" i="1"/>
  <c r="AH125" i="1" s="1"/>
  <c r="BT125" i="1" s="1"/>
  <c r="V124" i="1"/>
  <c r="AH124" i="1" s="1"/>
  <c r="BT124" i="1" s="1"/>
  <c r="V123" i="1"/>
  <c r="BH123" i="1" s="1"/>
  <c r="V122" i="1"/>
  <c r="BH122" i="1" s="1"/>
  <c r="V121" i="1"/>
  <c r="AH121" i="1" s="1"/>
  <c r="BT121" i="1" s="1"/>
  <c r="V120" i="1"/>
  <c r="AH120" i="1" s="1"/>
  <c r="BT120" i="1" s="1"/>
  <c r="V119" i="1"/>
  <c r="AH119" i="1" s="1"/>
  <c r="BT119" i="1" s="1"/>
  <c r="V118" i="1"/>
  <c r="AH118" i="1" s="1"/>
  <c r="BT118" i="1" s="1"/>
  <c r="V117" i="1"/>
  <c r="AH117" i="1" s="1"/>
  <c r="BT117" i="1" s="1"/>
  <c r="V116" i="1"/>
  <c r="AH116" i="1" s="1"/>
  <c r="BT116" i="1" s="1"/>
  <c r="V115" i="1"/>
  <c r="BH115" i="1" s="1"/>
  <c r="V114" i="1"/>
  <c r="BH114" i="1" s="1"/>
  <c r="V113" i="1"/>
  <c r="BH113" i="1" s="1"/>
  <c r="V112" i="1"/>
  <c r="AH112" i="1" s="1"/>
  <c r="BT112" i="1" s="1"/>
  <c r="V111" i="1"/>
  <c r="AH111" i="1" s="1"/>
  <c r="BT111" i="1" s="1"/>
  <c r="V110" i="1"/>
  <c r="AH110" i="1" s="1"/>
  <c r="BT110" i="1" s="1"/>
  <c r="V109" i="1"/>
  <c r="AH109" i="1" s="1"/>
  <c r="BT109" i="1" s="1"/>
  <c r="V108" i="1"/>
  <c r="AH108" i="1" s="1"/>
  <c r="BT108" i="1" s="1"/>
  <c r="V107" i="1"/>
  <c r="BH107" i="1" s="1"/>
  <c r="V106" i="1"/>
  <c r="BH106" i="1" s="1"/>
  <c r="V105" i="1"/>
  <c r="BH105" i="1" s="1"/>
  <c r="V104" i="1"/>
  <c r="AH104" i="1" s="1"/>
  <c r="BT104" i="1" s="1"/>
  <c r="V103" i="1"/>
  <c r="AH103" i="1" s="1"/>
  <c r="BT103" i="1" s="1"/>
  <c r="V102" i="1"/>
  <c r="AH102" i="1" s="1"/>
  <c r="BT102" i="1" s="1"/>
  <c r="V101" i="1"/>
  <c r="AH101" i="1" s="1"/>
  <c r="BT101" i="1" s="1"/>
  <c r="V100" i="1"/>
  <c r="AH100" i="1" s="1"/>
  <c r="BT100" i="1" s="1"/>
  <c r="V99" i="1"/>
  <c r="BH99" i="1" s="1"/>
  <c r="V98" i="1"/>
  <c r="BH98" i="1" s="1"/>
  <c r="V97" i="1"/>
  <c r="BH97" i="1" s="1"/>
  <c r="V96" i="1"/>
  <c r="AH96" i="1" s="1"/>
  <c r="BT96" i="1" s="1"/>
  <c r="V95" i="1"/>
  <c r="AH95" i="1" s="1"/>
  <c r="BT95" i="1" s="1"/>
  <c r="V94" i="1"/>
  <c r="AH94" i="1" s="1"/>
  <c r="BT94" i="1" s="1"/>
  <c r="V93" i="1"/>
  <c r="AH93" i="1" s="1"/>
  <c r="BT93" i="1" s="1"/>
  <c r="V92" i="1"/>
  <c r="AH92" i="1" s="1"/>
  <c r="BT92" i="1" s="1"/>
  <c r="V91" i="1"/>
  <c r="BH91" i="1" s="1"/>
  <c r="V90" i="1"/>
  <c r="BH90" i="1" s="1"/>
  <c r="V89" i="1"/>
  <c r="AH89" i="1" s="1"/>
  <c r="BT89" i="1" s="1"/>
  <c r="V88" i="1"/>
  <c r="AH88" i="1" s="1"/>
  <c r="BT88" i="1" s="1"/>
  <c r="V87" i="1"/>
  <c r="AH87" i="1" s="1"/>
  <c r="BT87" i="1" s="1"/>
  <c r="V86" i="1"/>
  <c r="AH86" i="1" s="1"/>
  <c r="BT86" i="1" s="1"/>
  <c r="V85" i="1"/>
  <c r="AH85" i="1" s="1"/>
  <c r="BT85" i="1" s="1"/>
  <c r="V83" i="1"/>
  <c r="BH83" i="1" s="1"/>
  <c r="V82" i="1"/>
  <c r="BH82" i="1" s="1"/>
  <c r="V81" i="1"/>
  <c r="BH81" i="1" s="1"/>
  <c r="V80" i="1"/>
  <c r="AH80" i="1" s="1"/>
  <c r="BT80" i="1" s="1"/>
  <c r="V79" i="1"/>
  <c r="AH79" i="1" s="1"/>
  <c r="BT79" i="1" s="1"/>
  <c r="V78" i="1"/>
  <c r="AH78" i="1" s="1"/>
  <c r="BT78" i="1" s="1"/>
  <c r="V77" i="1"/>
  <c r="AH77" i="1" s="1"/>
  <c r="BT77" i="1" s="1"/>
  <c r="V76" i="1"/>
  <c r="AH76" i="1" s="1"/>
  <c r="BT76" i="1" s="1"/>
  <c r="V75" i="1"/>
  <c r="BH75" i="1" s="1"/>
  <c r="V74" i="1"/>
  <c r="BH74" i="1" s="1"/>
  <c r="V73" i="1"/>
  <c r="BH73" i="1" s="1"/>
  <c r="V72" i="1"/>
  <c r="AH72" i="1" s="1"/>
  <c r="BT72" i="1" s="1"/>
  <c r="V71" i="1"/>
  <c r="AH71" i="1" s="1"/>
  <c r="BT71" i="1" s="1"/>
  <c r="V70" i="1"/>
  <c r="AH70" i="1" s="1"/>
  <c r="BT70" i="1" s="1"/>
  <c r="V69" i="1"/>
  <c r="AH69" i="1" s="1"/>
  <c r="BT69" i="1" s="1"/>
  <c r="V68" i="1"/>
  <c r="AH68" i="1" s="1"/>
  <c r="BT68" i="1" s="1"/>
  <c r="V67" i="1"/>
  <c r="BH67" i="1" s="1"/>
  <c r="V66" i="1"/>
  <c r="BH66" i="1" s="1"/>
  <c r="V65" i="1"/>
  <c r="BH65" i="1" s="1"/>
  <c r="V64" i="1"/>
  <c r="AH64" i="1" s="1"/>
  <c r="BT64" i="1" s="1"/>
  <c r="V63" i="1"/>
  <c r="AH63" i="1" s="1"/>
  <c r="BT63" i="1" s="1"/>
  <c r="V62" i="1"/>
  <c r="AH62" i="1" s="1"/>
  <c r="BT62" i="1" s="1"/>
  <c r="V61" i="1"/>
  <c r="AH61" i="1" s="1"/>
  <c r="BT61" i="1" s="1"/>
  <c r="V60" i="1"/>
  <c r="AH60" i="1" s="1"/>
  <c r="BT60" i="1" s="1"/>
  <c r="V59" i="1"/>
  <c r="BH59" i="1" s="1"/>
  <c r="V58" i="1"/>
  <c r="BH58" i="1" s="1"/>
  <c r="V57" i="1"/>
  <c r="AH57" i="1" s="1"/>
  <c r="BT57" i="1" s="1"/>
  <c r="V56" i="1"/>
  <c r="AH56" i="1" s="1"/>
  <c r="BT56" i="1" s="1"/>
  <c r="V55" i="1"/>
  <c r="AH55" i="1" s="1"/>
  <c r="BT55" i="1" s="1"/>
  <c r="V54" i="1"/>
  <c r="AH54" i="1" s="1"/>
  <c r="BT54" i="1" s="1"/>
  <c r="V53" i="1"/>
  <c r="AH53" i="1" s="1"/>
  <c r="BT53" i="1" s="1"/>
  <c r="V52" i="1"/>
  <c r="AH52" i="1" s="1"/>
  <c r="BT52" i="1" s="1"/>
  <c r="V51" i="1"/>
  <c r="BH51" i="1" s="1"/>
  <c r="V50" i="1"/>
  <c r="BH50" i="1" s="1"/>
  <c r="V49" i="1"/>
  <c r="BH49" i="1" s="1"/>
  <c r="V48" i="1"/>
  <c r="AH48" i="1" s="1"/>
  <c r="BT48" i="1" s="1"/>
  <c r="V47" i="1"/>
  <c r="AH47" i="1" s="1"/>
  <c r="BT47" i="1" s="1"/>
  <c r="V46" i="1"/>
  <c r="AH46" i="1" s="1"/>
  <c r="BT46" i="1" s="1"/>
  <c r="V45" i="1"/>
  <c r="AH45" i="1" s="1"/>
  <c r="BT45" i="1" s="1"/>
  <c r="V44" i="1"/>
  <c r="AH44" i="1" s="1"/>
  <c r="BT44" i="1" s="1"/>
  <c r="V43" i="1"/>
  <c r="BH43" i="1" s="1"/>
  <c r="V42" i="1"/>
  <c r="BH42" i="1" s="1"/>
  <c r="V41" i="1"/>
  <c r="BH41" i="1" s="1"/>
  <c r="V40" i="1"/>
  <c r="AH40" i="1" s="1"/>
  <c r="BT40" i="1" s="1"/>
  <c r="V39" i="1"/>
  <c r="AH39" i="1" s="1"/>
  <c r="BT39" i="1" s="1"/>
  <c r="V38" i="1"/>
  <c r="AH38" i="1" s="1"/>
  <c r="BT38" i="1" s="1"/>
  <c r="V37" i="1"/>
  <c r="AH37" i="1" s="1"/>
  <c r="BT37" i="1" s="1"/>
  <c r="V36" i="1"/>
  <c r="AH36" i="1" s="1"/>
  <c r="BT36" i="1" s="1"/>
  <c r="V35" i="1"/>
  <c r="BH35" i="1" s="1"/>
  <c r="V34" i="1"/>
  <c r="BH34" i="1" s="1"/>
  <c r="V33" i="1"/>
  <c r="BH33" i="1" s="1"/>
  <c r="V32" i="1"/>
  <c r="AH32" i="1" s="1"/>
  <c r="BT32" i="1" s="1"/>
  <c r="V31" i="1"/>
  <c r="AH31" i="1" s="1"/>
  <c r="BT31" i="1" s="1"/>
  <c r="V30" i="1"/>
  <c r="AH30" i="1" s="1"/>
  <c r="BT30" i="1" s="1"/>
  <c r="V29" i="1"/>
  <c r="AH29" i="1" s="1"/>
  <c r="BT29" i="1" s="1"/>
  <c r="V28" i="1"/>
  <c r="AH28" i="1" s="1"/>
  <c r="BT28" i="1" s="1"/>
  <c r="V27" i="1"/>
  <c r="BH27" i="1" s="1"/>
  <c r="V26" i="1"/>
  <c r="BH26" i="1" s="1"/>
  <c r="V25" i="1"/>
  <c r="AH25" i="1" s="1"/>
  <c r="BT25" i="1" s="1"/>
  <c r="V24" i="1"/>
  <c r="AH24" i="1" s="1"/>
  <c r="BT24" i="1" s="1"/>
  <c r="V23" i="1"/>
  <c r="AH23" i="1" s="1"/>
  <c r="BT23" i="1" s="1"/>
  <c r="V22" i="1"/>
  <c r="AH22" i="1" s="1"/>
  <c r="BT22" i="1" s="1"/>
  <c r="V21" i="1"/>
  <c r="AH21" i="1" s="1"/>
  <c r="BT21" i="1" s="1"/>
  <c r="V20" i="1"/>
  <c r="AH20" i="1" s="1"/>
  <c r="BT20" i="1" s="1"/>
  <c r="V19" i="1"/>
  <c r="BH19" i="1" s="1"/>
  <c r="V18" i="1"/>
  <c r="AH18" i="1" s="1"/>
  <c r="BT18" i="1" s="1"/>
  <c r="V17" i="1"/>
  <c r="AH17" i="1" s="1"/>
  <c r="BT17" i="1" s="1"/>
  <c r="V16" i="1"/>
  <c r="AH16" i="1" s="1"/>
  <c r="BT16" i="1" s="1"/>
  <c r="V15" i="1"/>
  <c r="AH15" i="1" s="1"/>
  <c r="BT15" i="1" s="1"/>
  <c r="V14" i="1"/>
  <c r="AH14" i="1" s="1"/>
  <c r="BT14" i="1" s="1"/>
  <c r="V13" i="1"/>
  <c r="AH13" i="1" s="1"/>
  <c r="BT13" i="1" s="1"/>
  <c r="V12" i="1"/>
  <c r="AH12" i="1" s="1"/>
  <c r="BT12" i="1" s="1"/>
  <c r="V11" i="1"/>
  <c r="BH11" i="1" s="1"/>
  <c r="V10" i="1"/>
  <c r="BH10" i="1" s="1"/>
  <c r="V9" i="1"/>
  <c r="BH9" i="1" s="1"/>
  <c r="V8" i="1"/>
  <c r="AH8" i="1" s="1"/>
  <c r="BT8" i="1" s="1"/>
  <c r="V7" i="1"/>
  <c r="AH7" i="1" s="1"/>
  <c r="BT7" i="1" s="1"/>
  <c r="V6" i="1"/>
  <c r="AH6" i="1" s="1"/>
  <c r="BT6" i="1" s="1"/>
  <c r="V5" i="1"/>
  <c r="AH5" i="1" s="1"/>
  <c r="BT5" i="1" s="1"/>
  <c r="V4" i="1"/>
  <c r="AH4" i="1" s="1"/>
  <c r="BT4" i="1" s="1"/>
  <c r="V3" i="1"/>
  <c r="BH3" i="1" s="1"/>
  <c r="V2" i="1"/>
  <c r="BH2" i="1" s="1"/>
  <c r="BS224" i="1"/>
  <c r="BR224" i="1"/>
  <c r="BQ224" i="1"/>
  <c r="BP224" i="1"/>
  <c r="BO224" i="1"/>
  <c r="BN224" i="1"/>
  <c r="BM224" i="1"/>
  <c r="BL224" i="1"/>
  <c r="BK224" i="1"/>
  <c r="BJ224" i="1"/>
  <c r="BI224" i="1"/>
  <c r="BG224" i="1"/>
  <c r="BF224" i="1"/>
  <c r="BE224" i="1"/>
  <c r="BD224" i="1"/>
  <c r="BC224" i="1"/>
  <c r="BB224" i="1"/>
  <c r="BA224" i="1"/>
  <c r="AZ224" i="1"/>
  <c r="AY224" i="1"/>
  <c r="AX224" i="1"/>
  <c r="AW224" i="1"/>
  <c r="AV224" i="1"/>
  <c r="AU224" i="1"/>
  <c r="AT224" i="1"/>
  <c r="AS224" i="1"/>
  <c r="AR224" i="1"/>
  <c r="AQ224" i="1"/>
  <c r="AP224" i="1"/>
  <c r="AO224" i="1"/>
  <c r="AN224" i="1"/>
  <c r="BS223" i="1"/>
  <c r="BR223" i="1"/>
  <c r="BQ223" i="1"/>
  <c r="BP223" i="1"/>
  <c r="BO223" i="1"/>
  <c r="BN223" i="1"/>
  <c r="BM223" i="1"/>
  <c r="BL223" i="1"/>
  <c r="BK223" i="1"/>
  <c r="BJ223" i="1"/>
  <c r="BI223" i="1"/>
  <c r="BG223" i="1"/>
  <c r="BF223" i="1"/>
  <c r="BE223" i="1"/>
  <c r="BD223" i="1"/>
  <c r="BC223" i="1"/>
  <c r="BB223" i="1"/>
  <c r="BA223" i="1"/>
  <c r="AZ223" i="1"/>
  <c r="AY223" i="1"/>
  <c r="AX223" i="1"/>
  <c r="AW223" i="1"/>
  <c r="AV223" i="1"/>
  <c r="AU223" i="1"/>
  <c r="AT223" i="1"/>
  <c r="AS223" i="1"/>
  <c r="AR223" i="1"/>
  <c r="AQ223" i="1"/>
  <c r="AP223" i="1"/>
  <c r="AO223" i="1"/>
  <c r="AN223" i="1"/>
  <c r="BS222" i="1"/>
  <c r="BR222" i="1"/>
  <c r="BQ222" i="1"/>
  <c r="BP222" i="1"/>
  <c r="BO222" i="1"/>
  <c r="BN222" i="1"/>
  <c r="BM222" i="1"/>
  <c r="BL222" i="1"/>
  <c r="BK222" i="1"/>
  <c r="BJ222" i="1"/>
  <c r="BI222" i="1"/>
  <c r="BG222" i="1"/>
  <c r="BF222" i="1"/>
  <c r="BE222" i="1"/>
  <c r="BD222" i="1"/>
  <c r="BC222" i="1"/>
  <c r="BB222" i="1"/>
  <c r="BA222" i="1"/>
  <c r="AZ222" i="1"/>
  <c r="AY222" i="1"/>
  <c r="AX222" i="1"/>
  <c r="AW222" i="1"/>
  <c r="AV222" i="1"/>
  <c r="AU222" i="1"/>
  <c r="AT222" i="1"/>
  <c r="AS222" i="1"/>
  <c r="AR222" i="1"/>
  <c r="AQ222" i="1"/>
  <c r="AP222" i="1"/>
  <c r="AO222" i="1"/>
  <c r="AN222" i="1"/>
  <c r="BS221" i="1"/>
  <c r="BR221" i="1"/>
  <c r="BQ221" i="1"/>
  <c r="BP221" i="1"/>
  <c r="BO221" i="1"/>
  <c r="BN221" i="1"/>
  <c r="BM221" i="1"/>
  <c r="BL221" i="1"/>
  <c r="BK221" i="1"/>
  <c r="BJ221" i="1"/>
  <c r="BI221" i="1"/>
  <c r="BG221" i="1"/>
  <c r="BF221" i="1"/>
  <c r="BE221" i="1"/>
  <c r="BD221" i="1"/>
  <c r="BC221" i="1"/>
  <c r="BB221" i="1"/>
  <c r="BA221" i="1"/>
  <c r="AZ221" i="1"/>
  <c r="AY221" i="1"/>
  <c r="AX221" i="1"/>
  <c r="AW221" i="1"/>
  <c r="AV221" i="1"/>
  <c r="AU221" i="1"/>
  <c r="AT221" i="1"/>
  <c r="AS221" i="1"/>
  <c r="AR221" i="1"/>
  <c r="AQ221" i="1"/>
  <c r="AP221" i="1"/>
  <c r="AO221" i="1"/>
  <c r="AN221" i="1"/>
  <c r="BS220" i="1"/>
  <c r="BR220" i="1"/>
  <c r="BQ220" i="1"/>
  <c r="BP220" i="1"/>
  <c r="BO220" i="1"/>
  <c r="BN220" i="1"/>
  <c r="BM220" i="1"/>
  <c r="BL220" i="1"/>
  <c r="BK220" i="1"/>
  <c r="BJ220" i="1"/>
  <c r="BI220" i="1"/>
  <c r="BG220" i="1"/>
  <c r="BF220" i="1"/>
  <c r="BE220" i="1"/>
  <c r="BD220" i="1"/>
  <c r="BC220" i="1"/>
  <c r="BB220" i="1"/>
  <c r="BA220" i="1"/>
  <c r="AZ220" i="1"/>
  <c r="AY220" i="1"/>
  <c r="AX220" i="1"/>
  <c r="AW220" i="1"/>
  <c r="AV220" i="1"/>
  <c r="AU220" i="1"/>
  <c r="AT220" i="1"/>
  <c r="AS220" i="1"/>
  <c r="AR220" i="1"/>
  <c r="AQ220" i="1"/>
  <c r="AP220" i="1"/>
  <c r="AO220" i="1"/>
  <c r="AN220" i="1"/>
  <c r="BS219" i="1"/>
  <c r="BR219" i="1"/>
  <c r="BQ219" i="1"/>
  <c r="BP219" i="1"/>
  <c r="BO219" i="1"/>
  <c r="BN219" i="1"/>
  <c r="BM219" i="1"/>
  <c r="BL219" i="1"/>
  <c r="BK219" i="1"/>
  <c r="BJ219" i="1"/>
  <c r="BI219" i="1"/>
  <c r="BG219" i="1"/>
  <c r="BF219" i="1"/>
  <c r="BE219" i="1"/>
  <c r="BD219" i="1"/>
  <c r="BC219" i="1"/>
  <c r="BB219" i="1"/>
  <c r="BA219" i="1"/>
  <c r="AZ219" i="1"/>
  <c r="AY219" i="1"/>
  <c r="AX219" i="1"/>
  <c r="AW219" i="1"/>
  <c r="AV219" i="1"/>
  <c r="AU219" i="1"/>
  <c r="AT219" i="1"/>
  <c r="AS219" i="1"/>
  <c r="AR219" i="1"/>
  <c r="AQ219" i="1"/>
  <c r="AP219" i="1"/>
  <c r="AO219" i="1"/>
  <c r="AN219" i="1"/>
  <c r="BS218" i="1"/>
  <c r="BR218" i="1"/>
  <c r="BQ218" i="1"/>
  <c r="BP218" i="1"/>
  <c r="BO218" i="1"/>
  <c r="BN218" i="1"/>
  <c r="BM218" i="1"/>
  <c r="BL218" i="1"/>
  <c r="BK218" i="1"/>
  <c r="BJ218" i="1"/>
  <c r="BI218" i="1"/>
  <c r="BG218" i="1"/>
  <c r="BF218" i="1"/>
  <c r="BE218" i="1"/>
  <c r="BD218" i="1"/>
  <c r="BC218" i="1"/>
  <c r="BB218" i="1"/>
  <c r="BA218" i="1"/>
  <c r="AZ218" i="1"/>
  <c r="AY218" i="1"/>
  <c r="AX218" i="1"/>
  <c r="AW218" i="1"/>
  <c r="AV218" i="1"/>
  <c r="AU218" i="1"/>
  <c r="AT218" i="1"/>
  <c r="AS218" i="1"/>
  <c r="AR218" i="1"/>
  <c r="AQ218" i="1"/>
  <c r="AP218" i="1"/>
  <c r="AO218" i="1"/>
  <c r="AN218" i="1"/>
  <c r="BS217" i="1"/>
  <c r="BR217" i="1"/>
  <c r="BQ217" i="1"/>
  <c r="BP217" i="1"/>
  <c r="BO217" i="1"/>
  <c r="BN217" i="1"/>
  <c r="BM217" i="1"/>
  <c r="BL217" i="1"/>
  <c r="BK217" i="1"/>
  <c r="BJ217" i="1"/>
  <c r="BI217" i="1"/>
  <c r="BG217" i="1"/>
  <c r="BF217" i="1"/>
  <c r="BE217" i="1"/>
  <c r="BD217" i="1"/>
  <c r="BC217" i="1"/>
  <c r="BB217" i="1"/>
  <c r="BA217" i="1"/>
  <c r="AZ217" i="1"/>
  <c r="AY217" i="1"/>
  <c r="AX217" i="1"/>
  <c r="AW217" i="1"/>
  <c r="AV217" i="1"/>
  <c r="AU217" i="1"/>
  <c r="AT217" i="1"/>
  <c r="AS217" i="1"/>
  <c r="AR217" i="1"/>
  <c r="AQ217" i="1"/>
  <c r="AP217" i="1"/>
  <c r="AO217" i="1"/>
  <c r="AN217" i="1"/>
  <c r="BS216" i="1"/>
  <c r="BR216" i="1"/>
  <c r="BQ216" i="1"/>
  <c r="BP216" i="1"/>
  <c r="BO216" i="1"/>
  <c r="BN216" i="1"/>
  <c r="BM216" i="1"/>
  <c r="BL216" i="1"/>
  <c r="BK216" i="1"/>
  <c r="BJ216" i="1"/>
  <c r="BI216" i="1"/>
  <c r="BG216" i="1"/>
  <c r="BF216" i="1"/>
  <c r="BE216" i="1"/>
  <c r="BD216" i="1"/>
  <c r="BC216" i="1"/>
  <c r="BB216" i="1"/>
  <c r="BA216" i="1"/>
  <c r="AZ216" i="1"/>
  <c r="AY216" i="1"/>
  <c r="AX216" i="1"/>
  <c r="AW216" i="1"/>
  <c r="AV216" i="1"/>
  <c r="AU216" i="1"/>
  <c r="AT216" i="1"/>
  <c r="AS216" i="1"/>
  <c r="AR216" i="1"/>
  <c r="AQ216" i="1"/>
  <c r="AP216" i="1"/>
  <c r="AO216" i="1"/>
  <c r="AN216" i="1"/>
  <c r="BS215" i="1"/>
  <c r="BR215" i="1"/>
  <c r="BQ215" i="1"/>
  <c r="BP215" i="1"/>
  <c r="BO215" i="1"/>
  <c r="BN215" i="1"/>
  <c r="BM215" i="1"/>
  <c r="BL215" i="1"/>
  <c r="BK215" i="1"/>
  <c r="BJ215" i="1"/>
  <c r="BI215" i="1"/>
  <c r="BG215" i="1"/>
  <c r="BF215" i="1"/>
  <c r="BE215" i="1"/>
  <c r="BD215" i="1"/>
  <c r="BC215" i="1"/>
  <c r="BB215" i="1"/>
  <c r="BA215" i="1"/>
  <c r="AZ215" i="1"/>
  <c r="AY215" i="1"/>
  <c r="AX215" i="1"/>
  <c r="AW215" i="1"/>
  <c r="AV215" i="1"/>
  <c r="AU215" i="1"/>
  <c r="AT215" i="1"/>
  <c r="AS215" i="1"/>
  <c r="AR215" i="1"/>
  <c r="AQ215" i="1"/>
  <c r="AP215" i="1"/>
  <c r="AO215" i="1"/>
  <c r="AN215" i="1"/>
  <c r="BS214" i="1"/>
  <c r="BR214" i="1"/>
  <c r="BQ214" i="1"/>
  <c r="BP214" i="1"/>
  <c r="BO214" i="1"/>
  <c r="BN214" i="1"/>
  <c r="BM214" i="1"/>
  <c r="BL214" i="1"/>
  <c r="BK214" i="1"/>
  <c r="BJ214" i="1"/>
  <c r="BI214" i="1"/>
  <c r="BG214" i="1"/>
  <c r="BF214" i="1"/>
  <c r="BE214" i="1"/>
  <c r="BD214" i="1"/>
  <c r="BC214" i="1"/>
  <c r="BB214" i="1"/>
  <c r="BA214" i="1"/>
  <c r="AZ214" i="1"/>
  <c r="AY214" i="1"/>
  <c r="AX214" i="1"/>
  <c r="AW214" i="1"/>
  <c r="AV214" i="1"/>
  <c r="AU214" i="1"/>
  <c r="AT214" i="1"/>
  <c r="AS214" i="1"/>
  <c r="AR214" i="1"/>
  <c r="AQ214" i="1"/>
  <c r="AP214" i="1"/>
  <c r="AO214" i="1"/>
  <c r="AN214" i="1"/>
  <c r="BS213" i="1"/>
  <c r="BR213" i="1"/>
  <c r="BQ213" i="1"/>
  <c r="BP213" i="1"/>
  <c r="BO213" i="1"/>
  <c r="BN213" i="1"/>
  <c r="BM213" i="1"/>
  <c r="BL213" i="1"/>
  <c r="BK213" i="1"/>
  <c r="BJ213" i="1"/>
  <c r="BI213" i="1"/>
  <c r="BH213" i="1"/>
  <c r="BG213" i="1"/>
  <c r="BF213" i="1"/>
  <c r="BE213" i="1"/>
  <c r="BD213" i="1"/>
  <c r="BC213" i="1"/>
  <c r="BB213" i="1"/>
  <c r="BA213" i="1"/>
  <c r="AZ213" i="1"/>
  <c r="AY213" i="1"/>
  <c r="AX213" i="1"/>
  <c r="AW213" i="1"/>
  <c r="AV213" i="1"/>
  <c r="AU213" i="1"/>
  <c r="AT213" i="1"/>
  <c r="AS213" i="1"/>
  <c r="AR213" i="1"/>
  <c r="AQ213" i="1"/>
  <c r="AP213" i="1"/>
  <c r="AO213" i="1"/>
  <c r="AN213" i="1"/>
  <c r="BS212" i="1"/>
  <c r="BR212" i="1"/>
  <c r="BQ212" i="1"/>
  <c r="BP212" i="1"/>
  <c r="BO212" i="1"/>
  <c r="BN212" i="1"/>
  <c r="BM212" i="1"/>
  <c r="BL212" i="1"/>
  <c r="BK212" i="1"/>
  <c r="BJ212" i="1"/>
  <c r="BI212" i="1"/>
  <c r="BG212" i="1"/>
  <c r="BF212" i="1"/>
  <c r="BE212" i="1"/>
  <c r="BD212" i="1"/>
  <c r="BC212" i="1"/>
  <c r="BB212" i="1"/>
  <c r="BA212" i="1"/>
  <c r="AZ212" i="1"/>
  <c r="AY212" i="1"/>
  <c r="AX212" i="1"/>
  <c r="AW212" i="1"/>
  <c r="AV212" i="1"/>
  <c r="AU212" i="1"/>
  <c r="AT212" i="1"/>
  <c r="AS212" i="1"/>
  <c r="AR212" i="1"/>
  <c r="AQ212" i="1"/>
  <c r="AP212" i="1"/>
  <c r="AO212" i="1"/>
  <c r="AN212" i="1"/>
  <c r="BS211" i="1"/>
  <c r="BR211" i="1"/>
  <c r="BQ211" i="1"/>
  <c r="BP211" i="1"/>
  <c r="BO211" i="1"/>
  <c r="BN211" i="1"/>
  <c r="BM211" i="1"/>
  <c r="BL211" i="1"/>
  <c r="BK211" i="1"/>
  <c r="BJ211" i="1"/>
  <c r="BI211" i="1"/>
  <c r="BG211" i="1"/>
  <c r="BF211" i="1"/>
  <c r="BE211" i="1"/>
  <c r="BD211" i="1"/>
  <c r="BC211" i="1"/>
  <c r="BB211" i="1"/>
  <c r="BA211" i="1"/>
  <c r="AZ211" i="1"/>
  <c r="AY211" i="1"/>
  <c r="AX211" i="1"/>
  <c r="AW211" i="1"/>
  <c r="AV211" i="1"/>
  <c r="AU211" i="1"/>
  <c r="AT211" i="1"/>
  <c r="AS211" i="1"/>
  <c r="AR211" i="1"/>
  <c r="AQ211" i="1"/>
  <c r="AP211" i="1"/>
  <c r="AO211" i="1"/>
  <c r="AN211" i="1"/>
  <c r="BS210" i="1"/>
  <c r="BR210" i="1"/>
  <c r="BQ210" i="1"/>
  <c r="BP210" i="1"/>
  <c r="BO210" i="1"/>
  <c r="BN210" i="1"/>
  <c r="BM210" i="1"/>
  <c r="BL210" i="1"/>
  <c r="BK210" i="1"/>
  <c r="BJ210" i="1"/>
  <c r="BI210" i="1"/>
  <c r="BG210" i="1"/>
  <c r="BF210" i="1"/>
  <c r="BE210" i="1"/>
  <c r="BD210" i="1"/>
  <c r="BC210" i="1"/>
  <c r="BB210" i="1"/>
  <c r="BA210" i="1"/>
  <c r="AZ210" i="1"/>
  <c r="AY210" i="1"/>
  <c r="AX210" i="1"/>
  <c r="AW210" i="1"/>
  <c r="AV210" i="1"/>
  <c r="AU210" i="1"/>
  <c r="AT210" i="1"/>
  <c r="AS210" i="1"/>
  <c r="AR210" i="1"/>
  <c r="AQ210" i="1"/>
  <c r="AP210" i="1"/>
  <c r="AO210" i="1"/>
  <c r="AN210" i="1"/>
  <c r="BS209" i="1"/>
  <c r="BR209" i="1"/>
  <c r="BQ209" i="1"/>
  <c r="BP209" i="1"/>
  <c r="BO209" i="1"/>
  <c r="BN209" i="1"/>
  <c r="BM209" i="1"/>
  <c r="BL209" i="1"/>
  <c r="BK209" i="1"/>
  <c r="BJ209" i="1"/>
  <c r="BI209" i="1"/>
  <c r="BG209" i="1"/>
  <c r="BF209" i="1"/>
  <c r="BE209" i="1"/>
  <c r="BD209" i="1"/>
  <c r="BC209" i="1"/>
  <c r="BB209" i="1"/>
  <c r="BA209" i="1"/>
  <c r="AZ209" i="1"/>
  <c r="AY209" i="1"/>
  <c r="AX209" i="1"/>
  <c r="AW209" i="1"/>
  <c r="AV209" i="1"/>
  <c r="AU209" i="1"/>
  <c r="AT209" i="1"/>
  <c r="AS209" i="1"/>
  <c r="AR209" i="1"/>
  <c r="AQ209" i="1"/>
  <c r="AP209" i="1"/>
  <c r="AO209" i="1"/>
  <c r="AN209" i="1"/>
  <c r="BS208" i="1"/>
  <c r="BR208" i="1"/>
  <c r="BQ208" i="1"/>
  <c r="BP208" i="1"/>
  <c r="BO208" i="1"/>
  <c r="BN208" i="1"/>
  <c r="BM208" i="1"/>
  <c r="BL208" i="1"/>
  <c r="BK208" i="1"/>
  <c r="BJ208" i="1"/>
  <c r="BI208" i="1"/>
  <c r="BG208" i="1"/>
  <c r="BF208" i="1"/>
  <c r="BE208" i="1"/>
  <c r="BD208" i="1"/>
  <c r="BC208" i="1"/>
  <c r="BB208" i="1"/>
  <c r="BA208" i="1"/>
  <c r="AZ208" i="1"/>
  <c r="AY208" i="1"/>
  <c r="AX208" i="1"/>
  <c r="AW208" i="1"/>
  <c r="AV208" i="1"/>
  <c r="AU208" i="1"/>
  <c r="AT208" i="1"/>
  <c r="AS208" i="1"/>
  <c r="AR208" i="1"/>
  <c r="AQ208" i="1"/>
  <c r="AP208" i="1"/>
  <c r="AO208" i="1"/>
  <c r="AN208" i="1"/>
  <c r="BS207" i="1"/>
  <c r="BR207" i="1"/>
  <c r="BQ207" i="1"/>
  <c r="BP207" i="1"/>
  <c r="BO207" i="1"/>
  <c r="BN207" i="1"/>
  <c r="BM207" i="1"/>
  <c r="BL207" i="1"/>
  <c r="BK207" i="1"/>
  <c r="BJ207" i="1"/>
  <c r="BI207" i="1"/>
  <c r="BG207" i="1"/>
  <c r="BF207" i="1"/>
  <c r="BE207" i="1"/>
  <c r="BD207" i="1"/>
  <c r="BC207" i="1"/>
  <c r="BB207" i="1"/>
  <c r="BA207" i="1"/>
  <c r="AZ207" i="1"/>
  <c r="AY207" i="1"/>
  <c r="AX207" i="1"/>
  <c r="AW207" i="1"/>
  <c r="AV207" i="1"/>
  <c r="AU207" i="1"/>
  <c r="AT207" i="1"/>
  <c r="AS207" i="1"/>
  <c r="AR207" i="1"/>
  <c r="AQ207" i="1"/>
  <c r="AP207" i="1"/>
  <c r="AO207" i="1"/>
  <c r="AN207" i="1"/>
  <c r="BS206" i="1"/>
  <c r="BR206" i="1"/>
  <c r="BQ206" i="1"/>
  <c r="BP206" i="1"/>
  <c r="BO206" i="1"/>
  <c r="BN206" i="1"/>
  <c r="BM206" i="1"/>
  <c r="BL206" i="1"/>
  <c r="BK206" i="1"/>
  <c r="BJ206" i="1"/>
  <c r="BI206" i="1"/>
  <c r="BG206" i="1"/>
  <c r="BF206" i="1"/>
  <c r="BE206" i="1"/>
  <c r="BD206" i="1"/>
  <c r="BC206" i="1"/>
  <c r="BB206" i="1"/>
  <c r="BA206" i="1"/>
  <c r="AZ206" i="1"/>
  <c r="AY206" i="1"/>
  <c r="AX206" i="1"/>
  <c r="AW206" i="1"/>
  <c r="AV206" i="1"/>
  <c r="AU206" i="1"/>
  <c r="AT206" i="1"/>
  <c r="AS206" i="1"/>
  <c r="AR206" i="1"/>
  <c r="AQ206" i="1"/>
  <c r="AP206" i="1"/>
  <c r="AO206" i="1"/>
  <c r="AN206" i="1"/>
  <c r="BS205" i="1"/>
  <c r="BR205" i="1"/>
  <c r="BQ205" i="1"/>
  <c r="BP205" i="1"/>
  <c r="BO205" i="1"/>
  <c r="BN205" i="1"/>
  <c r="BM205" i="1"/>
  <c r="BL205" i="1"/>
  <c r="BK205" i="1"/>
  <c r="BJ205" i="1"/>
  <c r="BI205" i="1"/>
  <c r="BH205" i="1"/>
  <c r="BG205" i="1"/>
  <c r="BF205" i="1"/>
  <c r="BE205" i="1"/>
  <c r="BD205" i="1"/>
  <c r="BC205" i="1"/>
  <c r="BB205" i="1"/>
  <c r="BA205" i="1"/>
  <c r="AZ205" i="1"/>
  <c r="AY205" i="1"/>
  <c r="AX205" i="1"/>
  <c r="AW205" i="1"/>
  <c r="AV205" i="1"/>
  <c r="AU205" i="1"/>
  <c r="AT205" i="1"/>
  <c r="AS205" i="1"/>
  <c r="AR205" i="1"/>
  <c r="AQ205" i="1"/>
  <c r="AP205" i="1"/>
  <c r="AO205" i="1"/>
  <c r="AN205" i="1"/>
  <c r="BS204" i="1"/>
  <c r="BR204" i="1"/>
  <c r="BQ204" i="1"/>
  <c r="BP204" i="1"/>
  <c r="BO204" i="1"/>
  <c r="BN204" i="1"/>
  <c r="BM204" i="1"/>
  <c r="BL204" i="1"/>
  <c r="BK204" i="1"/>
  <c r="BJ204" i="1"/>
  <c r="BI204" i="1"/>
  <c r="BG204" i="1"/>
  <c r="BF204" i="1"/>
  <c r="BE204" i="1"/>
  <c r="BD204" i="1"/>
  <c r="BC204" i="1"/>
  <c r="BB204" i="1"/>
  <c r="BA204" i="1"/>
  <c r="AZ204" i="1"/>
  <c r="AY204" i="1"/>
  <c r="AX204" i="1"/>
  <c r="AW204" i="1"/>
  <c r="AV204" i="1"/>
  <c r="AU204" i="1"/>
  <c r="AT204" i="1"/>
  <c r="AS204" i="1"/>
  <c r="AR204" i="1"/>
  <c r="AQ204" i="1"/>
  <c r="AP204" i="1"/>
  <c r="AO204" i="1"/>
  <c r="AN204" i="1"/>
  <c r="BS203" i="1"/>
  <c r="BR203" i="1"/>
  <c r="BQ203" i="1"/>
  <c r="BP203" i="1"/>
  <c r="BO203" i="1"/>
  <c r="BN203" i="1"/>
  <c r="BM203" i="1"/>
  <c r="BL203" i="1"/>
  <c r="BK203" i="1"/>
  <c r="BJ203" i="1"/>
  <c r="BI203" i="1"/>
  <c r="BG203" i="1"/>
  <c r="BF203" i="1"/>
  <c r="BE203" i="1"/>
  <c r="BD203" i="1"/>
  <c r="BC203" i="1"/>
  <c r="BB203" i="1"/>
  <c r="BA203" i="1"/>
  <c r="AZ203" i="1"/>
  <c r="AY203" i="1"/>
  <c r="AX203" i="1"/>
  <c r="AW203" i="1"/>
  <c r="AV203" i="1"/>
  <c r="AU203" i="1"/>
  <c r="AT203" i="1"/>
  <c r="AS203" i="1"/>
  <c r="AR203" i="1"/>
  <c r="AQ203" i="1"/>
  <c r="AP203" i="1"/>
  <c r="AO203" i="1"/>
  <c r="AN203" i="1"/>
  <c r="BS202" i="1"/>
  <c r="BR202" i="1"/>
  <c r="BQ202" i="1"/>
  <c r="BP202" i="1"/>
  <c r="BO202" i="1"/>
  <c r="BN202" i="1"/>
  <c r="BM202" i="1"/>
  <c r="BL202" i="1"/>
  <c r="BK202" i="1"/>
  <c r="BJ202" i="1"/>
  <c r="BI202" i="1"/>
  <c r="BG202" i="1"/>
  <c r="BF202" i="1"/>
  <c r="BE202" i="1"/>
  <c r="BD202" i="1"/>
  <c r="BC202" i="1"/>
  <c r="BB202" i="1"/>
  <c r="BA202" i="1"/>
  <c r="AZ202" i="1"/>
  <c r="AY202" i="1"/>
  <c r="AX202" i="1"/>
  <c r="AW202" i="1"/>
  <c r="AV202" i="1"/>
  <c r="AU202" i="1"/>
  <c r="AT202" i="1"/>
  <c r="AS202" i="1"/>
  <c r="AR202" i="1"/>
  <c r="AQ202" i="1"/>
  <c r="AP202" i="1"/>
  <c r="AO202" i="1"/>
  <c r="AN202" i="1"/>
  <c r="BS201" i="1"/>
  <c r="BR201" i="1"/>
  <c r="BQ201" i="1"/>
  <c r="BP201" i="1"/>
  <c r="BO201" i="1"/>
  <c r="BN201" i="1"/>
  <c r="BM201" i="1"/>
  <c r="BL201" i="1"/>
  <c r="BK201" i="1"/>
  <c r="BJ201" i="1"/>
  <c r="BI201" i="1"/>
  <c r="BG201" i="1"/>
  <c r="BF201" i="1"/>
  <c r="BE201" i="1"/>
  <c r="BD201" i="1"/>
  <c r="BC201" i="1"/>
  <c r="BB201" i="1"/>
  <c r="BA201" i="1"/>
  <c r="AZ201" i="1"/>
  <c r="AY201" i="1"/>
  <c r="AX201" i="1"/>
  <c r="AW201" i="1"/>
  <c r="AV201" i="1"/>
  <c r="AU201" i="1"/>
  <c r="AT201" i="1"/>
  <c r="AS201" i="1"/>
  <c r="AR201" i="1"/>
  <c r="AQ201" i="1"/>
  <c r="AP201" i="1"/>
  <c r="AO201" i="1"/>
  <c r="AN201" i="1"/>
  <c r="BS200" i="1"/>
  <c r="BR200" i="1"/>
  <c r="BQ200" i="1"/>
  <c r="BP200" i="1"/>
  <c r="BO200" i="1"/>
  <c r="BN200" i="1"/>
  <c r="BM200" i="1"/>
  <c r="BL200" i="1"/>
  <c r="BK200" i="1"/>
  <c r="BJ200" i="1"/>
  <c r="BI200" i="1"/>
  <c r="BG200" i="1"/>
  <c r="BF200" i="1"/>
  <c r="BE200" i="1"/>
  <c r="BD200" i="1"/>
  <c r="BC200" i="1"/>
  <c r="BB200" i="1"/>
  <c r="BA200" i="1"/>
  <c r="AZ200" i="1"/>
  <c r="AY200" i="1"/>
  <c r="AX200" i="1"/>
  <c r="AW200" i="1"/>
  <c r="AV200" i="1"/>
  <c r="AU200" i="1"/>
  <c r="AT200" i="1"/>
  <c r="AS200" i="1"/>
  <c r="AR200" i="1"/>
  <c r="AQ200" i="1"/>
  <c r="AP200" i="1"/>
  <c r="AO200" i="1"/>
  <c r="AN200" i="1"/>
  <c r="BS199" i="1"/>
  <c r="BR199" i="1"/>
  <c r="BQ199" i="1"/>
  <c r="BP199" i="1"/>
  <c r="BO199" i="1"/>
  <c r="BN199" i="1"/>
  <c r="BM199" i="1"/>
  <c r="BL199" i="1"/>
  <c r="BK199" i="1"/>
  <c r="BJ199" i="1"/>
  <c r="BI199" i="1"/>
  <c r="BG199" i="1"/>
  <c r="BF199" i="1"/>
  <c r="BE199" i="1"/>
  <c r="BD199" i="1"/>
  <c r="BC199" i="1"/>
  <c r="BB199" i="1"/>
  <c r="BA199" i="1"/>
  <c r="AZ199" i="1"/>
  <c r="AY199" i="1"/>
  <c r="AX199" i="1"/>
  <c r="AW199" i="1"/>
  <c r="AV199" i="1"/>
  <c r="AU199" i="1"/>
  <c r="AT199" i="1"/>
  <c r="AS199" i="1"/>
  <c r="AR199" i="1"/>
  <c r="AQ199" i="1"/>
  <c r="AP199" i="1"/>
  <c r="AO199" i="1"/>
  <c r="AN199" i="1"/>
  <c r="BS198" i="1"/>
  <c r="BR198" i="1"/>
  <c r="BQ198" i="1"/>
  <c r="BP198" i="1"/>
  <c r="BO198" i="1"/>
  <c r="BN198" i="1"/>
  <c r="BM198" i="1"/>
  <c r="BL198" i="1"/>
  <c r="BK198" i="1"/>
  <c r="BJ198" i="1"/>
  <c r="BI198" i="1"/>
  <c r="BG198" i="1"/>
  <c r="BF198" i="1"/>
  <c r="BE198" i="1"/>
  <c r="BD198" i="1"/>
  <c r="BC198" i="1"/>
  <c r="BB198" i="1"/>
  <c r="BA198" i="1"/>
  <c r="AZ198" i="1"/>
  <c r="AY198" i="1"/>
  <c r="AX198" i="1"/>
  <c r="AW198" i="1"/>
  <c r="AV198" i="1"/>
  <c r="AU198" i="1"/>
  <c r="AT198" i="1"/>
  <c r="AS198" i="1"/>
  <c r="AR198" i="1"/>
  <c r="AQ198" i="1"/>
  <c r="AP198" i="1"/>
  <c r="AO198" i="1"/>
  <c r="AN198" i="1"/>
  <c r="BS197" i="1"/>
  <c r="BR197" i="1"/>
  <c r="BQ197" i="1"/>
  <c r="BP197" i="1"/>
  <c r="BO197" i="1"/>
  <c r="BN197" i="1"/>
  <c r="BM197" i="1"/>
  <c r="BL197" i="1"/>
  <c r="BK197" i="1"/>
  <c r="BJ197" i="1"/>
  <c r="BI197" i="1"/>
  <c r="BH197" i="1"/>
  <c r="BG197" i="1"/>
  <c r="BF197" i="1"/>
  <c r="BE197" i="1"/>
  <c r="BD197" i="1"/>
  <c r="BC197" i="1"/>
  <c r="BB197" i="1"/>
  <c r="BA197" i="1"/>
  <c r="AZ197" i="1"/>
  <c r="AY197" i="1"/>
  <c r="AX197" i="1"/>
  <c r="AW197" i="1"/>
  <c r="AV197" i="1"/>
  <c r="AU197" i="1"/>
  <c r="AT197" i="1"/>
  <c r="AS197" i="1"/>
  <c r="AR197" i="1"/>
  <c r="AQ197" i="1"/>
  <c r="AP197" i="1"/>
  <c r="AO197" i="1"/>
  <c r="AN197" i="1"/>
  <c r="BS196" i="1"/>
  <c r="BR196" i="1"/>
  <c r="BQ196" i="1"/>
  <c r="BP196" i="1"/>
  <c r="BO196" i="1"/>
  <c r="BN196" i="1"/>
  <c r="BM196" i="1"/>
  <c r="BL196" i="1"/>
  <c r="BK196" i="1"/>
  <c r="BJ196" i="1"/>
  <c r="BI196" i="1"/>
  <c r="BG196" i="1"/>
  <c r="BF196" i="1"/>
  <c r="BE196" i="1"/>
  <c r="BD196" i="1"/>
  <c r="BC196" i="1"/>
  <c r="BB196" i="1"/>
  <c r="BA196" i="1"/>
  <c r="AZ196" i="1"/>
  <c r="AY196" i="1"/>
  <c r="AX196" i="1"/>
  <c r="AW196" i="1"/>
  <c r="AV196" i="1"/>
  <c r="AU196" i="1"/>
  <c r="AT196" i="1"/>
  <c r="AS196" i="1"/>
  <c r="AR196" i="1"/>
  <c r="AQ196" i="1"/>
  <c r="AP196" i="1"/>
  <c r="AO196" i="1"/>
  <c r="AN196" i="1"/>
  <c r="BS195" i="1"/>
  <c r="BR195" i="1"/>
  <c r="BQ195" i="1"/>
  <c r="BP195" i="1"/>
  <c r="BO195" i="1"/>
  <c r="BN195" i="1"/>
  <c r="BM195" i="1"/>
  <c r="BL195" i="1"/>
  <c r="BK195" i="1"/>
  <c r="BJ195" i="1"/>
  <c r="BI195" i="1"/>
  <c r="BG195" i="1"/>
  <c r="BF195" i="1"/>
  <c r="BE195" i="1"/>
  <c r="BD195" i="1"/>
  <c r="BC195" i="1"/>
  <c r="BB195" i="1"/>
  <c r="BA195" i="1"/>
  <c r="AZ195" i="1"/>
  <c r="AY195" i="1"/>
  <c r="AX195" i="1"/>
  <c r="AW195" i="1"/>
  <c r="AV195" i="1"/>
  <c r="AU195" i="1"/>
  <c r="AT195" i="1"/>
  <c r="AS195" i="1"/>
  <c r="AR195" i="1"/>
  <c r="AQ195" i="1"/>
  <c r="AP195" i="1"/>
  <c r="AO195" i="1"/>
  <c r="AN195" i="1"/>
  <c r="BS194" i="1"/>
  <c r="BR194" i="1"/>
  <c r="BQ194" i="1"/>
  <c r="BP194" i="1"/>
  <c r="BO194" i="1"/>
  <c r="BN194" i="1"/>
  <c r="BM194" i="1"/>
  <c r="BL194" i="1"/>
  <c r="BK194" i="1"/>
  <c r="BJ194" i="1"/>
  <c r="BI194" i="1"/>
  <c r="BG194" i="1"/>
  <c r="BF194" i="1"/>
  <c r="BE194" i="1"/>
  <c r="BD194" i="1"/>
  <c r="BC194" i="1"/>
  <c r="BB194" i="1"/>
  <c r="BA194" i="1"/>
  <c r="AZ194" i="1"/>
  <c r="AY194" i="1"/>
  <c r="AX194" i="1"/>
  <c r="AW194" i="1"/>
  <c r="AV194" i="1"/>
  <c r="AU194" i="1"/>
  <c r="AT194" i="1"/>
  <c r="AS194" i="1"/>
  <c r="AR194" i="1"/>
  <c r="AQ194" i="1"/>
  <c r="AP194" i="1"/>
  <c r="AO194" i="1"/>
  <c r="AN194" i="1"/>
  <c r="BS193" i="1"/>
  <c r="BR193" i="1"/>
  <c r="BQ193" i="1"/>
  <c r="BP193" i="1"/>
  <c r="BO193" i="1"/>
  <c r="BN193" i="1"/>
  <c r="BM193" i="1"/>
  <c r="BL193" i="1"/>
  <c r="BK193" i="1"/>
  <c r="BJ193" i="1"/>
  <c r="BI193" i="1"/>
  <c r="BG193" i="1"/>
  <c r="BF193" i="1"/>
  <c r="BE193" i="1"/>
  <c r="BD193" i="1"/>
  <c r="BC193" i="1"/>
  <c r="BB193" i="1"/>
  <c r="BA193" i="1"/>
  <c r="AZ193" i="1"/>
  <c r="AY193" i="1"/>
  <c r="AX193" i="1"/>
  <c r="AW193" i="1"/>
  <c r="AV193" i="1"/>
  <c r="AU193" i="1"/>
  <c r="AT193" i="1"/>
  <c r="AS193" i="1"/>
  <c r="AR193" i="1"/>
  <c r="AQ193" i="1"/>
  <c r="AP193" i="1"/>
  <c r="AO193" i="1"/>
  <c r="AN193" i="1"/>
  <c r="BS192" i="1"/>
  <c r="BR192" i="1"/>
  <c r="BQ192" i="1"/>
  <c r="BP192" i="1"/>
  <c r="BO192" i="1"/>
  <c r="BN192" i="1"/>
  <c r="BM192" i="1"/>
  <c r="BL192" i="1"/>
  <c r="BK192" i="1"/>
  <c r="BJ192" i="1"/>
  <c r="BI192" i="1"/>
  <c r="BG192" i="1"/>
  <c r="BF192" i="1"/>
  <c r="BE192" i="1"/>
  <c r="BD192" i="1"/>
  <c r="BC192" i="1"/>
  <c r="BB192" i="1"/>
  <c r="BA192" i="1"/>
  <c r="AZ192" i="1"/>
  <c r="AY192" i="1"/>
  <c r="AX192" i="1"/>
  <c r="AW192" i="1"/>
  <c r="AV192" i="1"/>
  <c r="AU192" i="1"/>
  <c r="AT192" i="1"/>
  <c r="AS192" i="1"/>
  <c r="AR192" i="1"/>
  <c r="AQ192" i="1"/>
  <c r="AP192" i="1"/>
  <c r="AO192" i="1"/>
  <c r="AN192" i="1"/>
  <c r="BS191" i="1"/>
  <c r="BR191" i="1"/>
  <c r="BQ191" i="1"/>
  <c r="BP191" i="1"/>
  <c r="BO191" i="1"/>
  <c r="BN191" i="1"/>
  <c r="BM191" i="1"/>
  <c r="BL191" i="1"/>
  <c r="BK191" i="1"/>
  <c r="BJ191" i="1"/>
  <c r="BI191" i="1"/>
  <c r="BG191" i="1"/>
  <c r="BF191" i="1"/>
  <c r="BE191" i="1"/>
  <c r="BD191" i="1"/>
  <c r="BC191" i="1"/>
  <c r="BB191" i="1"/>
  <c r="BA191" i="1"/>
  <c r="AZ191" i="1"/>
  <c r="AY191" i="1"/>
  <c r="AX191" i="1"/>
  <c r="AW191" i="1"/>
  <c r="AV191" i="1"/>
  <c r="AU191" i="1"/>
  <c r="AT191" i="1"/>
  <c r="AS191" i="1"/>
  <c r="AR191" i="1"/>
  <c r="AQ191" i="1"/>
  <c r="AP191" i="1"/>
  <c r="AO191" i="1"/>
  <c r="AN191" i="1"/>
  <c r="BS190" i="1"/>
  <c r="BR190" i="1"/>
  <c r="BQ190" i="1"/>
  <c r="BP190" i="1"/>
  <c r="BO190" i="1"/>
  <c r="BN190" i="1"/>
  <c r="BM190" i="1"/>
  <c r="BL190" i="1"/>
  <c r="BK190" i="1"/>
  <c r="BJ190" i="1"/>
  <c r="BI190" i="1"/>
  <c r="BG190" i="1"/>
  <c r="BF190" i="1"/>
  <c r="BE190" i="1"/>
  <c r="BD190" i="1"/>
  <c r="BC190" i="1"/>
  <c r="BB190" i="1"/>
  <c r="BA190" i="1"/>
  <c r="AZ190" i="1"/>
  <c r="AY190" i="1"/>
  <c r="AX190" i="1"/>
  <c r="AW190" i="1"/>
  <c r="AV190" i="1"/>
  <c r="AU190" i="1"/>
  <c r="AT190" i="1"/>
  <c r="AS190" i="1"/>
  <c r="AR190" i="1"/>
  <c r="AQ190" i="1"/>
  <c r="AP190" i="1"/>
  <c r="AO190" i="1"/>
  <c r="AN190" i="1"/>
  <c r="BS189" i="1"/>
  <c r="BR189" i="1"/>
  <c r="BQ189" i="1"/>
  <c r="BP189" i="1"/>
  <c r="BO189" i="1"/>
  <c r="BN189" i="1"/>
  <c r="BM189" i="1"/>
  <c r="BL189" i="1"/>
  <c r="BK189" i="1"/>
  <c r="BJ189" i="1"/>
  <c r="BI189" i="1"/>
  <c r="BH189" i="1"/>
  <c r="BG189" i="1"/>
  <c r="BF189" i="1"/>
  <c r="BE189" i="1"/>
  <c r="BD189" i="1"/>
  <c r="BC189" i="1"/>
  <c r="BB189" i="1"/>
  <c r="BA189" i="1"/>
  <c r="AZ189" i="1"/>
  <c r="AY189" i="1"/>
  <c r="AX189" i="1"/>
  <c r="AW189" i="1"/>
  <c r="AV189" i="1"/>
  <c r="AU189" i="1"/>
  <c r="AT189" i="1"/>
  <c r="AS189" i="1"/>
  <c r="AR189" i="1"/>
  <c r="AQ189" i="1"/>
  <c r="AP189" i="1"/>
  <c r="AO189" i="1"/>
  <c r="AN189" i="1"/>
  <c r="BS188" i="1"/>
  <c r="BR188" i="1"/>
  <c r="BQ188" i="1"/>
  <c r="BP188" i="1"/>
  <c r="BO188" i="1"/>
  <c r="BN188" i="1"/>
  <c r="BM188" i="1"/>
  <c r="BL188" i="1"/>
  <c r="BK188" i="1"/>
  <c r="BJ188" i="1"/>
  <c r="BI188" i="1"/>
  <c r="BG188" i="1"/>
  <c r="BF188" i="1"/>
  <c r="BE188" i="1"/>
  <c r="BD188" i="1"/>
  <c r="BC188" i="1"/>
  <c r="BB188" i="1"/>
  <c r="BA188" i="1"/>
  <c r="AZ188" i="1"/>
  <c r="AY188" i="1"/>
  <c r="AX188" i="1"/>
  <c r="AW188" i="1"/>
  <c r="AV188" i="1"/>
  <c r="AU188" i="1"/>
  <c r="AT188" i="1"/>
  <c r="AS188" i="1"/>
  <c r="AR188" i="1"/>
  <c r="AQ188" i="1"/>
  <c r="AP188" i="1"/>
  <c r="AO188" i="1"/>
  <c r="AN188" i="1"/>
  <c r="BS187" i="1"/>
  <c r="BR187" i="1"/>
  <c r="BQ187" i="1"/>
  <c r="BP187" i="1"/>
  <c r="BO187" i="1"/>
  <c r="BN187" i="1"/>
  <c r="BM187" i="1"/>
  <c r="BL187" i="1"/>
  <c r="BK187" i="1"/>
  <c r="BJ187" i="1"/>
  <c r="BI187" i="1"/>
  <c r="BG187" i="1"/>
  <c r="BF187" i="1"/>
  <c r="BE187" i="1"/>
  <c r="BD187" i="1"/>
  <c r="BC187" i="1"/>
  <c r="BB187" i="1"/>
  <c r="BA187" i="1"/>
  <c r="AZ187" i="1"/>
  <c r="AY187" i="1"/>
  <c r="AX187" i="1"/>
  <c r="AW187" i="1"/>
  <c r="AV187" i="1"/>
  <c r="AU187" i="1"/>
  <c r="AT187" i="1"/>
  <c r="AS187" i="1"/>
  <c r="AR187" i="1"/>
  <c r="AQ187" i="1"/>
  <c r="AP187" i="1"/>
  <c r="AO187" i="1"/>
  <c r="AN187" i="1"/>
  <c r="BS186" i="1"/>
  <c r="BR186" i="1"/>
  <c r="BQ186" i="1"/>
  <c r="BP186" i="1"/>
  <c r="BO186" i="1"/>
  <c r="BN186" i="1"/>
  <c r="BM186" i="1"/>
  <c r="BL186" i="1"/>
  <c r="BK186" i="1"/>
  <c r="BJ186" i="1"/>
  <c r="BI186" i="1"/>
  <c r="BG186" i="1"/>
  <c r="BF186" i="1"/>
  <c r="BE186" i="1"/>
  <c r="BD186" i="1"/>
  <c r="BC186" i="1"/>
  <c r="BB186" i="1"/>
  <c r="BA186" i="1"/>
  <c r="AZ186" i="1"/>
  <c r="AY186" i="1"/>
  <c r="AX186" i="1"/>
  <c r="AW186" i="1"/>
  <c r="AV186" i="1"/>
  <c r="AU186" i="1"/>
  <c r="AT186" i="1"/>
  <c r="AS186" i="1"/>
  <c r="AR186" i="1"/>
  <c r="AQ186" i="1"/>
  <c r="AP186" i="1"/>
  <c r="AO186" i="1"/>
  <c r="AN186" i="1"/>
  <c r="BS185" i="1"/>
  <c r="BR185" i="1"/>
  <c r="BQ185" i="1"/>
  <c r="BP185" i="1"/>
  <c r="BO185" i="1"/>
  <c r="BN185" i="1"/>
  <c r="BM185" i="1"/>
  <c r="BL185" i="1"/>
  <c r="BK185" i="1"/>
  <c r="BJ185" i="1"/>
  <c r="BI185" i="1"/>
  <c r="BG185" i="1"/>
  <c r="BF185" i="1"/>
  <c r="BE185" i="1"/>
  <c r="BD185" i="1"/>
  <c r="BC185" i="1"/>
  <c r="BB185" i="1"/>
  <c r="BA185" i="1"/>
  <c r="AZ185" i="1"/>
  <c r="AY185" i="1"/>
  <c r="AX185" i="1"/>
  <c r="AW185" i="1"/>
  <c r="AV185" i="1"/>
  <c r="AU185" i="1"/>
  <c r="AT185" i="1"/>
  <c r="AS185" i="1"/>
  <c r="AR185" i="1"/>
  <c r="AQ185" i="1"/>
  <c r="AP185" i="1"/>
  <c r="AO185" i="1"/>
  <c r="AN185" i="1"/>
  <c r="BS184" i="1"/>
  <c r="BR184" i="1"/>
  <c r="BQ184" i="1"/>
  <c r="BP184" i="1"/>
  <c r="BO184" i="1"/>
  <c r="BN184" i="1"/>
  <c r="BM184" i="1"/>
  <c r="BL184" i="1"/>
  <c r="BK184" i="1"/>
  <c r="BJ184" i="1"/>
  <c r="BI184" i="1"/>
  <c r="BG184" i="1"/>
  <c r="BF184" i="1"/>
  <c r="BE184" i="1"/>
  <c r="BD184" i="1"/>
  <c r="BC184" i="1"/>
  <c r="BB184" i="1"/>
  <c r="BA184" i="1"/>
  <c r="AZ184" i="1"/>
  <c r="AY184" i="1"/>
  <c r="AX184" i="1"/>
  <c r="AW184" i="1"/>
  <c r="AV184" i="1"/>
  <c r="AU184" i="1"/>
  <c r="AT184" i="1"/>
  <c r="AS184" i="1"/>
  <c r="AR184" i="1"/>
  <c r="AQ184" i="1"/>
  <c r="AP184" i="1"/>
  <c r="AO184" i="1"/>
  <c r="AN184" i="1"/>
  <c r="BS183" i="1"/>
  <c r="BR183" i="1"/>
  <c r="BQ183" i="1"/>
  <c r="BP183" i="1"/>
  <c r="BO183" i="1"/>
  <c r="BN183" i="1"/>
  <c r="BM183" i="1"/>
  <c r="BL183" i="1"/>
  <c r="BK183" i="1"/>
  <c r="BJ183" i="1"/>
  <c r="BI183" i="1"/>
  <c r="BG183" i="1"/>
  <c r="BF183" i="1"/>
  <c r="BE183" i="1"/>
  <c r="BD183" i="1"/>
  <c r="BC183" i="1"/>
  <c r="BB183" i="1"/>
  <c r="BA183" i="1"/>
  <c r="AZ183" i="1"/>
  <c r="AY183" i="1"/>
  <c r="AX183" i="1"/>
  <c r="AW183" i="1"/>
  <c r="AV183" i="1"/>
  <c r="AU183" i="1"/>
  <c r="AT183" i="1"/>
  <c r="AS183" i="1"/>
  <c r="AR183" i="1"/>
  <c r="AQ183" i="1"/>
  <c r="AP183" i="1"/>
  <c r="AO183" i="1"/>
  <c r="AN183" i="1"/>
  <c r="BS182" i="1"/>
  <c r="BR182" i="1"/>
  <c r="BQ182" i="1"/>
  <c r="BP182" i="1"/>
  <c r="BO182" i="1"/>
  <c r="BN182" i="1"/>
  <c r="BM182" i="1"/>
  <c r="BL182" i="1"/>
  <c r="BK182" i="1"/>
  <c r="BJ182" i="1"/>
  <c r="BI182" i="1"/>
  <c r="BG182" i="1"/>
  <c r="BF182" i="1"/>
  <c r="BE182" i="1"/>
  <c r="BD182" i="1"/>
  <c r="BC182" i="1"/>
  <c r="BB182" i="1"/>
  <c r="BA182" i="1"/>
  <c r="AZ182" i="1"/>
  <c r="AY182" i="1"/>
  <c r="AX182" i="1"/>
  <c r="AW182" i="1"/>
  <c r="AV182" i="1"/>
  <c r="AU182" i="1"/>
  <c r="AT182" i="1"/>
  <c r="AS182" i="1"/>
  <c r="AR182" i="1"/>
  <c r="AQ182" i="1"/>
  <c r="AP182" i="1"/>
  <c r="AO182" i="1"/>
  <c r="AN182" i="1"/>
  <c r="BS181" i="1"/>
  <c r="BR181" i="1"/>
  <c r="BQ181" i="1"/>
  <c r="BP181" i="1"/>
  <c r="BO181" i="1"/>
  <c r="BN181" i="1"/>
  <c r="BM181" i="1"/>
  <c r="BL181" i="1"/>
  <c r="BK181" i="1"/>
  <c r="BJ181" i="1"/>
  <c r="BI181" i="1"/>
  <c r="BH181" i="1"/>
  <c r="BG181" i="1"/>
  <c r="BF181" i="1"/>
  <c r="BE181" i="1"/>
  <c r="BD181" i="1"/>
  <c r="BC181" i="1"/>
  <c r="BB181" i="1"/>
  <c r="BA181" i="1"/>
  <c r="AZ181" i="1"/>
  <c r="AY181" i="1"/>
  <c r="AX181" i="1"/>
  <c r="AW181" i="1"/>
  <c r="AV181" i="1"/>
  <c r="AU181" i="1"/>
  <c r="AT181" i="1"/>
  <c r="AS181" i="1"/>
  <c r="AR181" i="1"/>
  <c r="AQ181" i="1"/>
  <c r="AP181" i="1"/>
  <c r="AO181" i="1"/>
  <c r="AN181" i="1"/>
  <c r="BS180" i="1"/>
  <c r="BR180" i="1"/>
  <c r="BQ180" i="1"/>
  <c r="BP180" i="1"/>
  <c r="BO180" i="1"/>
  <c r="BN180" i="1"/>
  <c r="BM180" i="1"/>
  <c r="BL180" i="1"/>
  <c r="BK180" i="1"/>
  <c r="BJ180" i="1"/>
  <c r="BI180" i="1"/>
  <c r="BG180" i="1"/>
  <c r="BF180" i="1"/>
  <c r="BE180" i="1"/>
  <c r="BD180" i="1"/>
  <c r="BC180" i="1"/>
  <c r="BB180" i="1"/>
  <c r="BA180" i="1"/>
  <c r="AZ180" i="1"/>
  <c r="AY180" i="1"/>
  <c r="AX180" i="1"/>
  <c r="AW180" i="1"/>
  <c r="AV180" i="1"/>
  <c r="AU180" i="1"/>
  <c r="AT180" i="1"/>
  <c r="AS180" i="1"/>
  <c r="AR180" i="1"/>
  <c r="AQ180" i="1"/>
  <c r="AP180" i="1"/>
  <c r="AO180" i="1"/>
  <c r="AN180" i="1"/>
  <c r="BS179" i="1"/>
  <c r="BR179" i="1"/>
  <c r="BQ179" i="1"/>
  <c r="BP179" i="1"/>
  <c r="BO179" i="1"/>
  <c r="BN179" i="1"/>
  <c r="BM179" i="1"/>
  <c r="BL179" i="1"/>
  <c r="BK179" i="1"/>
  <c r="BJ179" i="1"/>
  <c r="BI179" i="1"/>
  <c r="BG179" i="1"/>
  <c r="BF179" i="1"/>
  <c r="BE179" i="1"/>
  <c r="BD179" i="1"/>
  <c r="BC179" i="1"/>
  <c r="BB179" i="1"/>
  <c r="BA179" i="1"/>
  <c r="AZ179" i="1"/>
  <c r="AY179" i="1"/>
  <c r="AX179" i="1"/>
  <c r="AW179" i="1"/>
  <c r="AV179" i="1"/>
  <c r="AU179" i="1"/>
  <c r="AT179" i="1"/>
  <c r="AS179" i="1"/>
  <c r="AR179" i="1"/>
  <c r="AQ179" i="1"/>
  <c r="AP179" i="1"/>
  <c r="AO179" i="1"/>
  <c r="AN179" i="1"/>
  <c r="BS178" i="1"/>
  <c r="BR178" i="1"/>
  <c r="BQ178" i="1"/>
  <c r="BP178" i="1"/>
  <c r="BO178" i="1"/>
  <c r="BN178" i="1"/>
  <c r="BM178" i="1"/>
  <c r="BL178" i="1"/>
  <c r="BK178" i="1"/>
  <c r="BJ178" i="1"/>
  <c r="BI178" i="1"/>
  <c r="BG178" i="1"/>
  <c r="BF178" i="1"/>
  <c r="BE178" i="1"/>
  <c r="BD178" i="1"/>
  <c r="BC178" i="1"/>
  <c r="BB178" i="1"/>
  <c r="BA178" i="1"/>
  <c r="AZ178" i="1"/>
  <c r="AY178" i="1"/>
  <c r="AX178" i="1"/>
  <c r="AW178" i="1"/>
  <c r="AV178" i="1"/>
  <c r="AU178" i="1"/>
  <c r="AT178" i="1"/>
  <c r="AS178" i="1"/>
  <c r="AR178" i="1"/>
  <c r="AQ178" i="1"/>
  <c r="AP178" i="1"/>
  <c r="AO178" i="1"/>
  <c r="AN178" i="1"/>
  <c r="BS177" i="1"/>
  <c r="BR177" i="1"/>
  <c r="BQ177" i="1"/>
  <c r="BP177" i="1"/>
  <c r="BO177" i="1"/>
  <c r="BN177" i="1"/>
  <c r="BM177" i="1"/>
  <c r="BL177" i="1"/>
  <c r="BK177" i="1"/>
  <c r="BJ177" i="1"/>
  <c r="BI177" i="1"/>
  <c r="BG177" i="1"/>
  <c r="BF177" i="1"/>
  <c r="BE177" i="1"/>
  <c r="BD177" i="1"/>
  <c r="BC177" i="1"/>
  <c r="BB177" i="1"/>
  <c r="BA177" i="1"/>
  <c r="AZ177" i="1"/>
  <c r="AY177" i="1"/>
  <c r="AX177" i="1"/>
  <c r="AW177" i="1"/>
  <c r="AV177" i="1"/>
  <c r="AU177" i="1"/>
  <c r="AT177" i="1"/>
  <c r="AS177" i="1"/>
  <c r="AR177" i="1"/>
  <c r="AQ177" i="1"/>
  <c r="AP177" i="1"/>
  <c r="AO177" i="1"/>
  <c r="AN177" i="1"/>
  <c r="BS176" i="1"/>
  <c r="BR176" i="1"/>
  <c r="BQ176" i="1"/>
  <c r="BP176" i="1"/>
  <c r="BO176" i="1"/>
  <c r="BN176" i="1"/>
  <c r="BM176" i="1"/>
  <c r="BL176" i="1"/>
  <c r="BK176" i="1"/>
  <c r="BJ176" i="1"/>
  <c r="BI176" i="1"/>
  <c r="BG176" i="1"/>
  <c r="BF176" i="1"/>
  <c r="BE176" i="1"/>
  <c r="BD176" i="1"/>
  <c r="BC176" i="1"/>
  <c r="BB176" i="1"/>
  <c r="BA176" i="1"/>
  <c r="AZ176" i="1"/>
  <c r="AY176" i="1"/>
  <c r="AX176" i="1"/>
  <c r="AW176" i="1"/>
  <c r="AV176" i="1"/>
  <c r="AU176" i="1"/>
  <c r="AT176" i="1"/>
  <c r="AS176" i="1"/>
  <c r="AR176" i="1"/>
  <c r="AQ176" i="1"/>
  <c r="AP176" i="1"/>
  <c r="AO176" i="1"/>
  <c r="AN176" i="1"/>
  <c r="BS175" i="1"/>
  <c r="BR175" i="1"/>
  <c r="BQ175" i="1"/>
  <c r="BP175" i="1"/>
  <c r="BO175" i="1"/>
  <c r="BN175" i="1"/>
  <c r="BM175" i="1"/>
  <c r="BL175" i="1"/>
  <c r="BK175" i="1"/>
  <c r="BJ175" i="1"/>
  <c r="BI175" i="1"/>
  <c r="BG175" i="1"/>
  <c r="BF175" i="1"/>
  <c r="BE175" i="1"/>
  <c r="BD175" i="1"/>
  <c r="BC175" i="1"/>
  <c r="BB175" i="1"/>
  <c r="BA175" i="1"/>
  <c r="AZ175" i="1"/>
  <c r="AY175" i="1"/>
  <c r="AX175" i="1"/>
  <c r="AW175" i="1"/>
  <c r="AV175" i="1"/>
  <c r="AU175" i="1"/>
  <c r="AT175" i="1"/>
  <c r="AS175" i="1"/>
  <c r="AR175" i="1"/>
  <c r="AQ175" i="1"/>
  <c r="AP175" i="1"/>
  <c r="AO175" i="1"/>
  <c r="AN175" i="1"/>
  <c r="BS174" i="1"/>
  <c r="BR174" i="1"/>
  <c r="BQ174" i="1"/>
  <c r="BP174" i="1"/>
  <c r="BO174" i="1"/>
  <c r="BN174" i="1"/>
  <c r="BM174" i="1"/>
  <c r="BL174" i="1"/>
  <c r="BK174" i="1"/>
  <c r="BJ174" i="1"/>
  <c r="BI174" i="1"/>
  <c r="BG174" i="1"/>
  <c r="BF174" i="1"/>
  <c r="BE174" i="1"/>
  <c r="BD174" i="1"/>
  <c r="BC174" i="1"/>
  <c r="BB174" i="1"/>
  <c r="BA174" i="1"/>
  <c r="AZ174" i="1"/>
  <c r="AY174" i="1"/>
  <c r="AX174" i="1"/>
  <c r="AW174" i="1"/>
  <c r="AV174" i="1"/>
  <c r="AU174" i="1"/>
  <c r="AT174" i="1"/>
  <c r="AS174" i="1"/>
  <c r="AR174" i="1"/>
  <c r="AQ174" i="1"/>
  <c r="AP174" i="1"/>
  <c r="AO174" i="1"/>
  <c r="AN174" i="1"/>
  <c r="BS173" i="1"/>
  <c r="BR173" i="1"/>
  <c r="BQ173" i="1"/>
  <c r="BP173" i="1"/>
  <c r="BO173" i="1"/>
  <c r="BN173" i="1"/>
  <c r="BM173" i="1"/>
  <c r="BL173" i="1"/>
  <c r="BK173" i="1"/>
  <c r="BJ173" i="1"/>
  <c r="BI173" i="1"/>
  <c r="BH173" i="1"/>
  <c r="BG173" i="1"/>
  <c r="BF173" i="1"/>
  <c r="BE173" i="1"/>
  <c r="BD173" i="1"/>
  <c r="BC173" i="1"/>
  <c r="BB173" i="1"/>
  <c r="BA173" i="1"/>
  <c r="AZ173" i="1"/>
  <c r="AY173" i="1"/>
  <c r="AX173" i="1"/>
  <c r="AW173" i="1"/>
  <c r="AV173" i="1"/>
  <c r="AU173" i="1"/>
  <c r="AT173" i="1"/>
  <c r="AS173" i="1"/>
  <c r="AR173" i="1"/>
  <c r="AQ173" i="1"/>
  <c r="AP173" i="1"/>
  <c r="AO173" i="1"/>
  <c r="AN173" i="1"/>
  <c r="BS172" i="1"/>
  <c r="BR172" i="1"/>
  <c r="BQ172" i="1"/>
  <c r="BP172" i="1"/>
  <c r="BO172" i="1"/>
  <c r="BN172" i="1"/>
  <c r="BM172" i="1"/>
  <c r="BL172" i="1"/>
  <c r="BK172" i="1"/>
  <c r="BJ172" i="1"/>
  <c r="BI172" i="1"/>
  <c r="BG172" i="1"/>
  <c r="BF172" i="1"/>
  <c r="BE172" i="1"/>
  <c r="BD172" i="1"/>
  <c r="BC172" i="1"/>
  <c r="BB172" i="1"/>
  <c r="BA172" i="1"/>
  <c r="AZ172" i="1"/>
  <c r="AY172" i="1"/>
  <c r="AX172" i="1"/>
  <c r="AW172" i="1"/>
  <c r="AV172" i="1"/>
  <c r="AU172" i="1"/>
  <c r="AT172" i="1"/>
  <c r="AS172" i="1"/>
  <c r="AR172" i="1"/>
  <c r="AQ172" i="1"/>
  <c r="AP172" i="1"/>
  <c r="AO172" i="1"/>
  <c r="AN172" i="1"/>
  <c r="BS171" i="1"/>
  <c r="BR171" i="1"/>
  <c r="BQ171" i="1"/>
  <c r="BP171" i="1"/>
  <c r="BO171" i="1"/>
  <c r="BN171" i="1"/>
  <c r="BM171" i="1"/>
  <c r="BL171" i="1"/>
  <c r="BK171" i="1"/>
  <c r="BJ171" i="1"/>
  <c r="BI171" i="1"/>
  <c r="BG171" i="1"/>
  <c r="BF171" i="1"/>
  <c r="BE171" i="1"/>
  <c r="BD171" i="1"/>
  <c r="BC171" i="1"/>
  <c r="BB171" i="1"/>
  <c r="BA171" i="1"/>
  <c r="AZ171" i="1"/>
  <c r="AY171" i="1"/>
  <c r="AX171" i="1"/>
  <c r="AW171" i="1"/>
  <c r="AV171" i="1"/>
  <c r="AU171" i="1"/>
  <c r="AT171" i="1"/>
  <c r="AS171" i="1"/>
  <c r="AR171" i="1"/>
  <c r="AQ171" i="1"/>
  <c r="AP171" i="1"/>
  <c r="AO171" i="1"/>
  <c r="AN171" i="1"/>
  <c r="BS170" i="1"/>
  <c r="BR170" i="1"/>
  <c r="BQ170" i="1"/>
  <c r="BP170" i="1"/>
  <c r="BO170" i="1"/>
  <c r="BN170" i="1"/>
  <c r="BM170" i="1"/>
  <c r="BL170" i="1"/>
  <c r="BK170" i="1"/>
  <c r="BJ170" i="1"/>
  <c r="BI170" i="1"/>
  <c r="BG170" i="1"/>
  <c r="BF170" i="1"/>
  <c r="BE170" i="1"/>
  <c r="BD170" i="1"/>
  <c r="BC170" i="1"/>
  <c r="BB170" i="1"/>
  <c r="BA170" i="1"/>
  <c r="AZ170" i="1"/>
  <c r="AY170" i="1"/>
  <c r="AX170" i="1"/>
  <c r="AW170" i="1"/>
  <c r="AV170" i="1"/>
  <c r="AU170" i="1"/>
  <c r="AT170" i="1"/>
  <c r="AS170" i="1"/>
  <c r="AR170" i="1"/>
  <c r="AQ170" i="1"/>
  <c r="AP170" i="1"/>
  <c r="AO170" i="1"/>
  <c r="AN170" i="1"/>
  <c r="BS169" i="1"/>
  <c r="BR169" i="1"/>
  <c r="BQ169" i="1"/>
  <c r="BP169" i="1"/>
  <c r="BO169" i="1"/>
  <c r="BN169" i="1"/>
  <c r="BM169" i="1"/>
  <c r="BL169" i="1"/>
  <c r="BK169" i="1"/>
  <c r="BJ169" i="1"/>
  <c r="BI169" i="1"/>
  <c r="BG169" i="1"/>
  <c r="BF169" i="1"/>
  <c r="BE169" i="1"/>
  <c r="BD169" i="1"/>
  <c r="BC169" i="1"/>
  <c r="BB169" i="1"/>
  <c r="BA169" i="1"/>
  <c r="AZ169" i="1"/>
  <c r="AY169" i="1"/>
  <c r="AX169" i="1"/>
  <c r="AW169" i="1"/>
  <c r="AV169" i="1"/>
  <c r="AU169" i="1"/>
  <c r="AT169" i="1"/>
  <c r="AS169" i="1"/>
  <c r="AR169" i="1"/>
  <c r="AQ169" i="1"/>
  <c r="AP169" i="1"/>
  <c r="AO169" i="1"/>
  <c r="AN169" i="1"/>
  <c r="BS168" i="1"/>
  <c r="BR168" i="1"/>
  <c r="BQ168" i="1"/>
  <c r="BP168" i="1"/>
  <c r="BO168" i="1"/>
  <c r="BN168" i="1"/>
  <c r="BM168" i="1"/>
  <c r="BL168" i="1"/>
  <c r="BK168" i="1"/>
  <c r="BJ168" i="1"/>
  <c r="BI168" i="1"/>
  <c r="BG168" i="1"/>
  <c r="BF168" i="1"/>
  <c r="BE168" i="1"/>
  <c r="BD168" i="1"/>
  <c r="BC168" i="1"/>
  <c r="BB168" i="1"/>
  <c r="BA168" i="1"/>
  <c r="AZ168" i="1"/>
  <c r="AY168" i="1"/>
  <c r="AX168" i="1"/>
  <c r="AW168" i="1"/>
  <c r="AV168" i="1"/>
  <c r="AU168" i="1"/>
  <c r="AT168" i="1"/>
  <c r="AS168" i="1"/>
  <c r="AR168" i="1"/>
  <c r="AQ168" i="1"/>
  <c r="AP168" i="1"/>
  <c r="AO168" i="1"/>
  <c r="AN168" i="1"/>
  <c r="BS167" i="1"/>
  <c r="BR167" i="1"/>
  <c r="BQ167" i="1"/>
  <c r="BP167" i="1"/>
  <c r="BO167" i="1"/>
  <c r="BN167" i="1"/>
  <c r="BM167" i="1"/>
  <c r="BL167" i="1"/>
  <c r="BK167" i="1"/>
  <c r="BJ167" i="1"/>
  <c r="BI167" i="1"/>
  <c r="BG167" i="1"/>
  <c r="BF167" i="1"/>
  <c r="BE167" i="1"/>
  <c r="BD167" i="1"/>
  <c r="BC167" i="1"/>
  <c r="BB167" i="1"/>
  <c r="BA167" i="1"/>
  <c r="AZ167" i="1"/>
  <c r="AY167" i="1"/>
  <c r="AX167" i="1"/>
  <c r="AW167" i="1"/>
  <c r="AV167" i="1"/>
  <c r="AU167" i="1"/>
  <c r="AT167" i="1"/>
  <c r="AS167" i="1"/>
  <c r="AR167" i="1"/>
  <c r="AQ167" i="1"/>
  <c r="AP167" i="1"/>
  <c r="AO167" i="1"/>
  <c r="AN167" i="1"/>
  <c r="BS166" i="1"/>
  <c r="BR166" i="1"/>
  <c r="BQ166" i="1"/>
  <c r="BP166" i="1"/>
  <c r="BO166" i="1"/>
  <c r="BN166" i="1"/>
  <c r="BM166" i="1"/>
  <c r="BL166" i="1"/>
  <c r="BK166" i="1"/>
  <c r="BJ166" i="1"/>
  <c r="BI166" i="1"/>
  <c r="BG166" i="1"/>
  <c r="BF166" i="1"/>
  <c r="BE166" i="1"/>
  <c r="BD166" i="1"/>
  <c r="BC166" i="1"/>
  <c r="BB166" i="1"/>
  <c r="BA166" i="1"/>
  <c r="AZ166" i="1"/>
  <c r="AY166" i="1"/>
  <c r="AX166" i="1"/>
  <c r="AW166" i="1"/>
  <c r="AV166" i="1"/>
  <c r="AU166" i="1"/>
  <c r="AT166" i="1"/>
  <c r="AS166" i="1"/>
  <c r="AR166" i="1"/>
  <c r="AQ166" i="1"/>
  <c r="AP166" i="1"/>
  <c r="AO166" i="1"/>
  <c r="AN166" i="1"/>
  <c r="BS165" i="1"/>
  <c r="BR165" i="1"/>
  <c r="BQ165" i="1"/>
  <c r="BP165" i="1"/>
  <c r="BO165" i="1"/>
  <c r="BN165" i="1"/>
  <c r="BM165" i="1"/>
  <c r="BL165" i="1"/>
  <c r="BK165" i="1"/>
  <c r="BJ165" i="1"/>
  <c r="BI165" i="1"/>
  <c r="BH165" i="1"/>
  <c r="BG165" i="1"/>
  <c r="BF165" i="1"/>
  <c r="BE165" i="1"/>
  <c r="BD165" i="1"/>
  <c r="BC165" i="1"/>
  <c r="BB165" i="1"/>
  <c r="BA165" i="1"/>
  <c r="AZ165" i="1"/>
  <c r="AY165" i="1"/>
  <c r="AX165" i="1"/>
  <c r="AW165" i="1"/>
  <c r="AV165" i="1"/>
  <c r="AU165" i="1"/>
  <c r="AT165" i="1"/>
  <c r="AS165" i="1"/>
  <c r="AR165" i="1"/>
  <c r="AQ165" i="1"/>
  <c r="AP165" i="1"/>
  <c r="AO165" i="1"/>
  <c r="AN165" i="1"/>
  <c r="BS164" i="1"/>
  <c r="BR164" i="1"/>
  <c r="BQ164" i="1"/>
  <c r="BP164" i="1"/>
  <c r="BO164" i="1"/>
  <c r="BN164" i="1"/>
  <c r="BM164" i="1"/>
  <c r="BL164" i="1"/>
  <c r="BK164" i="1"/>
  <c r="BJ164" i="1"/>
  <c r="BI164" i="1"/>
  <c r="BH164" i="1"/>
  <c r="BG164" i="1"/>
  <c r="BF164" i="1"/>
  <c r="BE164" i="1"/>
  <c r="BD164" i="1"/>
  <c r="BC164" i="1"/>
  <c r="BB164" i="1"/>
  <c r="BA164" i="1"/>
  <c r="AZ164" i="1"/>
  <c r="AY164" i="1"/>
  <c r="AX164" i="1"/>
  <c r="AW164" i="1"/>
  <c r="AV164" i="1"/>
  <c r="AU164" i="1"/>
  <c r="AT164" i="1"/>
  <c r="AS164" i="1"/>
  <c r="AR164" i="1"/>
  <c r="AQ164" i="1"/>
  <c r="AP164" i="1"/>
  <c r="AO164" i="1"/>
  <c r="AN164" i="1"/>
  <c r="BS163" i="1"/>
  <c r="BR163" i="1"/>
  <c r="BQ163" i="1"/>
  <c r="BP163" i="1"/>
  <c r="BO163" i="1"/>
  <c r="BN163" i="1"/>
  <c r="BM163" i="1"/>
  <c r="BL163" i="1"/>
  <c r="BK163" i="1"/>
  <c r="BJ163" i="1"/>
  <c r="BI163" i="1"/>
  <c r="BG163" i="1"/>
  <c r="BF163" i="1"/>
  <c r="BE163" i="1"/>
  <c r="BD163" i="1"/>
  <c r="BC163" i="1"/>
  <c r="BB163" i="1"/>
  <c r="BA163" i="1"/>
  <c r="AZ163" i="1"/>
  <c r="AY163" i="1"/>
  <c r="AX163" i="1"/>
  <c r="AW163" i="1"/>
  <c r="AV163" i="1"/>
  <c r="AU163" i="1"/>
  <c r="AT163" i="1"/>
  <c r="AS163" i="1"/>
  <c r="AR163" i="1"/>
  <c r="AQ163" i="1"/>
  <c r="AP163" i="1"/>
  <c r="AO163" i="1"/>
  <c r="AN163" i="1"/>
  <c r="BS162" i="1"/>
  <c r="BR162" i="1"/>
  <c r="BQ162" i="1"/>
  <c r="BP162" i="1"/>
  <c r="BO162" i="1"/>
  <c r="BN162" i="1"/>
  <c r="BM162" i="1"/>
  <c r="BL162" i="1"/>
  <c r="BK162" i="1"/>
  <c r="BJ162" i="1"/>
  <c r="BI162" i="1"/>
  <c r="BG162" i="1"/>
  <c r="BF162" i="1"/>
  <c r="BE162" i="1"/>
  <c r="BD162" i="1"/>
  <c r="BC162" i="1"/>
  <c r="BB162" i="1"/>
  <c r="BA162" i="1"/>
  <c r="AZ162" i="1"/>
  <c r="AY162" i="1"/>
  <c r="AX162" i="1"/>
  <c r="AW162" i="1"/>
  <c r="AV162" i="1"/>
  <c r="AU162" i="1"/>
  <c r="AT162" i="1"/>
  <c r="AS162" i="1"/>
  <c r="AR162" i="1"/>
  <c r="AQ162" i="1"/>
  <c r="AP162" i="1"/>
  <c r="AO162" i="1"/>
  <c r="AN162" i="1"/>
  <c r="BS161" i="1"/>
  <c r="BR161" i="1"/>
  <c r="BQ161" i="1"/>
  <c r="BP161" i="1"/>
  <c r="BO161" i="1"/>
  <c r="BN161" i="1"/>
  <c r="BM161" i="1"/>
  <c r="BL161" i="1"/>
  <c r="BK161" i="1"/>
  <c r="BJ161" i="1"/>
  <c r="BI161" i="1"/>
  <c r="BG161" i="1"/>
  <c r="BF161" i="1"/>
  <c r="BE161" i="1"/>
  <c r="BD161" i="1"/>
  <c r="BC161" i="1"/>
  <c r="BB161" i="1"/>
  <c r="BA161" i="1"/>
  <c r="AZ161" i="1"/>
  <c r="AY161" i="1"/>
  <c r="AX161" i="1"/>
  <c r="AW161" i="1"/>
  <c r="AV161" i="1"/>
  <c r="AU161" i="1"/>
  <c r="AT161" i="1"/>
  <c r="AS161" i="1"/>
  <c r="AR161" i="1"/>
  <c r="AQ161" i="1"/>
  <c r="AP161" i="1"/>
  <c r="AO161" i="1"/>
  <c r="AN161" i="1"/>
  <c r="BS160" i="1"/>
  <c r="BR160" i="1"/>
  <c r="BQ160" i="1"/>
  <c r="BP160" i="1"/>
  <c r="BO160" i="1"/>
  <c r="BN160" i="1"/>
  <c r="BM160" i="1"/>
  <c r="BL160" i="1"/>
  <c r="BK160" i="1"/>
  <c r="BJ160" i="1"/>
  <c r="BI160" i="1"/>
  <c r="BG160" i="1"/>
  <c r="BF160" i="1"/>
  <c r="BE160" i="1"/>
  <c r="BD160" i="1"/>
  <c r="BC160" i="1"/>
  <c r="BB160" i="1"/>
  <c r="BA160" i="1"/>
  <c r="AZ160" i="1"/>
  <c r="AY160" i="1"/>
  <c r="AX160" i="1"/>
  <c r="AW160" i="1"/>
  <c r="AV160" i="1"/>
  <c r="AU160" i="1"/>
  <c r="AT160" i="1"/>
  <c r="AS160" i="1"/>
  <c r="AR160" i="1"/>
  <c r="AQ160" i="1"/>
  <c r="AP160" i="1"/>
  <c r="AO160" i="1"/>
  <c r="AN160" i="1"/>
  <c r="BS159" i="1"/>
  <c r="BR159" i="1"/>
  <c r="BQ159" i="1"/>
  <c r="BP159" i="1"/>
  <c r="BO159" i="1"/>
  <c r="BN159" i="1"/>
  <c r="BM159" i="1"/>
  <c r="BL159" i="1"/>
  <c r="BK159" i="1"/>
  <c r="BJ159" i="1"/>
  <c r="BI159" i="1"/>
  <c r="BG159" i="1"/>
  <c r="BF159" i="1"/>
  <c r="BE159" i="1"/>
  <c r="BD159" i="1"/>
  <c r="BC159" i="1"/>
  <c r="BB159" i="1"/>
  <c r="BA159" i="1"/>
  <c r="AZ159" i="1"/>
  <c r="AY159" i="1"/>
  <c r="AX159" i="1"/>
  <c r="AW159" i="1"/>
  <c r="AV159" i="1"/>
  <c r="AU159" i="1"/>
  <c r="AT159" i="1"/>
  <c r="AS159" i="1"/>
  <c r="AR159" i="1"/>
  <c r="AQ159" i="1"/>
  <c r="AP159" i="1"/>
  <c r="AO159" i="1"/>
  <c r="AN159" i="1"/>
  <c r="BS158" i="1"/>
  <c r="BR158" i="1"/>
  <c r="BQ158" i="1"/>
  <c r="BP158" i="1"/>
  <c r="BO158" i="1"/>
  <c r="BN158" i="1"/>
  <c r="BM158" i="1"/>
  <c r="BL158" i="1"/>
  <c r="BK158" i="1"/>
  <c r="BJ158" i="1"/>
  <c r="BI158" i="1"/>
  <c r="BG158" i="1"/>
  <c r="BF158" i="1"/>
  <c r="BE158" i="1"/>
  <c r="BD158" i="1"/>
  <c r="BC158" i="1"/>
  <c r="BB158" i="1"/>
  <c r="BA158" i="1"/>
  <c r="AZ158" i="1"/>
  <c r="AY158" i="1"/>
  <c r="AX158" i="1"/>
  <c r="AW158" i="1"/>
  <c r="AV158" i="1"/>
  <c r="AU158" i="1"/>
  <c r="AT158" i="1"/>
  <c r="AS158" i="1"/>
  <c r="AR158" i="1"/>
  <c r="AQ158" i="1"/>
  <c r="AP158" i="1"/>
  <c r="AO158" i="1"/>
  <c r="AN158" i="1"/>
  <c r="BS157" i="1"/>
  <c r="BR157" i="1"/>
  <c r="BQ157" i="1"/>
  <c r="BP157" i="1"/>
  <c r="BO157" i="1"/>
  <c r="BN157" i="1"/>
  <c r="BM157" i="1"/>
  <c r="BL157" i="1"/>
  <c r="BK157" i="1"/>
  <c r="BJ157" i="1"/>
  <c r="BI157" i="1"/>
  <c r="BH157" i="1"/>
  <c r="BG157" i="1"/>
  <c r="BF157" i="1"/>
  <c r="BE157" i="1"/>
  <c r="BD157" i="1"/>
  <c r="BC157" i="1"/>
  <c r="BB157" i="1"/>
  <c r="BA157" i="1"/>
  <c r="AZ157" i="1"/>
  <c r="AY157" i="1"/>
  <c r="AX157" i="1"/>
  <c r="AW157" i="1"/>
  <c r="AV157" i="1"/>
  <c r="AU157" i="1"/>
  <c r="AT157" i="1"/>
  <c r="AS157" i="1"/>
  <c r="AR157" i="1"/>
  <c r="AQ157" i="1"/>
  <c r="AP157" i="1"/>
  <c r="AO157" i="1"/>
  <c r="AN157" i="1"/>
  <c r="BS156" i="1"/>
  <c r="BR156" i="1"/>
  <c r="BQ156" i="1"/>
  <c r="BP156" i="1"/>
  <c r="BO156" i="1"/>
  <c r="BN156" i="1"/>
  <c r="BM156" i="1"/>
  <c r="BL156" i="1"/>
  <c r="BK156" i="1"/>
  <c r="BJ156" i="1"/>
  <c r="BI156" i="1"/>
  <c r="BG156" i="1"/>
  <c r="BF156" i="1"/>
  <c r="BE156" i="1"/>
  <c r="BD156" i="1"/>
  <c r="BC156" i="1"/>
  <c r="BB156" i="1"/>
  <c r="BA156" i="1"/>
  <c r="AZ156" i="1"/>
  <c r="AY156" i="1"/>
  <c r="AX156" i="1"/>
  <c r="AW156" i="1"/>
  <c r="AV156" i="1"/>
  <c r="AU156" i="1"/>
  <c r="AT156" i="1"/>
  <c r="AS156" i="1"/>
  <c r="AR156" i="1"/>
  <c r="AQ156" i="1"/>
  <c r="AP156" i="1"/>
  <c r="AO156" i="1"/>
  <c r="AN156" i="1"/>
  <c r="BS155" i="1"/>
  <c r="BR155" i="1"/>
  <c r="BQ155" i="1"/>
  <c r="BP155" i="1"/>
  <c r="BO155" i="1"/>
  <c r="BN155" i="1"/>
  <c r="BM155" i="1"/>
  <c r="BL155" i="1"/>
  <c r="BK155" i="1"/>
  <c r="BJ155" i="1"/>
  <c r="BI155" i="1"/>
  <c r="BG155" i="1"/>
  <c r="BF155" i="1"/>
  <c r="BE155" i="1"/>
  <c r="BD155" i="1"/>
  <c r="BC155" i="1"/>
  <c r="BB155" i="1"/>
  <c r="BA155" i="1"/>
  <c r="AZ155" i="1"/>
  <c r="AY155" i="1"/>
  <c r="AX155" i="1"/>
  <c r="AW155" i="1"/>
  <c r="AV155" i="1"/>
  <c r="AU155" i="1"/>
  <c r="AT155" i="1"/>
  <c r="AS155" i="1"/>
  <c r="AR155" i="1"/>
  <c r="AQ155" i="1"/>
  <c r="AP155" i="1"/>
  <c r="AO155" i="1"/>
  <c r="AN155" i="1"/>
  <c r="BS154" i="1"/>
  <c r="BR154" i="1"/>
  <c r="BQ154" i="1"/>
  <c r="BP154" i="1"/>
  <c r="BO154" i="1"/>
  <c r="BN154" i="1"/>
  <c r="BM154" i="1"/>
  <c r="BL154" i="1"/>
  <c r="BK154" i="1"/>
  <c r="BJ154" i="1"/>
  <c r="BI154" i="1"/>
  <c r="BG154" i="1"/>
  <c r="BF154" i="1"/>
  <c r="BE154" i="1"/>
  <c r="BD154" i="1"/>
  <c r="BC154" i="1"/>
  <c r="BB154" i="1"/>
  <c r="BA154" i="1"/>
  <c r="AZ154" i="1"/>
  <c r="AY154" i="1"/>
  <c r="AX154" i="1"/>
  <c r="AW154" i="1"/>
  <c r="AV154" i="1"/>
  <c r="AU154" i="1"/>
  <c r="AT154" i="1"/>
  <c r="AS154" i="1"/>
  <c r="AR154" i="1"/>
  <c r="AQ154" i="1"/>
  <c r="AP154" i="1"/>
  <c r="AO154" i="1"/>
  <c r="AN154" i="1"/>
  <c r="BS153" i="1"/>
  <c r="BR153" i="1"/>
  <c r="BQ153" i="1"/>
  <c r="BP153" i="1"/>
  <c r="BO153" i="1"/>
  <c r="BN153" i="1"/>
  <c r="BM153" i="1"/>
  <c r="BL153" i="1"/>
  <c r="BK153" i="1"/>
  <c r="BJ153" i="1"/>
  <c r="BI153" i="1"/>
  <c r="BG153" i="1"/>
  <c r="BF153" i="1"/>
  <c r="BE153" i="1"/>
  <c r="BD153" i="1"/>
  <c r="BC153" i="1"/>
  <c r="BB153" i="1"/>
  <c r="BA153" i="1"/>
  <c r="AZ153" i="1"/>
  <c r="AY153" i="1"/>
  <c r="AX153" i="1"/>
  <c r="AW153" i="1"/>
  <c r="AV153" i="1"/>
  <c r="AU153" i="1"/>
  <c r="AT153" i="1"/>
  <c r="AS153" i="1"/>
  <c r="AR153" i="1"/>
  <c r="AQ153" i="1"/>
  <c r="AP153" i="1"/>
  <c r="AO153" i="1"/>
  <c r="AN153" i="1"/>
  <c r="BS152" i="1"/>
  <c r="BR152" i="1"/>
  <c r="BQ152" i="1"/>
  <c r="BP152" i="1"/>
  <c r="BO152" i="1"/>
  <c r="BN152" i="1"/>
  <c r="BM152" i="1"/>
  <c r="BL152" i="1"/>
  <c r="BK152" i="1"/>
  <c r="BJ152" i="1"/>
  <c r="BI152" i="1"/>
  <c r="BG152" i="1"/>
  <c r="BF152" i="1"/>
  <c r="BE152" i="1"/>
  <c r="BD152" i="1"/>
  <c r="BC152" i="1"/>
  <c r="BB152" i="1"/>
  <c r="BA152" i="1"/>
  <c r="AZ152" i="1"/>
  <c r="AY152" i="1"/>
  <c r="AX152" i="1"/>
  <c r="AW152" i="1"/>
  <c r="AV152" i="1"/>
  <c r="AU152" i="1"/>
  <c r="AT152" i="1"/>
  <c r="AS152" i="1"/>
  <c r="AR152" i="1"/>
  <c r="AQ152" i="1"/>
  <c r="AP152" i="1"/>
  <c r="AO152" i="1"/>
  <c r="AN152" i="1"/>
  <c r="BS151" i="1"/>
  <c r="BR151" i="1"/>
  <c r="BQ151" i="1"/>
  <c r="BP151" i="1"/>
  <c r="BO151" i="1"/>
  <c r="BN151" i="1"/>
  <c r="BM151" i="1"/>
  <c r="BL151" i="1"/>
  <c r="BK151" i="1"/>
  <c r="BJ151" i="1"/>
  <c r="BI151" i="1"/>
  <c r="BG151" i="1"/>
  <c r="BF151" i="1"/>
  <c r="BE151" i="1"/>
  <c r="BD151" i="1"/>
  <c r="BC151" i="1"/>
  <c r="BB151" i="1"/>
  <c r="BA151" i="1"/>
  <c r="AZ151" i="1"/>
  <c r="AY151" i="1"/>
  <c r="AX151" i="1"/>
  <c r="AW151" i="1"/>
  <c r="AV151" i="1"/>
  <c r="AU151" i="1"/>
  <c r="AT151" i="1"/>
  <c r="AS151" i="1"/>
  <c r="AR151" i="1"/>
  <c r="AQ151" i="1"/>
  <c r="AP151" i="1"/>
  <c r="AO151" i="1"/>
  <c r="AN151" i="1"/>
  <c r="BS150" i="1"/>
  <c r="BR150" i="1"/>
  <c r="BQ150" i="1"/>
  <c r="BP150" i="1"/>
  <c r="BO150" i="1"/>
  <c r="BN150" i="1"/>
  <c r="BM150" i="1"/>
  <c r="BL150" i="1"/>
  <c r="BK150" i="1"/>
  <c r="BJ150" i="1"/>
  <c r="BI150" i="1"/>
  <c r="BG150" i="1"/>
  <c r="BF150" i="1"/>
  <c r="BE150" i="1"/>
  <c r="BD150" i="1"/>
  <c r="BC150" i="1"/>
  <c r="BB150" i="1"/>
  <c r="BA150" i="1"/>
  <c r="AZ150" i="1"/>
  <c r="AY150" i="1"/>
  <c r="AX150" i="1"/>
  <c r="AW150" i="1"/>
  <c r="AV150" i="1"/>
  <c r="AU150" i="1"/>
  <c r="AT150" i="1"/>
  <c r="AS150" i="1"/>
  <c r="AR150" i="1"/>
  <c r="AQ150" i="1"/>
  <c r="AP150" i="1"/>
  <c r="AO150" i="1"/>
  <c r="AN150" i="1"/>
  <c r="BS149" i="1"/>
  <c r="BR149" i="1"/>
  <c r="BQ149" i="1"/>
  <c r="BP149" i="1"/>
  <c r="BO149" i="1"/>
  <c r="BN149" i="1"/>
  <c r="BM149" i="1"/>
  <c r="BL149" i="1"/>
  <c r="BK149" i="1"/>
  <c r="BJ149" i="1"/>
  <c r="BI149" i="1"/>
  <c r="BH149" i="1"/>
  <c r="BG149" i="1"/>
  <c r="BF149" i="1"/>
  <c r="BE149" i="1"/>
  <c r="BD149" i="1"/>
  <c r="BC149" i="1"/>
  <c r="BB149" i="1"/>
  <c r="BA149" i="1"/>
  <c r="AZ149" i="1"/>
  <c r="AY149" i="1"/>
  <c r="AX149" i="1"/>
  <c r="AW149" i="1"/>
  <c r="AV149" i="1"/>
  <c r="AU149" i="1"/>
  <c r="AT149" i="1"/>
  <c r="AS149" i="1"/>
  <c r="AR149" i="1"/>
  <c r="AQ149" i="1"/>
  <c r="AP149" i="1"/>
  <c r="AO149" i="1"/>
  <c r="AN149" i="1"/>
  <c r="BS148" i="1"/>
  <c r="BR148" i="1"/>
  <c r="BQ148" i="1"/>
  <c r="BP148" i="1"/>
  <c r="BO148" i="1"/>
  <c r="BN148" i="1"/>
  <c r="BM148" i="1"/>
  <c r="BL148" i="1"/>
  <c r="BK148" i="1"/>
  <c r="BJ148" i="1"/>
  <c r="BI148" i="1"/>
  <c r="BG148" i="1"/>
  <c r="BF148" i="1"/>
  <c r="BE148" i="1"/>
  <c r="BD148" i="1"/>
  <c r="BC148" i="1"/>
  <c r="BB148" i="1"/>
  <c r="BA148" i="1"/>
  <c r="AZ148" i="1"/>
  <c r="AY148" i="1"/>
  <c r="AX148" i="1"/>
  <c r="AW148" i="1"/>
  <c r="AV148" i="1"/>
  <c r="AU148" i="1"/>
  <c r="AT148" i="1"/>
  <c r="AS148" i="1"/>
  <c r="AR148" i="1"/>
  <c r="AQ148" i="1"/>
  <c r="AP148" i="1"/>
  <c r="AO148" i="1"/>
  <c r="AN148" i="1"/>
  <c r="BS147" i="1"/>
  <c r="BR147" i="1"/>
  <c r="BQ147" i="1"/>
  <c r="BP147" i="1"/>
  <c r="BO147" i="1"/>
  <c r="BN147" i="1"/>
  <c r="BM147" i="1"/>
  <c r="BL147" i="1"/>
  <c r="BK147" i="1"/>
  <c r="BJ147" i="1"/>
  <c r="BI147" i="1"/>
  <c r="BG147" i="1"/>
  <c r="BF147" i="1"/>
  <c r="BE147" i="1"/>
  <c r="BD147" i="1"/>
  <c r="BC147" i="1"/>
  <c r="BB147" i="1"/>
  <c r="BA147" i="1"/>
  <c r="AZ147" i="1"/>
  <c r="AY147" i="1"/>
  <c r="AX147" i="1"/>
  <c r="AW147" i="1"/>
  <c r="AV147" i="1"/>
  <c r="AU147" i="1"/>
  <c r="AT147" i="1"/>
  <c r="AS147" i="1"/>
  <c r="AR147" i="1"/>
  <c r="AQ147" i="1"/>
  <c r="AP147" i="1"/>
  <c r="AO147" i="1"/>
  <c r="AN147" i="1"/>
  <c r="BS146" i="1"/>
  <c r="BR146" i="1"/>
  <c r="BQ146" i="1"/>
  <c r="BP146" i="1"/>
  <c r="BO146" i="1"/>
  <c r="BN146" i="1"/>
  <c r="BM146" i="1"/>
  <c r="BL146" i="1"/>
  <c r="BK146" i="1"/>
  <c r="BJ146" i="1"/>
  <c r="BI146" i="1"/>
  <c r="BG146" i="1"/>
  <c r="BF146" i="1"/>
  <c r="BE146" i="1"/>
  <c r="BD146" i="1"/>
  <c r="BC146" i="1"/>
  <c r="BB146" i="1"/>
  <c r="BA146" i="1"/>
  <c r="AZ146" i="1"/>
  <c r="AY146" i="1"/>
  <c r="AX146" i="1"/>
  <c r="AW146" i="1"/>
  <c r="AV146" i="1"/>
  <c r="AU146" i="1"/>
  <c r="AT146" i="1"/>
  <c r="AS146" i="1"/>
  <c r="AR146" i="1"/>
  <c r="AQ146" i="1"/>
  <c r="AP146" i="1"/>
  <c r="AO146" i="1"/>
  <c r="AN146" i="1"/>
  <c r="BS145" i="1"/>
  <c r="BR145" i="1"/>
  <c r="BQ145" i="1"/>
  <c r="BP145" i="1"/>
  <c r="BO145" i="1"/>
  <c r="BN145" i="1"/>
  <c r="BM145" i="1"/>
  <c r="BL145" i="1"/>
  <c r="BK145" i="1"/>
  <c r="BJ145" i="1"/>
  <c r="BI145" i="1"/>
  <c r="BG145" i="1"/>
  <c r="BF145" i="1"/>
  <c r="BE145" i="1"/>
  <c r="BD145" i="1"/>
  <c r="BC145" i="1"/>
  <c r="BB145" i="1"/>
  <c r="BA145" i="1"/>
  <c r="AZ145" i="1"/>
  <c r="AY145" i="1"/>
  <c r="AX145" i="1"/>
  <c r="AW145" i="1"/>
  <c r="AV145" i="1"/>
  <c r="AU145" i="1"/>
  <c r="AT145" i="1"/>
  <c r="AS145" i="1"/>
  <c r="AR145" i="1"/>
  <c r="AQ145" i="1"/>
  <c r="AP145" i="1"/>
  <c r="AO145" i="1"/>
  <c r="AN145" i="1"/>
  <c r="BS144" i="1"/>
  <c r="BR144" i="1"/>
  <c r="BQ144" i="1"/>
  <c r="BP144" i="1"/>
  <c r="BO144" i="1"/>
  <c r="BN144" i="1"/>
  <c r="BM144" i="1"/>
  <c r="BL144" i="1"/>
  <c r="BK144" i="1"/>
  <c r="BJ144" i="1"/>
  <c r="BI144" i="1"/>
  <c r="BG144" i="1"/>
  <c r="BF144" i="1"/>
  <c r="BE144" i="1"/>
  <c r="BD144" i="1"/>
  <c r="BC144" i="1"/>
  <c r="BB144" i="1"/>
  <c r="BA144" i="1"/>
  <c r="AZ144" i="1"/>
  <c r="AY144" i="1"/>
  <c r="AX144" i="1"/>
  <c r="AW144" i="1"/>
  <c r="AV144" i="1"/>
  <c r="AU144" i="1"/>
  <c r="AT144" i="1"/>
  <c r="AS144" i="1"/>
  <c r="AR144" i="1"/>
  <c r="AQ144" i="1"/>
  <c r="AP144" i="1"/>
  <c r="AO144" i="1"/>
  <c r="AN144" i="1"/>
  <c r="BS143" i="1"/>
  <c r="BR143" i="1"/>
  <c r="BQ143" i="1"/>
  <c r="BP143" i="1"/>
  <c r="BO143" i="1"/>
  <c r="BN143" i="1"/>
  <c r="BM143" i="1"/>
  <c r="BL143" i="1"/>
  <c r="BK143" i="1"/>
  <c r="BJ143" i="1"/>
  <c r="BI143" i="1"/>
  <c r="BG143" i="1"/>
  <c r="BF143" i="1"/>
  <c r="BE143" i="1"/>
  <c r="BD143" i="1"/>
  <c r="BC143" i="1"/>
  <c r="BB143" i="1"/>
  <c r="BA143" i="1"/>
  <c r="AZ143" i="1"/>
  <c r="AY143" i="1"/>
  <c r="AX143" i="1"/>
  <c r="AW143" i="1"/>
  <c r="AV143" i="1"/>
  <c r="AU143" i="1"/>
  <c r="AT143" i="1"/>
  <c r="AS143" i="1"/>
  <c r="AR143" i="1"/>
  <c r="AQ143" i="1"/>
  <c r="AP143" i="1"/>
  <c r="AO143" i="1"/>
  <c r="AN143" i="1"/>
  <c r="BS142" i="1"/>
  <c r="BR142" i="1"/>
  <c r="BQ142" i="1"/>
  <c r="BP142" i="1"/>
  <c r="BO142" i="1"/>
  <c r="BN142" i="1"/>
  <c r="BM142" i="1"/>
  <c r="BL142" i="1"/>
  <c r="BK142" i="1"/>
  <c r="BJ142" i="1"/>
  <c r="BI142" i="1"/>
  <c r="BH142" i="1"/>
  <c r="BG142" i="1"/>
  <c r="BF142" i="1"/>
  <c r="BE142" i="1"/>
  <c r="BD142" i="1"/>
  <c r="BC142" i="1"/>
  <c r="BB142" i="1"/>
  <c r="BA142" i="1"/>
  <c r="AZ142" i="1"/>
  <c r="AY142" i="1"/>
  <c r="AX142" i="1"/>
  <c r="AW142" i="1"/>
  <c r="AV142" i="1"/>
  <c r="AU142" i="1"/>
  <c r="AT142" i="1"/>
  <c r="AS142" i="1"/>
  <c r="AR142" i="1"/>
  <c r="AQ142" i="1"/>
  <c r="AP142" i="1"/>
  <c r="AO142" i="1"/>
  <c r="AN142" i="1"/>
  <c r="BS141" i="1"/>
  <c r="BR141" i="1"/>
  <c r="BQ141" i="1"/>
  <c r="BP141" i="1"/>
  <c r="BO141" i="1"/>
  <c r="BN141" i="1"/>
  <c r="BM141" i="1"/>
  <c r="BL141" i="1"/>
  <c r="BK141" i="1"/>
  <c r="BJ141" i="1"/>
  <c r="BI141" i="1"/>
  <c r="BH141" i="1"/>
  <c r="BG141" i="1"/>
  <c r="BF141" i="1"/>
  <c r="BE141" i="1"/>
  <c r="BD141" i="1"/>
  <c r="BC141" i="1"/>
  <c r="BB141" i="1"/>
  <c r="BA141" i="1"/>
  <c r="AZ141" i="1"/>
  <c r="AY141" i="1"/>
  <c r="AX141" i="1"/>
  <c r="AW141" i="1"/>
  <c r="AV141" i="1"/>
  <c r="AU141" i="1"/>
  <c r="AT141" i="1"/>
  <c r="AS141" i="1"/>
  <c r="AR141" i="1"/>
  <c r="AQ141" i="1"/>
  <c r="AP141" i="1"/>
  <c r="AO141" i="1"/>
  <c r="AN141" i="1"/>
  <c r="BS140" i="1"/>
  <c r="BR140" i="1"/>
  <c r="BQ140" i="1"/>
  <c r="BP140" i="1"/>
  <c r="BO140" i="1"/>
  <c r="BN140" i="1"/>
  <c r="BM140" i="1"/>
  <c r="BL140" i="1"/>
  <c r="BK140" i="1"/>
  <c r="BJ140" i="1"/>
  <c r="BI140" i="1"/>
  <c r="BH140" i="1"/>
  <c r="BG140" i="1"/>
  <c r="BF140" i="1"/>
  <c r="BE140" i="1"/>
  <c r="BD140" i="1"/>
  <c r="BC140" i="1"/>
  <c r="BB140" i="1"/>
  <c r="BA140" i="1"/>
  <c r="AZ140" i="1"/>
  <c r="AY140" i="1"/>
  <c r="AX140" i="1"/>
  <c r="AW140" i="1"/>
  <c r="AV140" i="1"/>
  <c r="AU140" i="1"/>
  <c r="AT140" i="1"/>
  <c r="AS140" i="1"/>
  <c r="AR140" i="1"/>
  <c r="AQ140" i="1"/>
  <c r="AP140" i="1"/>
  <c r="AO140" i="1"/>
  <c r="AN140" i="1"/>
  <c r="BS139" i="1"/>
  <c r="BR139" i="1"/>
  <c r="BQ139" i="1"/>
  <c r="BP139" i="1"/>
  <c r="BO139" i="1"/>
  <c r="BN139" i="1"/>
  <c r="BM139" i="1"/>
  <c r="BL139" i="1"/>
  <c r="BK139" i="1"/>
  <c r="BJ139" i="1"/>
  <c r="BI139" i="1"/>
  <c r="BG139" i="1"/>
  <c r="BF139" i="1"/>
  <c r="BE139" i="1"/>
  <c r="BD139" i="1"/>
  <c r="BC139" i="1"/>
  <c r="BB139" i="1"/>
  <c r="BA139" i="1"/>
  <c r="AZ139" i="1"/>
  <c r="AY139" i="1"/>
  <c r="AX139" i="1"/>
  <c r="AW139" i="1"/>
  <c r="AV139" i="1"/>
  <c r="AU139" i="1"/>
  <c r="AT139" i="1"/>
  <c r="AS139" i="1"/>
  <c r="AR139" i="1"/>
  <c r="AQ139" i="1"/>
  <c r="AP139" i="1"/>
  <c r="AO139" i="1"/>
  <c r="AN139" i="1"/>
  <c r="BS138" i="1"/>
  <c r="BR138" i="1"/>
  <c r="BQ138" i="1"/>
  <c r="BP138" i="1"/>
  <c r="BO138" i="1"/>
  <c r="BN138" i="1"/>
  <c r="BM138" i="1"/>
  <c r="BL138" i="1"/>
  <c r="BK138" i="1"/>
  <c r="BJ138" i="1"/>
  <c r="BI138" i="1"/>
  <c r="BG138" i="1"/>
  <c r="BF138" i="1"/>
  <c r="BE138" i="1"/>
  <c r="BD138" i="1"/>
  <c r="BC138" i="1"/>
  <c r="BB138" i="1"/>
  <c r="BA138" i="1"/>
  <c r="AZ138" i="1"/>
  <c r="AY138" i="1"/>
  <c r="AX138" i="1"/>
  <c r="AW138" i="1"/>
  <c r="AV138" i="1"/>
  <c r="AU138" i="1"/>
  <c r="AT138" i="1"/>
  <c r="AS138" i="1"/>
  <c r="AR138" i="1"/>
  <c r="AQ138" i="1"/>
  <c r="AP138" i="1"/>
  <c r="AO138" i="1"/>
  <c r="AN138" i="1"/>
  <c r="BS137" i="1"/>
  <c r="BR137" i="1"/>
  <c r="BQ137" i="1"/>
  <c r="BP137" i="1"/>
  <c r="BO137" i="1"/>
  <c r="BN137" i="1"/>
  <c r="BM137" i="1"/>
  <c r="BL137" i="1"/>
  <c r="BK137" i="1"/>
  <c r="BJ137" i="1"/>
  <c r="BI137" i="1"/>
  <c r="BG137" i="1"/>
  <c r="BF137" i="1"/>
  <c r="BE137" i="1"/>
  <c r="BD137" i="1"/>
  <c r="BC137" i="1"/>
  <c r="BB137" i="1"/>
  <c r="BA137" i="1"/>
  <c r="AZ137" i="1"/>
  <c r="AY137" i="1"/>
  <c r="AX137" i="1"/>
  <c r="AW137" i="1"/>
  <c r="AV137" i="1"/>
  <c r="AU137" i="1"/>
  <c r="AT137" i="1"/>
  <c r="AS137" i="1"/>
  <c r="AR137" i="1"/>
  <c r="AQ137" i="1"/>
  <c r="AP137" i="1"/>
  <c r="AO137" i="1"/>
  <c r="AN137" i="1"/>
  <c r="BS136" i="1"/>
  <c r="BR136" i="1"/>
  <c r="BQ136" i="1"/>
  <c r="BP136" i="1"/>
  <c r="BO136" i="1"/>
  <c r="BN136" i="1"/>
  <c r="BM136" i="1"/>
  <c r="BL136" i="1"/>
  <c r="BK136" i="1"/>
  <c r="BJ136" i="1"/>
  <c r="BI136" i="1"/>
  <c r="BG136" i="1"/>
  <c r="BF136" i="1"/>
  <c r="BE136" i="1"/>
  <c r="BD136" i="1"/>
  <c r="BC136" i="1"/>
  <c r="BB136" i="1"/>
  <c r="BA136" i="1"/>
  <c r="AZ136" i="1"/>
  <c r="AY136" i="1"/>
  <c r="AX136" i="1"/>
  <c r="AW136" i="1"/>
  <c r="AV136" i="1"/>
  <c r="AU136" i="1"/>
  <c r="AT136" i="1"/>
  <c r="AS136" i="1"/>
  <c r="AR136" i="1"/>
  <c r="AQ136" i="1"/>
  <c r="AP136" i="1"/>
  <c r="AO136" i="1"/>
  <c r="AN136" i="1"/>
  <c r="BS135" i="1"/>
  <c r="BR135" i="1"/>
  <c r="BQ135" i="1"/>
  <c r="BP135" i="1"/>
  <c r="BO135" i="1"/>
  <c r="BN135" i="1"/>
  <c r="BM135" i="1"/>
  <c r="BL135" i="1"/>
  <c r="BK135" i="1"/>
  <c r="BJ135" i="1"/>
  <c r="BI135" i="1"/>
  <c r="BG135" i="1"/>
  <c r="BF135" i="1"/>
  <c r="BE135" i="1"/>
  <c r="BD135" i="1"/>
  <c r="BC135" i="1"/>
  <c r="BB135" i="1"/>
  <c r="BA135" i="1"/>
  <c r="AZ135" i="1"/>
  <c r="AY135" i="1"/>
  <c r="AX135" i="1"/>
  <c r="AW135" i="1"/>
  <c r="AV135" i="1"/>
  <c r="AU135" i="1"/>
  <c r="AT135" i="1"/>
  <c r="AS135" i="1"/>
  <c r="AR135" i="1"/>
  <c r="AQ135" i="1"/>
  <c r="AP135" i="1"/>
  <c r="AO135" i="1"/>
  <c r="AN135" i="1"/>
  <c r="BS134" i="1"/>
  <c r="BR134" i="1"/>
  <c r="BQ134" i="1"/>
  <c r="BP134" i="1"/>
  <c r="BO134" i="1"/>
  <c r="BN134" i="1"/>
  <c r="BM134" i="1"/>
  <c r="BL134" i="1"/>
  <c r="BK134" i="1"/>
  <c r="BJ134" i="1"/>
  <c r="BI134" i="1"/>
  <c r="BG134" i="1"/>
  <c r="BF134" i="1"/>
  <c r="BE134" i="1"/>
  <c r="BD134" i="1"/>
  <c r="BC134" i="1"/>
  <c r="BB134" i="1"/>
  <c r="BA134" i="1"/>
  <c r="AZ134" i="1"/>
  <c r="AY134" i="1"/>
  <c r="AX134" i="1"/>
  <c r="AW134" i="1"/>
  <c r="AV134" i="1"/>
  <c r="AU134" i="1"/>
  <c r="AT134" i="1"/>
  <c r="AS134" i="1"/>
  <c r="AR134" i="1"/>
  <c r="AQ134" i="1"/>
  <c r="AP134" i="1"/>
  <c r="AO134" i="1"/>
  <c r="AN134" i="1"/>
  <c r="BS133" i="1"/>
  <c r="BR133" i="1"/>
  <c r="BQ133" i="1"/>
  <c r="BP133" i="1"/>
  <c r="BO133" i="1"/>
  <c r="BN133" i="1"/>
  <c r="BM133" i="1"/>
  <c r="BL133" i="1"/>
  <c r="BK133" i="1"/>
  <c r="BJ133" i="1"/>
  <c r="BI133" i="1"/>
  <c r="BH133" i="1"/>
  <c r="BG133" i="1"/>
  <c r="BF133" i="1"/>
  <c r="BE133" i="1"/>
  <c r="BD133" i="1"/>
  <c r="BC133" i="1"/>
  <c r="BB133" i="1"/>
  <c r="BA133" i="1"/>
  <c r="AZ133" i="1"/>
  <c r="AY133" i="1"/>
  <c r="AX133" i="1"/>
  <c r="AW133" i="1"/>
  <c r="AV133" i="1"/>
  <c r="AU133" i="1"/>
  <c r="AT133" i="1"/>
  <c r="AS133" i="1"/>
  <c r="AR133" i="1"/>
  <c r="AQ133" i="1"/>
  <c r="AP133" i="1"/>
  <c r="AO133" i="1"/>
  <c r="AN133" i="1"/>
  <c r="BS132" i="1"/>
  <c r="BR132" i="1"/>
  <c r="BQ132" i="1"/>
  <c r="BP132" i="1"/>
  <c r="BO132" i="1"/>
  <c r="BN132" i="1"/>
  <c r="BM132" i="1"/>
  <c r="BL132" i="1"/>
  <c r="BK132" i="1"/>
  <c r="BJ132" i="1"/>
  <c r="BI132" i="1"/>
  <c r="BG132" i="1"/>
  <c r="BF132" i="1"/>
  <c r="BE132" i="1"/>
  <c r="BD132" i="1"/>
  <c r="BC132" i="1"/>
  <c r="BB132" i="1"/>
  <c r="BA132" i="1"/>
  <c r="AZ132" i="1"/>
  <c r="AY132" i="1"/>
  <c r="AX132" i="1"/>
  <c r="AW132" i="1"/>
  <c r="AV132" i="1"/>
  <c r="AU132" i="1"/>
  <c r="AT132" i="1"/>
  <c r="AS132" i="1"/>
  <c r="AR132" i="1"/>
  <c r="AQ132" i="1"/>
  <c r="AP132" i="1"/>
  <c r="AO132" i="1"/>
  <c r="AN132" i="1"/>
  <c r="BS131" i="1"/>
  <c r="BR131" i="1"/>
  <c r="BQ131" i="1"/>
  <c r="BP131" i="1"/>
  <c r="BO131" i="1"/>
  <c r="BN131" i="1"/>
  <c r="BM131" i="1"/>
  <c r="BL131" i="1"/>
  <c r="BK131" i="1"/>
  <c r="BJ131" i="1"/>
  <c r="BI131" i="1"/>
  <c r="BG131" i="1"/>
  <c r="BF131" i="1"/>
  <c r="BE131" i="1"/>
  <c r="BD131" i="1"/>
  <c r="BC131" i="1"/>
  <c r="BB131" i="1"/>
  <c r="BA131" i="1"/>
  <c r="AZ131" i="1"/>
  <c r="AY131" i="1"/>
  <c r="AX131" i="1"/>
  <c r="AW131" i="1"/>
  <c r="AV131" i="1"/>
  <c r="AU131" i="1"/>
  <c r="AT131" i="1"/>
  <c r="AS131" i="1"/>
  <c r="AR131" i="1"/>
  <c r="AQ131" i="1"/>
  <c r="AP131" i="1"/>
  <c r="AO131" i="1"/>
  <c r="AN131" i="1"/>
  <c r="BS130" i="1"/>
  <c r="BR130" i="1"/>
  <c r="BQ130" i="1"/>
  <c r="BP130" i="1"/>
  <c r="BO130" i="1"/>
  <c r="BN130" i="1"/>
  <c r="BM130" i="1"/>
  <c r="BL130" i="1"/>
  <c r="BK130" i="1"/>
  <c r="BJ130" i="1"/>
  <c r="BI130" i="1"/>
  <c r="BG130" i="1"/>
  <c r="BF130" i="1"/>
  <c r="BE130" i="1"/>
  <c r="BD130" i="1"/>
  <c r="BC130" i="1"/>
  <c r="BB130" i="1"/>
  <c r="BA130" i="1"/>
  <c r="AZ130" i="1"/>
  <c r="AY130" i="1"/>
  <c r="AX130" i="1"/>
  <c r="AW130" i="1"/>
  <c r="AV130" i="1"/>
  <c r="AU130" i="1"/>
  <c r="AT130" i="1"/>
  <c r="AS130" i="1"/>
  <c r="AR130" i="1"/>
  <c r="AQ130" i="1"/>
  <c r="AP130" i="1"/>
  <c r="AO130" i="1"/>
  <c r="AN130" i="1"/>
  <c r="BS129" i="1"/>
  <c r="BR129" i="1"/>
  <c r="BQ129" i="1"/>
  <c r="BP129" i="1"/>
  <c r="BO129" i="1"/>
  <c r="BN129" i="1"/>
  <c r="BM129" i="1"/>
  <c r="BL129" i="1"/>
  <c r="BK129" i="1"/>
  <c r="BJ129" i="1"/>
  <c r="BI129" i="1"/>
  <c r="BG129" i="1"/>
  <c r="BF129" i="1"/>
  <c r="BE129" i="1"/>
  <c r="BD129" i="1"/>
  <c r="BC129" i="1"/>
  <c r="BB129" i="1"/>
  <c r="BA129" i="1"/>
  <c r="AZ129" i="1"/>
  <c r="AY129" i="1"/>
  <c r="AX129" i="1"/>
  <c r="AW129" i="1"/>
  <c r="AV129" i="1"/>
  <c r="AU129" i="1"/>
  <c r="AT129" i="1"/>
  <c r="AS129" i="1"/>
  <c r="AR129" i="1"/>
  <c r="AQ129" i="1"/>
  <c r="AP129" i="1"/>
  <c r="AO129" i="1"/>
  <c r="AN129" i="1"/>
  <c r="BS128" i="1"/>
  <c r="BR128" i="1"/>
  <c r="BQ128" i="1"/>
  <c r="BP128" i="1"/>
  <c r="BO128" i="1"/>
  <c r="BN128" i="1"/>
  <c r="BM128" i="1"/>
  <c r="BL128" i="1"/>
  <c r="BK128" i="1"/>
  <c r="BJ128" i="1"/>
  <c r="BI128" i="1"/>
  <c r="BG128" i="1"/>
  <c r="BF128" i="1"/>
  <c r="BE128" i="1"/>
  <c r="BD128" i="1"/>
  <c r="BC128" i="1"/>
  <c r="BB128" i="1"/>
  <c r="BA128" i="1"/>
  <c r="AZ128" i="1"/>
  <c r="AY128" i="1"/>
  <c r="AX128" i="1"/>
  <c r="AW128" i="1"/>
  <c r="AV128" i="1"/>
  <c r="AU128" i="1"/>
  <c r="AT128" i="1"/>
  <c r="AS128" i="1"/>
  <c r="AR128" i="1"/>
  <c r="AQ128" i="1"/>
  <c r="AP128" i="1"/>
  <c r="AO128" i="1"/>
  <c r="AN128" i="1"/>
  <c r="BS127" i="1"/>
  <c r="BR127" i="1"/>
  <c r="BQ127" i="1"/>
  <c r="BP127" i="1"/>
  <c r="BO127" i="1"/>
  <c r="BN127" i="1"/>
  <c r="BM127" i="1"/>
  <c r="BL127" i="1"/>
  <c r="BK127" i="1"/>
  <c r="BJ127" i="1"/>
  <c r="BI127" i="1"/>
  <c r="BG127" i="1"/>
  <c r="BF127" i="1"/>
  <c r="BE127" i="1"/>
  <c r="BD127" i="1"/>
  <c r="BC127" i="1"/>
  <c r="BB127" i="1"/>
  <c r="BA127" i="1"/>
  <c r="AZ127" i="1"/>
  <c r="AY127" i="1"/>
  <c r="AX127" i="1"/>
  <c r="AW127" i="1"/>
  <c r="AV127" i="1"/>
  <c r="AU127" i="1"/>
  <c r="AT127" i="1"/>
  <c r="AS127" i="1"/>
  <c r="AR127" i="1"/>
  <c r="AQ127" i="1"/>
  <c r="AP127" i="1"/>
  <c r="AO127" i="1"/>
  <c r="AN127" i="1"/>
  <c r="BS126" i="1"/>
  <c r="BR126" i="1"/>
  <c r="BQ126" i="1"/>
  <c r="BP126" i="1"/>
  <c r="BO126" i="1"/>
  <c r="BN126" i="1"/>
  <c r="BM126" i="1"/>
  <c r="BL126" i="1"/>
  <c r="BK126" i="1"/>
  <c r="BJ126" i="1"/>
  <c r="BI126" i="1"/>
  <c r="BG126" i="1"/>
  <c r="BF126" i="1"/>
  <c r="BE126" i="1"/>
  <c r="BD126" i="1"/>
  <c r="BC126" i="1"/>
  <c r="BB126" i="1"/>
  <c r="BA126" i="1"/>
  <c r="AZ126" i="1"/>
  <c r="AY126" i="1"/>
  <c r="AX126" i="1"/>
  <c r="AW126" i="1"/>
  <c r="AV126" i="1"/>
  <c r="AU126" i="1"/>
  <c r="AT126" i="1"/>
  <c r="AS126" i="1"/>
  <c r="AR126" i="1"/>
  <c r="AQ126" i="1"/>
  <c r="AP126" i="1"/>
  <c r="AO126" i="1"/>
  <c r="AN126" i="1"/>
  <c r="BS125" i="1"/>
  <c r="BR125" i="1"/>
  <c r="BQ125" i="1"/>
  <c r="BP125" i="1"/>
  <c r="BO125" i="1"/>
  <c r="BN125" i="1"/>
  <c r="BM125" i="1"/>
  <c r="BL125" i="1"/>
  <c r="BK125" i="1"/>
  <c r="BJ125" i="1"/>
  <c r="BI125" i="1"/>
  <c r="BH125" i="1"/>
  <c r="BG125" i="1"/>
  <c r="BF125" i="1"/>
  <c r="BE125" i="1"/>
  <c r="BD125" i="1"/>
  <c r="BC125" i="1"/>
  <c r="BB125" i="1"/>
  <c r="BA125" i="1"/>
  <c r="AZ125" i="1"/>
  <c r="AY125" i="1"/>
  <c r="AX125" i="1"/>
  <c r="AW125" i="1"/>
  <c r="AV125" i="1"/>
  <c r="AU125" i="1"/>
  <c r="AT125" i="1"/>
  <c r="AS125" i="1"/>
  <c r="AR125" i="1"/>
  <c r="AQ125" i="1"/>
  <c r="AP125" i="1"/>
  <c r="AO125" i="1"/>
  <c r="AN125" i="1"/>
  <c r="BS124" i="1"/>
  <c r="BR124" i="1"/>
  <c r="BQ124" i="1"/>
  <c r="BP124" i="1"/>
  <c r="BO124" i="1"/>
  <c r="BN124" i="1"/>
  <c r="BM124" i="1"/>
  <c r="BL124" i="1"/>
  <c r="BK124" i="1"/>
  <c r="BJ124" i="1"/>
  <c r="BI124" i="1"/>
  <c r="BG124" i="1"/>
  <c r="BF124" i="1"/>
  <c r="BE124" i="1"/>
  <c r="BD124" i="1"/>
  <c r="BC124" i="1"/>
  <c r="BB124" i="1"/>
  <c r="BA124" i="1"/>
  <c r="AZ124" i="1"/>
  <c r="AY124" i="1"/>
  <c r="AX124" i="1"/>
  <c r="AW124" i="1"/>
  <c r="AV124" i="1"/>
  <c r="AU124" i="1"/>
  <c r="AT124" i="1"/>
  <c r="AS124" i="1"/>
  <c r="AR124" i="1"/>
  <c r="AQ124" i="1"/>
  <c r="AP124" i="1"/>
  <c r="AO124" i="1"/>
  <c r="AN124" i="1"/>
  <c r="BS123" i="1"/>
  <c r="BR123" i="1"/>
  <c r="BQ123" i="1"/>
  <c r="BP123" i="1"/>
  <c r="BO123" i="1"/>
  <c r="BN123" i="1"/>
  <c r="BM123" i="1"/>
  <c r="BL123" i="1"/>
  <c r="BK123" i="1"/>
  <c r="BJ123" i="1"/>
  <c r="BI123" i="1"/>
  <c r="BG123" i="1"/>
  <c r="BF123" i="1"/>
  <c r="BE123" i="1"/>
  <c r="BD123" i="1"/>
  <c r="BC123" i="1"/>
  <c r="BB123" i="1"/>
  <c r="BA123" i="1"/>
  <c r="AZ123" i="1"/>
  <c r="AY123" i="1"/>
  <c r="AX123" i="1"/>
  <c r="AW123" i="1"/>
  <c r="AV123" i="1"/>
  <c r="AU123" i="1"/>
  <c r="AT123" i="1"/>
  <c r="AS123" i="1"/>
  <c r="AR123" i="1"/>
  <c r="AQ123" i="1"/>
  <c r="AP123" i="1"/>
  <c r="AO123" i="1"/>
  <c r="AN123" i="1"/>
  <c r="BS122" i="1"/>
  <c r="BR122" i="1"/>
  <c r="BQ122" i="1"/>
  <c r="BP122" i="1"/>
  <c r="BO122" i="1"/>
  <c r="BN122" i="1"/>
  <c r="BM122" i="1"/>
  <c r="BL122" i="1"/>
  <c r="BK122" i="1"/>
  <c r="BJ122" i="1"/>
  <c r="BI122" i="1"/>
  <c r="BG122" i="1"/>
  <c r="BF122" i="1"/>
  <c r="BE122" i="1"/>
  <c r="BD122" i="1"/>
  <c r="BC122" i="1"/>
  <c r="BB122" i="1"/>
  <c r="BA122" i="1"/>
  <c r="AZ122" i="1"/>
  <c r="AY122" i="1"/>
  <c r="AX122" i="1"/>
  <c r="AW122" i="1"/>
  <c r="AV122" i="1"/>
  <c r="AU122" i="1"/>
  <c r="AT122" i="1"/>
  <c r="AS122" i="1"/>
  <c r="AR122" i="1"/>
  <c r="AQ122" i="1"/>
  <c r="AP122" i="1"/>
  <c r="AO122" i="1"/>
  <c r="AN122" i="1"/>
  <c r="BS121" i="1"/>
  <c r="BR121" i="1"/>
  <c r="BQ121" i="1"/>
  <c r="BP121" i="1"/>
  <c r="BO121" i="1"/>
  <c r="BN121" i="1"/>
  <c r="BM121" i="1"/>
  <c r="BL121" i="1"/>
  <c r="BK121" i="1"/>
  <c r="BJ121" i="1"/>
  <c r="BI121" i="1"/>
  <c r="BG121" i="1"/>
  <c r="BF121" i="1"/>
  <c r="BE121" i="1"/>
  <c r="BD121" i="1"/>
  <c r="BC121" i="1"/>
  <c r="BB121" i="1"/>
  <c r="BA121" i="1"/>
  <c r="AZ121" i="1"/>
  <c r="AY121" i="1"/>
  <c r="AX121" i="1"/>
  <c r="AW121" i="1"/>
  <c r="AV121" i="1"/>
  <c r="AU121" i="1"/>
  <c r="AT121" i="1"/>
  <c r="AS121" i="1"/>
  <c r="AR121" i="1"/>
  <c r="AQ121" i="1"/>
  <c r="AP121" i="1"/>
  <c r="AO121" i="1"/>
  <c r="AN121" i="1"/>
  <c r="BS120" i="1"/>
  <c r="BR120" i="1"/>
  <c r="BQ120" i="1"/>
  <c r="BP120" i="1"/>
  <c r="BO120" i="1"/>
  <c r="BN120" i="1"/>
  <c r="BM120" i="1"/>
  <c r="BL120" i="1"/>
  <c r="BK120" i="1"/>
  <c r="BJ120" i="1"/>
  <c r="BI120" i="1"/>
  <c r="BG120" i="1"/>
  <c r="BF120" i="1"/>
  <c r="BE120" i="1"/>
  <c r="BD120" i="1"/>
  <c r="BC120" i="1"/>
  <c r="BB120" i="1"/>
  <c r="BA120" i="1"/>
  <c r="AZ120" i="1"/>
  <c r="AY120" i="1"/>
  <c r="AX120" i="1"/>
  <c r="AW120" i="1"/>
  <c r="AV120" i="1"/>
  <c r="AU120" i="1"/>
  <c r="AT120" i="1"/>
  <c r="AS120" i="1"/>
  <c r="AR120" i="1"/>
  <c r="AQ120" i="1"/>
  <c r="AP120" i="1"/>
  <c r="AO120" i="1"/>
  <c r="AN120" i="1"/>
  <c r="BS119" i="1"/>
  <c r="BR119" i="1"/>
  <c r="BQ119" i="1"/>
  <c r="BP119" i="1"/>
  <c r="BO119" i="1"/>
  <c r="BN119" i="1"/>
  <c r="BM119" i="1"/>
  <c r="BL119" i="1"/>
  <c r="BK119" i="1"/>
  <c r="BJ119" i="1"/>
  <c r="BI119" i="1"/>
  <c r="BG119" i="1"/>
  <c r="BF119" i="1"/>
  <c r="BE119" i="1"/>
  <c r="BD119" i="1"/>
  <c r="BC119" i="1"/>
  <c r="BB119" i="1"/>
  <c r="BA119" i="1"/>
  <c r="AZ119" i="1"/>
  <c r="AY119" i="1"/>
  <c r="AX119" i="1"/>
  <c r="AW119" i="1"/>
  <c r="AV119" i="1"/>
  <c r="AU119" i="1"/>
  <c r="AT119" i="1"/>
  <c r="AS119" i="1"/>
  <c r="AR119" i="1"/>
  <c r="AQ119" i="1"/>
  <c r="AP119" i="1"/>
  <c r="AO119" i="1"/>
  <c r="AN119" i="1"/>
  <c r="BS118" i="1"/>
  <c r="BR118" i="1"/>
  <c r="BQ118" i="1"/>
  <c r="BP118" i="1"/>
  <c r="BO118" i="1"/>
  <c r="BN118" i="1"/>
  <c r="BM118" i="1"/>
  <c r="BL118" i="1"/>
  <c r="BK118" i="1"/>
  <c r="BJ118" i="1"/>
  <c r="BI118" i="1"/>
  <c r="BH118" i="1"/>
  <c r="BG118" i="1"/>
  <c r="BF118" i="1"/>
  <c r="BE118" i="1"/>
  <c r="BD118" i="1"/>
  <c r="BC118" i="1"/>
  <c r="BB118" i="1"/>
  <c r="BA118" i="1"/>
  <c r="AZ118" i="1"/>
  <c r="AY118" i="1"/>
  <c r="AX118" i="1"/>
  <c r="AW118" i="1"/>
  <c r="AV118" i="1"/>
  <c r="AU118" i="1"/>
  <c r="AT118" i="1"/>
  <c r="AS118" i="1"/>
  <c r="AR118" i="1"/>
  <c r="AQ118" i="1"/>
  <c r="AP118" i="1"/>
  <c r="AO118" i="1"/>
  <c r="AN118" i="1"/>
  <c r="BS117" i="1"/>
  <c r="BR117" i="1"/>
  <c r="BQ117" i="1"/>
  <c r="BP117" i="1"/>
  <c r="BO117" i="1"/>
  <c r="BN117" i="1"/>
  <c r="BM117" i="1"/>
  <c r="BL117" i="1"/>
  <c r="BK117" i="1"/>
  <c r="BJ117" i="1"/>
  <c r="BI117" i="1"/>
  <c r="BH117" i="1"/>
  <c r="BG117" i="1"/>
  <c r="BF117" i="1"/>
  <c r="BE117" i="1"/>
  <c r="BD117" i="1"/>
  <c r="BC117" i="1"/>
  <c r="BB117" i="1"/>
  <c r="BA117" i="1"/>
  <c r="AZ117" i="1"/>
  <c r="AY117" i="1"/>
  <c r="AX117" i="1"/>
  <c r="AW117" i="1"/>
  <c r="AV117" i="1"/>
  <c r="AU117" i="1"/>
  <c r="AT117" i="1"/>
  <c r="AS117" i="1"/>
  <c r="AR117" i="1"/>
  <c r="AQ117" i="1"/>
  <c r="AP117" i="1"/>
  <c r="AO117" i="1"/>
  <c r="AN117" i="1"/>
  <c r="BS116" i="1"/>
  <c r="BR116" i="1"/>
  <c r="BQ116" i="1"/>
  <c r="BP116" i="1"/>
  <c r="BO116" i="1"/>
  <c r="BN116" i="1"/>
  <c r="BM116" i="1"/>
  <c r="BL116" i="1"/>
  <c r="BK116" i="1"/>
  <c r="BJ116" i="1"/>
  <c r="BI116" i="1"/>
  <c r="BG116" i="1"/>
  <c r="BF116" i="1"/>
  <c r="BE116" i="1"/>
  <c r="BD116" i="1"/>
  <c r="BC116" i="1"/>
  <c r="BB116" i="1"/>
  <c r="BA116" i="1"/>
  <c r="AZ116" i="1"/>
  <c r="AY116" i="1"/>
  <c r="AX116" i="1"/>
  <c r="AW116" i="1"/>
  <c r="AV116" i="1"/>
  <c r="AU116" i="1"/>
  <c r="AT116" i="1"/>
  <c r="AS116" i="1"/>
  <c r="AR116" i="1"/>
  <c r="AQ116" i="1"/>
  <c r="AP116" i="1"/>
  <c r="AO116" i="1"/>
  <c r="AN116" i="1"/>
  <c r="BS115" i="1"/>
  <c r="BR115" i="1"/>
  <c r="BQ115" i="1"/>
  <c r="BP115" i="1"/>
  <c r="BO115" i="1"/>
  <c r="BN115" i="1"/>
  <c r="BM115" i="1"/>
  <c r="BL115" i="1"/>
  <c r="BK115" i="1"/>
  <c r="BJ115" i="1"/>
  <c r="BI115" i="1"/>
  <c r="BG115" i="1"/>
  <c r="BF115" i="1"/>
  <c r="BE115" i="1"/>
  <c r="BD115" i="1"/>
  <c r="BC115" i="1"/>
  <c r="BB115" i="1"/>
  <c r="BA115" i="1"/>
  <c r="AZ115" i="1"/>
  <c r="AY115" i="1"/>
  <c r="AX115" i="1"/>
  <c r="AW115" i="1"/>
  <c r="AV115" i="1"/>
  <c r="AU115" i="1"/>
  <c r="AT115" i="1"/>
  <c r="AS115" i="1"/>
  <c r="AR115" i="1"/>
  <c r="AQ115" i="1"/>
  <c r="AP115" i="1"/>
  <c r="AO115" i="1"/>
  <c r="AN115" i="1"/>
  <c r="BS114" i="1"/>
  <c r="BR114" i="1"/>
  <c r="BQ114" i="1"/>
  <c r="BP114" i="1"/>
  <c r="BO114" i="1"/>
  <c r="BN114" i="1"/>
  <c r="BM114" i="1"/>
  <c r="BL114" i="1"/>
  <c r="BK114" i="1"/>
  <c r="BJ114" i="1"/>
  <c r="BI114" i="1"/>
  <c r="BG114" i="1"/>
  <c r="BF114" i="1"/>
  <c r="BE114" i="1"/>
  <c r="BD114" i="1"/>
  <c r="BC114" i="1"/>
  <c r="BB114" i="1"/>
  <c r="BA114" i="1"/>
  <c r="AZ114" i="1"/>
  <c r="AY114" i="1"/>
  <c r="AX114" i="1"/>
  <c r="AW114" i="1"/>
  <c r="AV114" i="1"/>
  <c r="AU114" i="1"/>
  <c r="AT114" i="1"/>
  <c r="AS114" i="1"/>
  <c r="AR114" i="1"/>
  <c r="AQ114" i="1"/>
  <c r="AP114" i="1"/>
  <c r="AO114" i="1"/>
  <c r="AN114" i="1"/>
  <c r="BS113" i="1"/>
  <c r="BR113" i="1"/>
  <c r="BQ113" i="1"/>
  <c r="BP113" i="1"/>
  <c r="BO113" i="1"/>
  <c r="BN113" i="1"/>
  <c r="BM113" i="1"/>
  <c r="BL113" i="1"/>
  <c r="BK113" i="1"/>
  <c r="BJ113" i="1"/>
  <c r="BI113" i="1"/>
  <c r="BG113" i="1"/>
  <c r="BF113" i="1"/>
  <c r="BE113" i="1"/>
  <c r="BD113" i="1"/>
  <c r="BC113" i="1"/>
  <c r="BB113" i="1"/>
  <c r="BA113" i="1"/>
  <c r="AZ113" i="1"/>
  <c r="AY113" i="1"/>
  <c r="AX113" i="1"/>
  <c r="AW113" i="1"/>
  <c r="AV113" i="1"/>
  <c r="AU113" i="1"/>
  <c r="AT113" i="1"/>
  <c r="AS113" i="1"/>
  <c r="AR113" i="1"/>
  <c r="AQ113" i="1"/>
  <c r="AP113" i="1"/>
  <c r="AO113" i="1"/>
  <c r="AN113" i="1"/>
  <c r="BS112" i="1"/>
  <c r="BR112" i="1"/>
  <c r="BQ112" i="1"/>
  <c r="BP112" i="1"/>
  <c r="BO112" i="1"/>
  <c r="BN112" i="1"/>
  <c r="BM112" i="1"/>
  <c r="BL112" i="1"/>
  <c r="BK112" i="1"/>
  <c r="BJ112" i="1"/>
  <c r="BI112" i="1"/>
  <c r="BG112" i="1"/>
  <c r="BF112" i="1"/>
  <c r="BE112" i="1"/>
  <c r="BD112" i="1"/>
  <c r="BC112" i="1"/>
  <c r="BB112" i="1"/>
  <c r="BA112" i="1"/>
  <c r="AZ112" i="1"/>
  <c r="AY112" i="1"/>
  <c r="AX112" i="1"/>
  <c r="AW112" i="1"/>
  <c r="AV112" i="1"/>
  <c r="AU112" i="1"/>
  <c r="AT112" i="1"/>
  <c r="AS112" i="1"/>
  <c r="AR112" i="1"/>
  <c r="AQ112" i="1"/>
  <c r="AP112" i="1"/>
  <c r="AO112" i="1"/>
  <c r="AN112" i="1"/>
  <c r="BS111" i="1"/>
  <c r="BR111" i="1"/>
  <c r="BQ111" i="1"/>
  <c r="BP111" i="1"/>
  <c r="BO111" i="1"/>
  <c r="BN111" i="1"/>
  <c r="BM111" i="1"/>
  <c r="BL111" i="1"/>
  <c r="BK111" i="1"/>
  <c r="BJ111" i="1"/>
  <c r="BI111" i="1"/>
  <c r="BG111" i="1"/>
  <c r="BF111" i="1"/>
  <c r="BE111" i="1"/>
  <c r="BD111" i="1"/>
  <c r="BC111" i="1"/>
  <c r="BB111" i="1"/>
  <c r="BA111" i="1"/>
  <c r="AZ111" i="1"/>
  <c r="AY111" i="1"/>
  <c r="AX111" i="1"/>
  <c r="AW111" i="1"/>
  <c r="AV111" i="1"/>
  <c r="AU111" i="1"/>
  <c r="AT111" i="1"/>
  <c r="AS111" i="1"/>
  <c r="AR111" i="1"/>
  <c r="AQ111" i="1"/>
  <c r="AP111" i="1"/>
  <c r="AO111" i="1"/>
  <c r="AN111" i="1"/>
  <c r="BS110" i="1"/>
  <c r="BR110" i="1"/>
  <c r="BQ110" i="1"/>
  <c r="BP110" i="1"/>
  <c r="BO110" i="1"/>
  <c r="BN110" i="1"/>
  <c r="BM110" i="1"/>
  <c r="BL110" i="1"/>
  <c r="BK110" i="1"/>
  <c r="BJ110" i="1"/>
  <c r="BI110" i="1"/>
  <c r="BG110" i="1"/>
  <c r="BF110" i="1"/>
  <c r="BE110" i="1"/>
  <c r="BD110" i="1"/>
  <c r="BC110" i="1"/>
  <c r="BB110" i="1"/>
  <c r="BA110" i="1"/>
  <c r="AZ110" i="1"/>
  <c r="AY110" i="1"/>
  <c r="AX110" i="1"/>
  <c r="AW110" i="1"/>
  <c r="AV110" i="1"/>
  <c r="AU110" i="1"/>
  <c r="AT110" i="1"/>
  <c r="AS110" i="1"/>
  <c r="AR110" i="1"/>
  <c r="AQ110" i="1"/>
  <c r="AP110" i="1"/>
  <c r="AO110" i="1"/>
  <c r="AN110" i="1"/>
  <c r="BS109" i="1"/>
  <c r="BR109" i="1"/>
  <c r="BQ109" i="1"/>
  <c r="BP109" i="1"/>
  <c r="BO109" i="1"/>
  <c r="BN109" i="1"/>
  <c r="BM109" i="1"/>
  <c r="BL109" i="1"/>
  <c r="BK109" i="1"/>
  <c r="BJ109" i="1"/>
  <c r="BI109" i="1"/>
  <c r="BH109" i="1"/>
  <c r="BG109" i="1"/>
  <c r="BF109" i="1"/>
  <c r="BE109" i="1"/>
  <c r="BD109" i="1"/>
  <c r="BC109" i="1"/>
  <c r="BB109" i="1"/>
  <c r="BA109" i="1"/>
  <c r="AZ109" i="1"/>
  <c r="AY109" i="1"/>
  <c r="AX109" i="1"/>
  <c r="AW109" i="1"/>
  <c r="AV109" i="1"/>
  <c r="AU109" i="1"/>
  <c r="AT109" i="1"/>
  <c r="AS109" i="1"/>
  <c r="AR109" i="1"/>
  <c r="AQ109" i="1"/>
  <c r="AP109" i="1"/>
  <c r="AO109" i="1"/>
  <c r="AN109" i="1"/>
  <c r="BS108" i="1"/>
  <c r="BR108" i="1"/>
  <c r="BQ108" i="1"/>
  <c r="BP108" i="1"/>
  <c r="BO108" i="1"/>
  <c r="BN108" i="1"/>
  <c r="BM108" i="1"/>
  <c r="BL108" i="1"/>
  <c r="BK108" i="1"/>
  <c r="BJ108" i="1"/>
  <c r="BI108" i="1"/>
  <c r="BG108" i="1"/>
  <c r="BF108" i="1"/>
  <c r="BE108" i="1"/>
  <c r="BD108" i="1"/>
  <c r="BC108" i="1"/>
  <c r="BB108" i="1"/>
  <c r="BA108" i="1"/>
  <c r="AZ108" i="1"/>
  <c r="AY108" i="1"/>
  <c r="AX108" i="1"/>
  <c r="AW108" i="1"/>
  <c r="AV108" i="1"/>
  <c r="AU108" i="1"/>
  <c r="AT108" i="1"/>
  <c r="AS108" i="1"/>
  <c r="AR108" i="1"/>
  <c r="AQ108" i="1"/>
  <c r="AP108" i="1"/>
  <c r="AO108" i="1"/>
  <c r="AN108" i="1"/>
  <c r="BS107" i="1"/>
  <c r="BR107" i="1"/>
  <c r="BQ107" i="1"/>
  <c r="BP107" i="1"/>
  <c r="BO107" i="1"/>
  <c r="BN107" i="1"/>
  <c r="BM107" i="1"/>
  <c r="BL107" i="1"/>
  <c r="BK107" i="1"/>
  <c r="BJ107" i="1"/>
  <c r="BI107" i="1"/>
  <c r="BG107" i="1"/>
  <c r="BF107" i="1"/>
  <c r="BE107" i="1"/>
  <c r="BD107" i="1"/>
  <c r="BC107" i="1"/>
  <c r="BB107" i="1"/>
  <c r="BA107" i="1"/>
  <c r="AZ107" i="1"/>
  <c r="AY107" i="1"/>
  <c r="AX107" i="1"/>
  <c r="AW107" i="1"/>
  <c r="AV107" i="1"/>
  <c r="AU107" i="1"/>
  <c r="AT107" i="1"/>
  <c r="AS107" i="1"/>
  <c r="AR107" i="1"/>
  <c r="AQ107" i="1"/>
  <c r="AP107" i="1"/>
  <c r="AO107" i="1"/>
  <c r="AN107" i="1"/>
  <c r="BS106" i="1"/>
  <c r="BR106" i="1"/>
  <c r="BQ106" i="1"/>
  <c r="BP106" i="1"/>
  <c r="BO106" i="1"/>
  <c r="BN106" i="1"/>
  <c r="BM106" i="1"/>
  <c r="BL106" i="1"/>
  <c r="BK106" i="1"/>
  <c r="BJ106" i="1"/>
  <c r="BI106" i="1"/>
  <c r="BG106" i="1"/>
  <c r="BF106" i="1"/>
  <c r="BE106" i="1"/>
  <c r="BD106" i="1"/>
  <c r="BC106" i="1"/>
  <c r="BB106" i="1"/>
  <c r="BA106" i="1"/>
  <c r="AZ106" i="1"/>
  <c r="AY106" i="1"/>
  <c r="AX106" i="1"/>
  <c r="AW106" i="1"/>
  <c r="AV106" i="1"/>
  <c r="AU106" i="1"/>
  <c r="AT106" i="1"/>
  <c r="AS106" i="1"/>
  <c r="AR106" i="1"/>
  <c r="AQ106" i="1"/>
  <c r="AP106" i="1"/>
  <c r="AO106" i="1"/>
  <c r="AN106" i="1"/>
  <c r="BS105" i="1"/>
  <c r="BR105" i="1"/>
  <c r="BQ105" i="1"/>
  <c r="BP105" i="1"/>
  <c r="BO105" i="1"/>
  <c r="BN105" i="1"/>
  <c r="BM105" i="1"/>
  <c r="BL105" i="1"/>
  <c r="BK105" i="1"/>
  <c r="BJ105" i="1"/>
  <c r="BI105" i="1"/>
  <c r="BG105" i="1"/>
  <c r="BF105" i="1"/>
  <c r="BE105" i="1"/>
  <c r="BD105" i="1"/>
  <c r="BC105" i="1"/>
  <c r="BB105" i="1"/>
  <c r="BA105" i="1"/>
  <c r="AZ105" i="1"/>
  <c r="AY105" i="1"/>
  <c r="AX105" i="1"/>
  <c r="AW105" i="1"/>
  <c r="AV105" i="1"/>
  <c r="AU105" i="1"/>
  <c r="AT105" i="1"/>
  <c r="AS105" i="1"/>
  <c r="AR105" i="1"/>
  <c r="AQ105" i="1"/>
  <c r="AP105" i="1"/>
  <c r="AO105" i="1"/>
  <c r="AN105" i="1"/>
  <c r="BS104" i="1"/>
  <c r="BR104" i="1"/>
  <c r="BQ104" i="1"/>
  <c r="BP104" i="1"/>
  <c r="BO104" i="1"/>
  <c r="BN104" i="1"/>
  <c r="BM104" i="1"/>
  <c r="BL104" i="1"/>
  <c r="BK104" i="1"/>
  <c r="BJ104" i="1"/>
  <c r="BI104" i="1"/>
  <c r="BG104" i="1"/>
  <c r="BF104" i="1"/>
  <c r="BE104" i="1"/>
  <c r="BD104" i="1"/>
  <c r="BC104" i="1"/>
  <c r="BB104" i="1"/>
  <c r="BA104" i="1"/>
  <c r="AZ104" i="1"/>
  <c r="AY104" i="1"/>
  <c r="AX104" i="1"/>
  <c r="AW104" i="1"/>
  <c r="AV104" i="1"/>
  <c r="AU104" i="1"/>
  <c r="AT104" i="1"/>
  <c r="AS104" i="1"/>
  <c r="AR104" i="1"/>
  <c r="AQ104" i="1"/>
  <c r="AP104" i="1"/>
  <c r="AO104" i="1"/>
  <c r="AN104" i="1"/>
  <c r="BS103" i="1"/>
  <c r="BR103" i="1"/>
  <c r="BQ103" i="1"/>
  <c r="BP103" i="1"/>
  <c r="BO103" i="1"/>
  <c r="BN103" i="1"/>
  <c r="BM103" i="1"/>
  <c r="BL103" i="1"/>
  <c r="BK103" i="1"/>
  <c r="BJ103" i="1"/>
  <c r="BI103" i="1"/>
  <c r="BG103" i="1"/>
  <c r="BF103" i="1"/>
  <c r="BE103" i="1"/>
  <c r="BD103" i="1"/>
  <c r="BC103" i="1"/>
  <c r="BB103" i="1"/>
  <c r="BA103" i="1"/>
  <c r="AZ103" i="1"/>
  <c r="AY103" i="1"/>
  <c r="AX103" i="1"/>
  <c r="AW103" i="1"/>
  <c r="AV103" i="1"/>
  <c r="AU103" i="1"/>
  <c r="AT103" i="1"/>
  <c r="AS103" i="1"/>
  <c r="AR103" i="1"/>
  <c r="AQ103" i="1"/>
  <c r="AP103" i="1"/>
  <c r="AO103" i="1"/>
  <c r="AN103" i="1"/>
  <c r="BS102" i="1"/>
  <c r="BR102" i="1"/>
  <c r="BQ102" i="1"/>
  <c r="BP102" i="1"/>
  <c r="BO102" i="1"/>
  <c r="BN102" i="1"/>
  <c r="BM102" i="1"/>
  <c r="BL102" i="1"/>
  <c r="BK102" i="1"/>
  <c r="BJ102" i="1"/>
  <c r="BI102" i="1"/>
  <c r="BG102" i="1"/>
  <c r="BF102" i="1"/>
  <c r="BE102" i="1"/>
  <c r="BD102" i="1"/>
  <c r="BC102" i="1"/>
  <c r="BB102" i="1"/>
  <c r="BA102" i="1"/>
  <c r="AZ102" i="1"/>
  <c r="AY102" i="1"/>
  <c r="AX102" i="1"/>
  <c r="AW102" i="1"/>
  <c r="AV102" i="1"/>
  <c r="AU102" i="1"/>
  <c r="AT102" i="1"/>
  <c r="AS102" i="1"/>
  <c r="AR102" i="1"/>
  <c r="AQ102" i="1"/>
  <c r="AP102" i="1"/>
  <c r="AO102" i="1"/>
  <c r="AN102" i="1"/>
  <c r="BS101" i="1"/>
  <c r="BR101" i="1"/>
  <c r="BQ101" i="1"/>
  <c r="BP101" i="1"/>
  <c r="BO101" i="1"/>
  <c r="BN101" i="1"/>
  <c r="BM101" i="1"/>
  <c r="BL101" i="1"/>
  <c r="BK101" i="1"/>
  <c r="BJ101" i="1"/>
  <c r="BI101" i="1"/>
  <c r="BH101" i="1"/>
  <c r="BG101" i="1"/>
  <c r="BF101" i="1"/>
  <c r="BE101" i="1"/>
  <c r="BD101" i="1"/>
  <c r="BC101" i="1"/>
  <c r="BB101" i="1"/>
  <c r="BA101" i="1"/>
  <c r="AZ101" i="1"/>
  <c r="AY101" i="1"/>
  <c r="AX101" i="1"/>
  <c r="AW101" i="1"/>
  <c r="AV101" i="1"/>
  <c r="AU101" i="1"/>
  <c r="AT101" i="1"/>
  <c r="AS101" i="1"/>
  <c r="AR101" i="1"/>
  <c r="AQ101" i="1"/>
  <c r="AP101" i="1"/>
  <c r="AO101" i="1"/>
  <c r="AN101" i="1"/>
  <c r="BS100" i="1"/>
  <c r="BR100" i="1"/>
  <c r="BQ100" i="1"/>
  <c r="BP100" i="1"/>
  <c r="BO100" i="1"/>
  <c r="BN100" i="1"/>
  <c r="BM100" i="1"/>
  <c r="BL100" i="1"/>
  <c r="BK100" i="1"/>
  <c r="BJ100" i="1"/>
  <c r="BI100" i="1"/>
  <c r="BH100" i="1"/>
  <c r="BG100" i="1"/>
  <c r="BF100" i="1"/>
  <c r="BE100" i="1"/>
  <c r="BD100" i="1"/>
  <c r="BC100" i="1"/>
  <c r="BB100" i="1"/>
  <c r="BA100" i="1"/>
  <c r="AZ100" i="1"/>
  <c r="AY100" i="1"/>
  <c r="AX100" i="1"/>
  <c r="AW100" i="1"/>
  <c r="AV100" i="1"/>
  <c r="AU100" i="1"/>
  <c r="AT100" i="1"/>
  <c r="AS100" i="1"/>
  <c r="AR100" i="1"/>
  <c r="AQ100" i="1"/>
  <c r="AP100" i="1"/>
  <c r="AO100" i="1"/>
  <c r="AN100" i="1"/>
  <c r="BS99" i="1"/>
  <c r="BR99" i="1"/>
  <c r="BQ99" i="1"/>
  <c r="BP99" i="1"/>
  <c r="BO99" i="1"/>
  <c r="BN99" i="1"/>
  <c r="BM99" i="1"/>
  <c r="BL99" i="1"/>
  <c r="BK99" i="1"/>
  <c r="BJ99" i="1"/>
  <c r="BI99" i="1"/>
  <c r="BG99" i="1"/>
  <c r="BF99" i="1"/>
  <c r="BE99" i="1"/>
  <c r="BD99" i="1"/>
  <c r="BC99" i="1"/>
  <c r="BB99" i="1"/>
  <c r="BA99" i="1"/>
  <c r="AZ99" i="1"/>
  <c r="AY99" i="1"/>
  <c r="AX99" i="1"/>
  <c r="AW99" i="1"/>
  <c r="AV99" i="1"/>
  <c r="AU99" i="1"/>
  <c r="AT99" i="1"/>
  <c r="AS99" i="1"/>
  <c r="AR99" i="1"/>
  <c r="AQ99" i="1"/>
  <c r="AP99" i="1"/>
  <c r="AO99" i="1"/>
  <c r="AN99" i="1"/>
  <c r="BS98" i="1"/>
  <c r="BR98" i="1"/>
  <c r="BQ98" i="1"/>
  <c r="BP98" i="1"/>
  <c r="BO98" i="1"/>
  <c r="BN98" i="1"/>
  <c r="BM98" i="1"/>
  <c r="BL98" i="1"/>
  <c r="BK98" i="1"/>
  <c r="BJ98" i="1"/>
  <c r="BI98" i="1"/>
  <c r="BG98" i="1"/>
  <c r="BF98" i="1"/>
  <c r="BE98" i="1"/>
  <c r="BD98" i="1"/>
  <c r="BC98" i="1"/>
  <c r="BB98" i="1"/>
  <c r="BA98" i="1"/>
  <c r="AZ98" i="1"/>
  <c r="AY98" i="1"/>
  <c r="AX98" i="1"/>
  <c r="AW98" i="1"/>
  <c r="AV98" i="1"/>
  <c r="AU98" i="1"/>
  <c r="AT98" i="1"/>
  <c r="AS98" i="1"/>
  <c r="AR98" i="1"/>
  <c r="AQ98" i="1"/>
  <c r="AP98" i="1"/>
  <c r="AO98" i="1"/>
  <c r="AN98" i="1"/>
  <c r="BS97" i="1"/>
  <c r="BR97" i="1"/>
  <c r="BQ97" i="1"/>
  <c r="BP97" i="1"/>
  <c r="BO97" i="1"/>
  <c r="BN97" i="1"/>
  <c r="BM97" i="1"/>
  <c r="BL97" i="1"/>
  <c r="BK97" i="1"/>
  <c r="BJ97" i="1"/>
  <c r="BI97" i="1"/>
  <c r="BG97" i="1"/>
  <c r="BF97" i="1"/>
  <c r="BE97" i="1"/>
  <c r="BD97" i="1"/>
  <c r="BC97" i="1"/>
  <c r="BB97" i="1"/>
  <c r="BA97" i="1"/>
  <c r="AZ97" i="1"/>
  <c r="AY97" i="1"/>
  <c r="AX97" i="1"/>
  <c r="AW97" i="1"/>
  <c r="AV97" i="1"/>
  <c r="AU97" i="1"/>
  <c r="AT97" i="1"/>
  <c r="AS97" i="1"/>
  <c r="AR97" i="1"/>
  <c r="AQ97" i="1"/>
  <c r="AP97" i="1"/>
  <c r="AO97" i="1"/>
  <c r="AN97" i="1"/>
  <c r="BS96" i="1"/>
  <c r="BR96" i="1"/>
  <c r="BQ96" i="1"/>
  <c r="BP96" i="1"/>
  <c r="BO96" i="1"/>
  <c r="BN96" i="1"/>
  <c r="BM96" i="1"/>
  <c r="BL96" i="1"/>
  <c r="BK96" i="1"/>
  <c r="BJ96" i="1"/>
  <c r="BI96" i="1"/>
  <c r="BG96" i="1"/>
  <c r="BF96" i="1"/>
  <c r="BE96" i="1"/>
  <c r="BD96" i="1"/>
  <c r="BC96" i="1"/>
  <c r="BB96" i="1"/>
  <c r="BA96" i="1"/>
  <c r="AZ96" i="1"/>
  <c r="AY96" i="1"/>
  <c r="AX96" i="1"/>
  <c r="AW96" i="1"/>
  <c r="AV96" i="1"/>
  <c r="AU96" i="1"/>
  <c r="AT96" i="1"/>
  <c r="AS96" i="1"/>
  <c r="AR96" i="1"/>
  <c r="AQ96" i="1"/>
  <c r="AP96" i="1"/>
  <c r="AO96" i="1"/>
  <c r="AN96" i="1"/>
  <c r="BS95" i="1"/>
  <c r="BR95" i="1"/>
  <c r="BQ95" i="1"/>
  <c r="BP95" i="1"/>
  <c r="BO95" i="1"/>
  <c r="BN95" i="1"/>
  <c r="BM95" i="1"/>
  <c r="BL95" i="1"/>
  <c r="BK95" i="1"/>
  <c r="BJ95" i="1"/>
  <c r="BI95" i="1"/>
  <c r="BG95" i="1"/>
  <c r="BF95" i="1"/>
  <c r="BE95" i="1"/>
  <c r="BD95" i="1"/>
  <c r="BC95" i="1"/>
  <c r="BB95" i="1"/>
  <c r="BA95" i="1"/>
  <c r="AZ95" i="1"/>
  <c r="AY95" i="1"/>
  <c r="AX95" i="1"/>
  <c r="AW95" i="1"/>
  <c r="AV95" i="1"/>
  <c r="AU95" i="1"/>
  <c r="AT95" i="1"/>
  <c r="AS95" i="1"/>
  <c r="AR95" i="1"/>
  <c r="AQ95" i="1"/>
  <c r="AP95" i="1"/>
  <c r="AO95" i="1"/>
  <c r="AN95" i="1"/>
  <c r="BS94" i="1"/>
  <c r="BR94" i="1"/>
  <c r="BQ94" i="1"/>
  <c r="BP94" i="1"/>
  <c r="BO94" i="1"/>
  <c r="BN94" i="1"/>
  <c r="BM94" i="1"/>
  <c r="BL94" i="1"/>
  <c r="BK94" i="1"/>
  <c r="BJ94" i="1"/>
  <c r="BI94" i="1"/>
  <c r="BH94" i="1"/>
  <c r="BG94" i="1"/>
  <c r="BF94" i="1"/>
  <c r="BE94" i="1"/>
  <c r="BD94" i="1"/>
  <c r="BC94" i="1"/>
  <c r="BB94" i="1"/>
  <c r="BA94" i="1"/>
  <c r="AZ94" i="1"/>
  <c r="AY94" i="1"/>
  <c r="AX94" i="1"/>
  <c r="AW94" i="1"/>
  <c r="AV94" i="1"/>
  <c r="AU94" i="1"/>
  <c r="AT94" i="1"/>
  <c r="AS94" i="1"/>
  <c r="AR94" i="1"/>
  <c r="AQ94" i="1"/>
  <c r="AP94" i="1"/>
  <c r="AO94" i="1"/>
  <c r="AN94" i="1"/>
  <c r="BS93" i="1"/>
  <c r="BR93" i="1"/>
  <c r="BQ93" i="1"/>
  <c r="BP93" i="1"/>
  <c r="BO93" i="1"/>
  <c r="BN93" i="1"/>
  <c r="BM93" i="1"/>
  <c r="BL93" i="1"/>
  <c r="BK93" i="1"/>
  <c r="BJ93" i="1"/>
  <c r="BI93" i="1"/>
  <c r="BH93" i="1"/>
  <c r="BG93" i="1"/>
  <c r="BF93" i="1"/>
  <c r="BE93" i="1"/>
  <c r="BD93" i="1"/>
  <c r="BC93" i="1"/>
  <c r="BB93" i="1"/>
  <c r="BA93" i="1"/>
  <c r="AZ93" i="1"/>
  <c r="AY93" i="1"/>
  <c r="AX93" i="1"/>
  <c r="AW93" i="1"/>
  <c r="AV93" i="1"/>
  <c r="AU93" i="1"/>
  <c r="AT93" i="1"/>
  <c r="AS93" i="1"/>
  <c r="AR93" i="1"/>
  <c r="AQ93" i="1"/>
  <c r="AP93" i="1"/>
  <c r="AO93" i="1"/>
  <c r="AN93" i="1"/>
  <c r="BS92" i="1"/>
  <c r="BR92" i="1"/>
  <c r="BQ92" i="1"/>
  <c r="BP92" i="1"/>
  <c r="BO92" i="1"/>
  <c r="BN92" i="1"/>
  <c r="BM92" i="1"/>
  <c r="BL92" i="1"/>
  <c r="BK92" i="1"/>
  <c r="BJ92" i="1"/>
  <c r="BI92" i="1"/>
  <c r="BG92" i="1"/>
  <c r="BF92" i="1"/>
  <c r="BE92" i="1"/>
  <c r="BD92" i="1"/>
  <c r="BC92" i="1"/>
  <c r="BB92" i="1"/>
  <c r="BA92" i="1"/>
  <c r="AZ92" i="1"/>
  <c r="AY92" i="1"/>
  <c r="AX92" i="1"/>
  <c r="AW92" i="1"/>
  <c r="AV92" i="1"/>
  <c r="AU92" i="1"/>
  <c r="AT92" i="1"/>
  <c r="AS92" i="1"/>
  <c r="AR92" i="1"/>
  <c r="AQ92" i="1"/>
  <c r="AP92" i="1"/>
  <c r="AO92" i="1"/>
  <c r="AN92" i="1"/>
  <c r="BS91" i="1"/>
  <c r="BR91" i="1"/>
  <c r="BQ91" i="1"/>
  <c r="BP91" i="1"/>
  <c r="BO91" i="1"/>
  <c r="BN91" i="1"/>
  <c r="BM91" i="1"/>
  <c r="BL91" i="1"/>
  <c r="BK91" i="1"/>
  <c r="BJ91" i="1"/>
  <c r="BI91" i="1"/>
  <c r="BG91" i="1"/>
  <c r="BF91" i="1"/>
  <c r="BE91" i="1"/>
  <c r="BD91" i="1"/>
  <c r="BC91" i="1"/>
  <c r="BB91" i="1"/>
  <c r="BA91" i="1"/>
  <c r="AZ91" i="1"/>
  <c r="AY91" i="1"/>
  <c r="AX91" i="1"/>
  <c r="AW91" i="1"/>
  <c r="AV91" i="1"/>
  <c r="AU91" i="1"/>
  <c r="AT91" i="1"/>
  <c r="AS91" i="1"/>
  <c r="AR91" i="1"/>
  <c r="AQ91" i="1"/>
  <c r="AP91" i="1"/>
  <c r="AO91" i="1"/>
  <c r="AN91" i="1"/>
  <c r="BS90" i="1"/>
  <c r="BR90" i="1"/>
  <c r="BQ90" i="1"/>
  <c r="BP90" i="1"/>
  <c r="BO90" i="1"/>
  <c r="BN90" i="1"/>
  <c r="BM90" i="1"/>
  <c r="BL90" i="1"/>
  <c r="BK90" i="1"/>
  <c r="BJ90" i="1"/>
  <c r="BI90" i="1"/>
  <c r="BG90" i="1"/>
  <c r="BF90" i="1"/>
  <c r="BE90" i="1"/>
  <c r="BD90" i="1"/>
  <c r="BC90" i="1"/>
  <c r="BB90" i="1"/>
  <c r="BA90" i="1"/>
  <c r="AZ90" i="1"/>
  <c r="AY90" i="1"/>
  <c r="AX90" i="1"/>
  <c r="AW90" i="1"/>
  <c r="AV90" i="1"/>
  <c r="AU90" i="1"/>
  <c r="AT90" i="1"/>
  <c r="AS90" i="1"/>
  <c r="AR90" i="1"/>
  <c r="AQ90" i="1"/>
  <c r="AP90" i="1"/>
  <c r="AO90" i="1"/>
  <c r="AN90" i="1"/>
  <c r="BS89" i="1"/>
  <c r="BR89" i="1"/>
  <c r="BQ89" i="1"/>
  <c r="BP89" i="1"/>
  <c r="BO89" i="1"/>
  <c r="BN89" i="1"/>
  <c r="BM89" i="1"/>
  <c r="BL89" i="1"/>
  <c r="BK89" i="1"/>
  <c r="BJ89" i="1"/>
  <c r="BI89" i="1"/>
  <c r="BG89" i="1"/>
  <c r="BF89" i="1"/>
  <c r="BE89" i="1"/>
  <c r="BD89" i="1"/>
  <c r="BC89" i="1"/>
  <c r="BB89" i="1"/>
  <c r="BA89" i="1"/>
  <c r="AZ89" i="1"/>
  <c r="AY89" i="1"/>
  <c r="AX89" i="1"/>
  <c r="AW89" i="1"/>
  <c r="AV89" i="1"/>
  <c r="AU89" i="1"/>
  <c r="AT89" i="1"/>
  <c r="AS89" i="1"/>
  <c r="AR89" i="1"/>
  <c r="AQ89" i="1"/>
  <c r="AP89" i="1"/>
  <c r="AO89" i="1"/>
  <c r="AN89" i="1"/>
  <c r="BS88" i="1"/>
  <c r="BR88" i="1"/>
  <c r="BQ88" i="1"/>
  <c r="BP88" i="1"/>
  <c r="BO88" i="1"/>
  <c r="BN88" i="1"/>
  <c r="BM88" i="1"/>
  <c r="BL88" i="1"/>
  <c r="BK88" i="1"/>
  <c r="BJ88" i="1"/>
  <c r="BI88" i="1"/>
  <c r="BG88" i="1"/>
  <c r="BF88" i="1"/>
  <c r="BE88" i="1"/>
  <c r="BD88" i="1"/>
  <c r="BC88" i="1"/>
  <c r="BB88" i="1"/>
  <c r="BA88" i="1"/>
  <c r="AZ88" i="1"/>
  <c r="AY88" i="1"/>
  <c r="AX88" i="1"/>
  <c r="AW88" i="1"/>
  <c r="AV88" i="1"/>
  <c r="AU88" i="1"/>
  <c r="AT88" i="1"/>
  <c r="AS88" i="1"/>
  <c r="AR88" i="1"/>
  <c r="AQ88" i="1"/>
  <c r="AP88" i="1"/>
  <c r="AO88" i="1"/>
  <c r="AN88" i="1"/>
  <c r="BS87" i="1"/>
  <c r="BR87" i="1"/>
  <c r="BQ87" i="1"/>
  <c r="BP87" i="1"/>
  <c r="BO87" i="1"/>
  <c r="BN87" i="1"/>
  <c r="BM87" i="1"/>
  <c r="BL87" i="1"/>
  <c r="BK87" i="1"/>
  <c r="BJ87" i="1"/>
  <c r="BI87" i="1"/>
  <c r="BG87" i="1"/>
  <c r="BF87" i="1"/>
  <c r="BE87" i="1"/>
  <c r="BD87" i="1"/>
  <c r="BC87" i="1"/>
  <c r="BB87" i="1"/>
  <c r="BA87" i="1"/>
  <c r="AZ87" i="1"/>
  <c r="AY87" i="1"/>
  <c r="AX87" i="1"/>
  <c r="AW87" i="1"/>
  <c r="AV87" i="1"/>
  <c r="AU87" i="1"/>
  <c r="AT87" i="1"/>
  <c r="AS87" i="1"/>
  <c r="AR87" i="1"/>
  <c r="AQ87" i="1"/>
  <c r="AP87" i="1"/>
  <c r="AO87" i="1"/>
  <c r="AN87" i="1"/>
  <c r="BS86" i="1"/>
  <c r="BR86" i="1"/>
  <c r="BQ86" i="1"/>
  <c r="BP86" i="1"/>
  <c r="BO86" i="1"/>
  <c r="BN86" i="1"/>
  <c r="BM86" i="1"/>
  <c r="BL86" i="1"/>
  <c r="BK86" i="1"/>
  <c r="BJ86" i="1"/>
  <c r="BI86" i="1"/>
  <c r="BG86" i="1"/>
  <c r="BF86" i="1"/>
  <c r="BE86" i="1"/>
  <c r="BD86" i="1"/>
  <c r="BC86" i="1"/>
  <c r="BB86" i="1"/>
  <c r="BA86" i="1"/>
  <c r="AZ86" i="1"/>
  <c r="AY86" i="1"/>
  <c r="AX86" i="1"/>
  <c r="AW86" i="1"/>
  <c r="AV86" i="1"/>
  <c r="AU86" i="1"/>
  <c r="AT86" i="1"/>
  <c r="AS86" i="1"/>
  <c r="AR86" i="1"/>
  <c r="AQ86" i="1"/>
  <c r="AP86" i="1"/>
  <c r="AO86" i="1"/>
  <c r="AN86" i="1"/>
  <c r="BS85" i="1"/>
  <c r="BR85" i="1"/>
  <c r="BQ85" i="1"/>
  <c r="BP85" i="1"/>
  <c r="BO85" i="1"/>
  <c r="BN85" i="1"/>
  <c r="BM85" i="1"/>
  <c r="BL85" i="1"/>
  <c r="BK85" i="1"/>
  <c r="BJ85" i="1"/>
  <c r="BI85" i="1"/>
  <c r="BH85" i="1"/>
  <c r="BG85" i="1"/>
  <c r="BF85" i="1"/>
  <c r="BE85" i="1"/>
  <c r="BD85" i="1"/>
  <c r="BC85" i="1"/>
  <c r="BB85" i="1"/>
  <c r="BA85" i="1"/>
  <c r="AZ85" i="1"/>
  <c r="AY85" i="1"/>
  <c r="AX85" i="1"/>
  <c r="AW85" i="1"/>
  <c r="AV85" i="1"/>
  <c r="AU85" i="1"/>
  <c r="AT85" i="1"/>
  <c r="AS85" i="1"/>
  <c r="AR85" i="1"/>
  <c r="AQ85" i="1"/>
  <c r="AP85" i="1"/>
  <c r="AO85" i="1"/>
  <c r="AN85" i="1"/>
  <c r="BS84" i="1"/>
  <c r="BR84" i="1"/>
  <c r="BQ84" i="1"/>
  <c r="BP84" i="1"/>
  <c r="BO84" i="1"/>
  <c r="BN84" i="1"/>
  <c r="BM84" i="1"/>
  <c r="BL84" i="1"/>
  <c r="BK84" i="1"/>
  <c r="BJ84" i="1"/>
  <c r="BI84" i="1"/>
  <c r="BG84" i="1"/>
  <c r="BE84" i="1"/>
  <c r="BD84" i="1"/>
  <c r="BC84" i="1"/>
  <c r="BB84" i="1"/>
  <c r="BA84" i="1"/>
  <c r="AZ84" i="1"/>
  <c r="AY84" i="1"/>
  <c r="AX84" i="1"/>
  <c r="AW84" i="1"/>
  <c r="AV84" i="1"/>
  <c r="AU84" i="1"/>
  <c r="AT84" i="1"/>
  <c r="AS84" i="1"/>
  <c r="AR84" i="1"/>
  <c r="AQ84" i="1"/>
  <c r="AP84" i="1"/>
  <c r="AO84" i="1"/>
  <c r="AN84" i="1"/>
  <c r="BS83" i="1"/>
  <c r="BR83" i="1"/>
  <c r="BQ83" i="1"/>
  <c r="BP83" i="1"/>
  <c r="BO83" i="1"/>
  <c r="BN83" i="1"/>
  <c r="BM83" i="1"/>
  <c r="BL83" i="1"/>
  <c r="BK83" i="1"/>
  <c r="BJ83" i="1"/>
  <c r="BI83" i="1"/>
  <c r="BG83" i="1"/>
  <c r="BF83" i="1"/>
  <c r="BE83" i="1"/>
  <c r="BD83" i="1"/>
  <c r="BC83" i="1"/>
  <c r="BB83" i="1"/>
  <c r="BA83" i="1"/>
  <c r="AZ83" i="1"/>
  <c r="AY83" i="1"/>
  <c r="AX83" i="1"/>
  <c r="AW83" i="1"/>
  <c r="AV83" i="1"/>
  <c r="AU83" i="1"/>
  <c r="AT83" i="1"/>
  <c r="AS83" i="1"/>
  <c r="AR83" i="1"/>
  <c r="AQ83" i="1"/>
  <c r="AP83" i="1"/>
  <c r="AO83" i="1"/>
  <c r="AN83" i="1"/>
  <c r="BS82" i="1"/>
  <c r="BR82" i="1"/>
  <c r="BQ82" i="1"/>
  <c r="BP82" i="1"/>
  <c r="BO82" i="1"/>
  <c r="BN82" i="1"/>
  <c r="BM82" i="1"/>
  <c r="BL82" i="1"/>
  <c r="BK82" i="1"/>
  <c r="BJ82" i="1"/>
  <c r="BI82" i="1"/>
  <c r="BG82" i="1"/>
  <c r="BF82" i="1"/>
  <c r="BE82" i="1"/>
  <c r="BD82" i="1"/>
  <c r="BC82" i="1"/>
  <c r="BB82" i="1"/>
  <c r="BA82" i="1"/>
  <c r="AZ82" i="1"/>
  <c r="AY82" i="1"/>
  <c r="AX82" i="1"/>
  <c r="AW82" i="1"/>
  <c r="AV82" i="1"/>
  <c r="AU82" i="1"/>
  <c r="AT82" i="1"/>
  <c r="AS82" i="1"/>
  <c r="AR82" i="1"/>
  <c r="AQ82" i="1"/>
  <c r="AP82" i="1"/>
  <c r="AO82" i="1"/>
  <c r="AN82" i="1"/>
  <c r="BS81" i="1"/>
  <c r="BR81" i="1"/>
  <c r="BQ81" i="1"/>
  <c r="BP81" i="1"/>
  <c r="BO81" i="1"/>
  <c r="BN81" i="1"/>
  <c r="BM81" i="1"/>
  <c r="BL81" i="1"/>
  <c r="BK81" i="1"/>
  <c r="BJ81" i="1"/>
  <c r="BI81" i="1"/>
  <c r="BG81" i="1"/>
  <c r="BF81" i="1"/>
  <c r="BE81" i="1"/>
  <c r="BD81" i="1"/>
  <c r="BC81" i="1"/>
  <c r="BB81" i="1"/>
  <c r="BA81" i="1"/>
  <c r="AZ81" i="1"/>
  <c r="AY81" i="1"/>
  <c r="AX81" i="1"/>
  <c r="AW81" i="1"/>
  <c r="AV81" i="1"/>
  <c r="AU81" i="1"/>
  <c r="AT81" i="1"/>
  <c r="AS81" i="1"/>
  <c r="AR81" i="1"/>
  <c r="AQ81" i="1"/>
  <c r="AP81" i="1"/>
  <c r="AO81" i="1"/>
  <c r="AN81" i="1"/>
  <c r="BS80" i="1"/>
  <c r="BR80" i="1"/>
  <c r="BQ80" i="1"/>
  <c r="BP80" i="1"/>
  <c r="BO80" i="1"/>
  <c r="BN80" i="1"/>
  <c r="BM80" i="1"/>
  <c r="BL80" i="1"/>
  <c r="BK80" i="1"/>
  <c r="BJ80" i="1"/>
  <c r="BI80" i="1"/>
  <c r="BG80" i="1"/>
  <c r="BF80" i="1"/>
  <c r="BE80" i="1"/>
  <c r="BD80" i="1"/>
  <c r="BC80" i="1"/>
  <c r="BB80" i="1"/>
  <c r="BA80" i="1"/>
  <c r="AZ80" i="1"/>
  <c r="AY80" i="1"/>
  <c r="AX80" i="1"/>
  <c r="AW80" i="1"/>
  <c r="AV80" i="1"/>
  <c r="AU80" i="1"/>
  <c r="AT80" i="1"/>
  <c r="AS80" i="1"/>
  <c r="AR80" i="1"/>
  <c r="AQ80" i="1"/>
  <c r="AP80" i="1"/>
  <c r="AO80" i="1"/>
  <c r="AN80" i="1"/>
  <c r="BS79" i="1"/>
  <c r="BR79" i="1"/>
  <c r="BQ79" i="1"/>
  <c r="BP79" i="1"/>
  <c r="BO79" i="1"/>
  <c r="BN79" i="1"/>
  <c r="BM79" i="1"/>
  <c r="BL79" i="1"/>
  <c r="BK79" i="1"/>
  <c r="BJ79" i="1"/>
  <c r="BI79" i="1"/>
  <c r="BG79" i="1"/>
  <c r="BF79" i="1"/>
  <c r="BE79" i="1"/>
  <c r="BD79" i="1"/>
  <c r="BC79" i="1"/>
  <c r="BB79" i="1"/>
  <c r="BA79" i="1"/>
  <c r="AZ79" i="1"/>
  <c r="AY79" i="1"/>
  <c r="AX79" i="1"/>
  <c r="AW79" i="1"/>
  <c r="AV79" i="1"/>
  <c r="AU79" i="1"/>
  <c r="AT79" i="1"/>
  <c r="AS79" i="1"/>
  <c r="AR79" i="1"/>
  <c r="AQ79" i="1"/>
  <c r="AP79" i="1"/>
  <c r="AO79" i="1"/>
  <c r="AN79" i="1"/>
  <c r="BS78" i="1"/>
  <c r="BR78" i="1"/>
  <c r="BQ78" i="1"/>
  <c r="BP78" i="1"/>
  <c r="BO78" i="1"/>
  <c r="BN78" i="1"/>
  <c r="BM78" i="1"/>
  <c r="BL78" i="1"/>
  <c r="BK78" i="1"/>
  <c r="BJ78" i="1"/>
  <c r="BI78" i="1"/>
  <c r="BH78" i="1"/>
  <c r="BG78" i="1"/>
  <c r="BF78" i="1"/>
  <c r="BE78" i="1"/>
  <c r="BD78" i="1"/>
  <c r="BC78" i="1"/>
  <c r="BB78" i="1"/>
  <c r="BA78" i="1"/>
  <c r="AZ78" i="1"/>
  <c r="AY78" i="1"/>
  <c r="AX78" i="1"/>
  <c r="AW78" i="1"/>
  <c r="AV78" i="1"/>
  <c r="AU78" i="1"/>
  <c r="AT78" i="1"/>
  <c r="AS78" i="1"/>
  <c r="AR78" i="1"/>
  <c r="AQ78" i="1"/>
  <c r="AP78" i="1"/>
  <c r="AO78" i="1"/>
  <c r="AN78" i="1"/>
  <c r="BS77" i="1"/>
  <c r="BR77" i="1"/>
  <c r="BQ77" i="1"/>
  <c r="BP77" i="1"/>
  <c r="BO77" i="1"/>
  <c r="BN77" i="1"/>
  <c r="BM77" i="1"/>
  <c r="BL77" i="1"/>
  <c r="BK77" i="1"/>
  <c r="BJ77" i="1"/>
  <c r="BI77" i="1"/>
  <c r="BH77" i="1"/>
  <c r="BG77" i="1"/>
  <c r="BF77" i="1"/>
  <c r="BE77" i="1"/>
  <c r="BD77" i="1"/>
  <c r="BC77" i="1"/>
  <c r="BB77" i="1"/>
  <c r="BA77" i="1"/>
  <c r="AZ77" i="1"/>
  <c r="AY77" i="1"/>
  <c r="AX77" i="1"/>
  <c r="AW77" i="1"/>
  <c r="AV77" i="1"/>
  <c r="AU77" i="1"/>
  <c r="AT77" i="1"/>
  <c r="AS77" i="1"/>
  <c r="AR77" i="1"/>
  <c r="AQ77" i="1"/>
  <c r="AP77" i="1"/>
  <c r="AO77" i="1"/>
  <c r="AN77" i="1"/>
  <c r="BS76" i="1"/>
  <c r="BR76" i="1"/>
  <c r="BQ76" i="1"/>
  <c r="BP76" i="1"/>
  <c r="BO76" i="1"/>
  <c r="BN76" i="1"/>
  <c r="BM76" i="1"/>
  <c r="BL76" i="1"/>
  <c r="BK76" i="1"/>
  <c r="BJ76" i="1"/>
  <c r="BI76" i="1"/>
  <c r="BH76" i="1"/>
  <c r="BG76" i="1"/>
  <c r="BF76" i="1"/>
  <c r="BE76" i="1"/>
  <c r="BD76" i="1"/>
  <c r="BC76" i="1"/>
  <c r="BB76" i="1"/>
  <c r="BA76" i="1"/>
  <c r="AZ76" i="1"/>
  <c r="AY76" i="1"/>
  <c r="AX76" i="1"/>
  <c r="AW76" i="1"/>
  <c r="AV76" i="1"/>
  <c r="AU76" i="1"/>
  <c r="AT76" i="1"/>
  <c r="AS76" i="1"/>
  <c r="AR76" i="1"/>
  <c r="AQ76" i="1"/>
  <c r="AP76" i="1"/>
  <c r="AO76" i="1"/>
  <c r="AN76" i="1"/>
  <c r="BS75" i="1"/>
  <c r="BR75" i="1"/>
  <c r="BQ75" i="1"/>
  <c r="BP75" i="1"/>
  <c r="BO75" i="1"/>
  <c r="BN75" i="1"/>
  <c r="BM75" i="1"/>
  <c r="BL75" i="1"/>
  <c r="BK75" i="1"/>
  <c r="BJ75" i="1"/>
  <c r="BI75" i="1"/>
  <c r="BG75" i="1"/>
  <c r="BF75" i="1"/>
  <c r="BE75" i="1"/>
  <c r="BD75" i="1"/>
  <c r="BC75" i="1"/>
  <c r="BB75" i="1"/>
  <c r="BA75" i="1"/>
  <c r="AZ75" i="1"/>
  <c r="AY75" i="1"/>
  <c r="AX75" i="1"/>
  <c r="AW75" i="1"/>
  <c r="AV75" i="1"/>
  <c r="AU75" i="1"/>
  <c r="AT75" i="1"/>
  <c r="AS75" i="1"/>
  <c r="AR75" i="1"/>
  <c r="AQ75" i="1"/>
  <c r="AP75" i="1"/>
  <c r="AO75" i="1"/>
  <c r="AN75" i="1"/>
  <c r="BS74" i="1"/>
  <c r="BR74" i="1"/>
  <c r="BQ74" i="1"/>
  <c r="BP74" i="1"/>
  <c r="BO74" i="1"/>
  <c r="BN74" i="1"/>
  <c r="BM74" i="1"/>
  <c r="BL74" i="1"/>
  <c r="BK74" i="1"/>
  <c r="BJ74" i="1"/>
  <c r="BI74" i="1"/>
  <c r="BG74" i="1"/>
  <c r="BF74" i="1"/>
  <c r="BE74" i="1"/>
  <c r="BD74" i="1"/>
  <c r="BC74" i="1"/>
  <c r="BB74" i="1"/>
  <c r="BA74" i="1"/>
  <c r="AZ74" i="1"/>
  <c r="AY74" i="1"/>
  <c r="AX74" i="1"/>
  <c r="AW74" i="1"/>
  <c r="AV74" i="1"/>
  <c r="AU74" i="1"/>
  <c r="AT74" i="1"/>
  <c r="AS74" i="1"/>
  <c r="AR74" i="1"/>
  <c r="AQ74" i="1"/>
  <c r="AP74" i="1"/>
  <c r="AO74" i="1"/>
  <c r="AN74" i="1"/>
  <c r="BS73" i="1"/>
  <c r="BR73" i="1"/>
  <c r="BQ73" i="1"/>
  <c r="BP73" i="1"/>
  <c r="BO73" i="1"/>
  <c r="BN73" i="1"/>
  <c r="BM73" i="1"/>
  <c r="BL73" i="1"/>
  <c r="BK73" i="1"/>
  <c r="BJ73" i="1"/>
  <c r="BI73" i="1"/>
  <c r="BG73" i="1"/>
  <c r="BF73" i="1"/>
  <c r="BE73" i="1"/>
  <c r="BD73" i="1"/>
  <c r="BC73" i="1"/>
  <c r="BB73" i="1"/>
  <c r="BA73" i="1"/>
  <c r="AZ73" i="1"/>
  <c r="AY73" i="1"/>
  <c r="AX73" i="1"/>
  <c r="AW73" i="1"/>
  <c r="AV73" i="1"/>
  <c r="AU73" i="1"/>
  <c r="AT73" i="1"/>
  <c r="AS73" i="1"/>
  <c r="AR73" i="1"/>
  <c r="AQ73" i="1"/>
  <c r="AP73" i="1"/>
  <c r="AO73" i="1"/>
  <c r="AN73" i="1"/>
  <c r="BS72" i="1"/>
  <c r="BR72" i="1"/>
  <c r="BQ72" i="1"/>
  <c r="BP72" i="1"/>
  <c r="BO72" i="1"/>
  <c r="BN72" i="1"/>
  <c r="BM72" i="1"/>
  <c r="BL72" i="1"/>
  <c r="BK72" i="1"/>
  <c r="BJ72" i="1"/>
  <c r="BI72" i="1"/>
  <c r="BG72" i="1"/>
  <c r="BF72" i="1"/>
  <c r="BE72" i="1"/>
  <c r="BD72" i="1"/>
  <c r="BC72" i="1"/>
  <c r="BB72" i="1"/>
  <c r="BA72" i="1"/>
  <c r="AZ72" i="1"/>
  <c r="AY72" i="1"/>
  <c r="AX72" i="1"/>
  <c r="AW72" i="1"/>
  <c r="AV72" i="1"/>
  <c r="AU72" i="1"/>
  <c r="AT72" i="1"/>
  <c r="AS72" i="1"/>
  <c r="AR72" i="1"/>
  <c r="AQ72" i="1"/>
  <c r="AP72" i="1"/>
  <c r="AO72" i="1"/>
  <c r="AN72" i="1"/>
  <c r="BS71" i="1"/>
  <c r="BR71" i="1"/>
  <c r="BQ71" i="1"/>
  <c r="BP71" i="1"/>
  <c r="BO71" i="1"/>
  <c r="BN71" i="1"/>
  <c r="BM71" i="1"/>
  <c r="BL71" i="1"/>
  <c r="BK71" i="1"/>
  <c r="BJ71" i="1"/>
  <c r="BI71" i="1"/>
  <c r="BG71" i="1"/>
  <c r="BF71" i="1"/>
  <c r="BE71" i="1"/>
  <c r="BD71" i="1"/>
  <c r="BC71" i="1"/>
  <c r="BB71" i="1"/>
  <c r="BA71" i="1"/>
  <c r="AZ71" i="1"/>
  <c r="AY71" i="1"/>
  <c r="AX71" i="1"/>
  <c r="AW71" i="1"/>
  <c r="AV71" i="1"/>
  <c r="AU71" i="1"/>
  <c r="AT71" i="1"/>
  <c r="AS71" i="1"/>
  <c r="AR71" i="1"/>
  <c r="AQ71" i="1"/>
  <c r="AP71" i="1"/>
  <c r="AO71" i="1"/>
  <c r="AN71" i="1"/>
  <c r="BS70" i="1"/>
  <c r="BR70" i="1"/>
  <c r="BQ70" i="1"/>
  <c r="BP70" i="1"/>
  <c r="BO70" i="1"/>
  <c r="BN70" i="1"/>
  <c r="BM70" i="1"/>
  <c r="BL70" i="1"/>
  <c r="BK70" i="1"/>
  <c r="BJ70" i="1"/>
  <c r="BI70" i="1"/>
  <c r="BH70" i="1"/>
  <c r="BG70" i="1"/>
  <c r="BF70" i="1"/>
  <c r="BE70" i="1"/>
  <c r="BD70" i="1"/>
  <c r="BC70" i="1"/>
  <c r="BB70" i="1"/>
  <c r="BA70" i="1"/>
  <c r="AZ70" i="1"/>
  <c r="AY70" i="1"/>
  <c r="AX70" i="1"/>
  <c r="AW70" i="1"/>
  <c r="AV70" i="1"/>
  <c r="AU70" i="1"/>
  <c r="AT70" i="1"/>
  <c r="AS70" i="1"/>
  <c r="AR70" i="1"/>
  <c r="AQ70" i="1"/>
  <c r="AP70" i="1"/>
  <c r="AO70" i="1"/>
  <c r="AN70" i="1"/>
  <c r="BS69" i="1"/>
  <c r="BR69" i="1"/>
  <c r="BQ69" i="1"/>
  <c r="BP69" i="1"/>
  <c r="BO69" i="1"/>
  <c r="BN69" i="1"/>
  <c r="BM69" i="1"/>
  <c r="BL69" i="1"/>
  <c r="BK69" i="1"/>
  <c r="BJ69" i="1"/>
  <c r="BI69" i="1"/>
  <c r="BH69" i="1"/>
  <c r="BG69" i="1"/>
  <c r="BF69" i="1"/>
  <c r="BE69" i="1"/>
  <c r="BD69" i="1"/>
  <c r="BC69" i="1"/>
  <c r="BB69" i="1"/>
  <c r="BA69" i="1"/>
  <c r="AZ69" i="1"/>
  <c r="AY69" i="1"/>
  <c r="AX69" i="1"/>
  <c r="AW69" i="1"/>
  <c r="AV69" i="1"/>
  <c r="AU69" i="1"/>
  <c r="AT69" i="1"/>
  <c r="AS69" i="1"/>
  <c r="AR69" i="1"/>
  <c r="AQ69" i="1"/>
  <c r="AP69" i="1"/>
  <c r="AO69" i="1"/>
  <c r="AN69" i="1"/>
  <c r="BS68" i="1"/>
  <c r="BR68" i="1"/>
  <c r="BQ68" i="1"/>
  <c r="BP68" i="1"/>
  <c r="BO68" i="1"/>
  <c r="BN68" i="1"/>
  <c r="BM68" i="1"/>
  <c r="BL68" i="1"/>
  <c r="BK68" i="1"/>
  <c r="BJ68" i="1"/>
  <c r="BI68" i="1"/>
  <c r="BH68" i="1"/>
  <c r="BG68" i="1"/>
  <c r="BF68" i="1"/>
  <c r="BE68" i="1"/>
  <c r="BD68" i="1"/>
  <c r="BC68" i="1"/>
  <c r="BB68" i="1"/>
  <c r="BA68" i="1"/>
  <c r="AZ68" i="1"/>
  <c r="AY68" i="1"/>
  <c r="AX68" i="1"/>
  <c r="AW68" i="1"/>
  <c r="AV68" i="1"/>
  <c r="AU68" i="1"/>
  <c r="AT68" i="1"/>
  <c r="AS68" i="1"/>
  <c r="AR68" i="1"/>
  <c r="AQ68" i="1"/>
  <c r="AP68" i="1"/>
  <c r="AO68" i="1"/>
  <c r="AN68" i="1"/>
  <c r="BS67" i="1"/>
  <c r="BR67" i="1"/>
  <c r="BQ67" i="1"/>
  <c r="BP67" i="1"/>
  <c r="BO67" i="1"/>
  <c r="BN67" i="1"/>
  <c r="BM67" i="1"/>
  <c r="BL67" i="1"/>
  <c r="BK67" i="1"/>
  <c r="BJ67" i="1"/>
  <c r="BI67" i="1"/>
  <c r="BG67" i="1"/>
  <c r="BF67" i="1"/>
  <c r="BE67" i="1"/>
  <c r="BD67" i="1"/>
  <c r="BC67" i="1"/>
  <c r="BB67" i="1"/>
  <c r="BA67" i="1"/>
  <c r="AZ67" i="1"/>
  <c r="AY67" i="1"/>
  <c r="AX67" i="1"/>
  <c r="AW67" i="1"/>
  <c r="AV67" i="1"/>
  <c r="AU67" i="1"/>
  <c r="AT67" i="1"/>
  <c r="AS67" i="1"/>
  <c r="AR67" i="1"/>
  <c r="AQ67" i="1"/>
  <c r="AP67" i="1"/>
  <c r="AO67" i="1"/>
  <c r="AN67" i="1"/>
  <c r="BS66" i="1"/>
  <c r="BR66" i="1"/>
  <c r="BQ66" i="1"/>
  <c r="BP66" i="1"/>
  <c r="BO66" i="1"/>
  <c r="BN66" i="1"/>
  <c r="BM66" i="1"/>
  <c r="BL66" i="1"/>
  <c r="BK66" i="1"/>
  <c r="BJ66" i="1"/>
  <c r="BI66" i="1"/>
  <c r="BG66" i="1"/>
  <c r="BF66" i="1"/>
  <c r="BE66" i="1"/>
  <c r="BD66" i="1"/>
  <c r="BC66" i="1"/>
  <c r="BB66" i="1"/>
  <c r="BA66" i="1"/>
  <c r="AZ66" i="1"/>
  <c r="AY66" i="1"/>
  <c r="AX66" i="1"/>
  <c r="AW66" i="1"/>
  <c r="AV66" i="1"/>
  <c r="AU66" i="1"/>
  <c r="AT66" i="1"/>
  <c r="AS66" i="1"/>
  <c r="AR66" i="1"/>
  <c r="AQ66" i="1"/>
  <c r="AP66" i="1"/>
  <c r="AO66" i="1"/>
  <c r="AN66" i="1"/>
  <c r="BS65" i="1"/>
  <c r="BR65" i="1"/>
  <c r="BQ65" i="1"/>
  <c r="BP65" i="1"/>
  <c r="BO65" i="1"/>
  <c r="BN65" i="1"/>
  <c r="BM65" i="1"/>
  <c r="BL65" i="1"/>
  <c r="BK65" i="1"/>
  <c r="BJ65" i="1"/>
  <c r="BI65" i="1"/>
  <c r="BG65" i="1"/>
  <c r="BF65" i="1"/>
  <c r="BE65" i="1"/>
  <c r="BD65" i="1"/>
  <c r="BC65" i="1"/>
  <c r="BB65" i="1"/>
  <c r="BA65" i="1"/>
  <c r="AZ65" i="1"/>
  <c r="AY65" i="1"/>
  <c r="AX65" i="1"/>
  <c r="AW65" i="1"/>
  <c r="AV65" i="1"/>
  <c r="AU65" i="1"/>
  <c r="AT65" i="1"/>
  <c r="AS65" i="1"/>
  <c r="AR65" i="1"/>
  <c r="AQ65" i="1"/>
  <c r="AP65" i="1"/>
  <c r="AO65" i="1"/>
  <c r="AN65" i="1"/>
  <c r="BS64" i="1"/>
  <c r="BR64" i="1"/>
  <c r="BQ64" i="1"/>
  <c r="BP64" i="1"/>
  <c r="BO64" i="1"/>
  <c r="BN64" i="1"/>
  <c r="BM64" i="1"/>
  <c r="BL64" i="1"/>
  <c r="BK64" i="1"/>
  <c r="BJ64" i="1"/>
  <c r="BI64" i="1"/>
  <c r="BG64" i="1"/>
  <c r="BF64" i="1"/>
  <c r="BE64" i="1"/>
  <c r="BD64" i="1"/>
  <c r="BC64" i="1"/>
  <c r="BB64" i="1"/>
  <c r="BA64" i="1"/>
  <c r="AZ64" i="1"/>
  <c r="AY64" i="1"/>
  <c r="AX64" i="1"/>
  <c r="AW64" i="1"/>
  <c r="AV64" i="1"/>
  <c r="AU64" i="1"/>
  <c r="AT64" i="1"/>
  <c r="AS64" i="1"/>
  <c r="AR64" i="1"/>
  <c r="AQ64" i="1"/>
  <c r="AP64" i="1"/>
  <c r="AO64" i="1"/>
  <c r="AN64" i="1"/>
  <c r="BS63" i="1"/>
  <c r="BR63" i="1"/>
  <c r="BQ63" i="1"/>
  <c r="BP63" i="1"/>
  <c r="BO63" i="1"/>
  <c r="BN63" i="1"/>
  <c r="BM63" i="1"/>
  <c r="BL63" i="1"/>
  <c r="BK63" i="1"/>
  <c r="BJ63" i="1"/>
  <c r="BI63" i="1"/>
  <c r="BG63" i="1"/>
  <c r="BF63" i="1"/>
  <c r="BE63" i="1"/>
  <c r="BD63" i="1"/>
  <c r="BC63" i="1"/>
  <c r="BB63" i="1"/>
  <c r="BA63" i="1"/>
  <c r="AZ63" i="1"/>
  <c r="AY63" i="1"/>
  <c r="AX63" i="1"/>
  <c r="AW63" i="1"/>
  <c r="AV63" i="1"/>
  <c r="AU63" i="1"/>
  <c r="AT63" i="1"/>
  <c r="AS63" i="1"/>
  <c r="AR63" i="1"/>
  <c r="AQ63" i="1"/>
  <c r="AP63" i="1"/>
  <c r="AO63" i="1"/>
  <c r="AN63" i="1"/>
  <c r="BS62" i="1"/>
  <c r="BR62" i="1"/>
  <c r="BQ62" i="1"/>
  <c r="BP62" i="1"/>
  <c r="BO62" i="1"/>
  <c r="BN62" i="1"/>
  <c r="BM62" i="1"/>
  <c r="BL62" i="1"/>
  <c r="BK62" i="1"/>
  <c r="BJ62" i="1"/>
  <c r="BI62" i="1"/>
  <c r="BH62" i="1"/>
  <c r="BG62" i="1"/>
  <c r="BF62" i="1"/>
  <c r="BE62" i="1"/>
  <c r="BD62" i="1"/>
  <c r="BC62" i="1"/>
  <c r="BB62" i="1"/>
  <c r="BA62" i="1"/>
  <c r="AZ62" i="1"/>
  <c r="AY62" i="1"/>
  <c r="AX62" i="1"/>
  <c r="AW62" i="1"/>
  <c r="AV62" i="1"/>
  <c r="AU62" i="1"/>
  <c r="AT62" i="1"/>
  <c r="AS62" i="1"/>
  <c r="AR62" i="1"/>
  <c r="AQ62" i="1"/>
  <c r="AP62" i="1"/>
  <c r="AO62" i="1"/>
  <c r="AN62" i="1"/>
  <c r="BS61" i="1"/>
  <c r="BR61" i="1"/>
  <c r="BQ61" i="1"/>
  <c r="BP61" i="1"/>
  <c r="BO61" i="1"/>
  <c r="BN61" i="1"/>
  <c r="BM61" i="1"/>
  <c r="BL61" i="1"/>
  <c r="BK61" i="1"/>
  <c r="BJ61" i="1"/>
  <c r="BI61" i="1"/>
  <c r="BH61" i="1"/>
  <c r="BG61" i="1"/>
  <c r="BF61" i="1"/>
  <c r="BE61" i="1"/>
  <c r="BD61" i="1"/>
  <c r="BC61" i="1"/>
  <c r="BB61" i="1"/>
  <c r="BA61" i="1"/>
  <c r="AZ61" i="1"/>
  <c r="AY61" i="1"/>
  <c r="AX61" i="1"/>
  <c r="AW61" i="1"/>
  <c r="AV61" i="1"/>
  <c r="AU61" i="1"/>
  <c r="AT61" i="1"/>
  <c r="AS61" i="1"/>
  <c r="AR61" i="1"/>
  <c r="AQ61" i="1"/>
  <c r="AP61" i="1"/>
  <c r="AO61" i="1"/>
  <c r="AN61" i="1"/>
  <c r="BS60" i="1"/>
  <c r="BR60" i="1"/>
  <c r="BQ60" i="1"/>
  <c r="BP60" i="1"/>
  <c r="BO60" i="1"/>
  <c r="BN60" i="1"/>
  <c r="BM60" i="1"/>
  <c r="BL60" i="1"/>
  <c r="BK60" i="1"/>
  <c r="BJ60" i="1"/>
  <c r="BI60" i="1"/>
  <c r="BH60" i="1"/>
  <c r="BG60" i="1"/>
  <c r="BF60" i="1"/>
  <c r="BE60" i="1"/>
  <c r="BD60" i="1"/>
  <c r="BC60" i="1"/>
  <c r="BB60" i="1"/>
  <c r="BA60" i="1"/>
  <c r="AZ60" i="1"/>
  <c r="AY60" i="1"/>
  <c r="AX60" i="1"/>
  <c r="AW60" i="1"/>
  <c r="AV60" i="1"/>
  <c r="AU60" i="1"/>
  <c r="AT60" i="1"/>
  <c r="AS60" i="1"/>
  <c r="AR60" i="1"/>
  <c r="AQ60" i="1"/>
  <c r="AP60" i="1"/>
  <c r="AO60" i="1"/>
  <c r="AN60" i="1"/>
  <c r="BS59" i="1"/>
  <c r="BR59" i="1"/>
  <c r="BQ59" i="1"/>
  <c r="BP59" i="1"/>
  <c r="BO59" i="1"/>
  <c r="BN59" i="1"/>
  <c r="BM59" i="1"/>
  <c r="BL59" i="1"/>
  <c r="BK59" i="1"/>
  <c r="BJ59" i="1"/>
  <c r="BI59" i="1"/>
  <c r="BG59" i="1"/>
  <c r="BF59" i="1"/>
  <c r="BE59" i="1"/>
  <c r="BD59" i="1"/>
  <c r="BC59" i="1"/>
  <c r="BB59" i="1"/>
  <c r="BA59" i="1"/>
  <c r="AZ59" i="1"/>
  <c r="AY59" i="1"/>
  <c r="AX59" i="1"/>
  <c r="AW59" i="1"/>
  <c r="AV59" i="1"/>
  <c r="AU59" i="1"/>
  <c r="AT59" i="1"/>
  <c r="AS59" i="1"/>
  <c r="AR59" i="1"/>
  <c r="AQ59" i="1"/>
  <c r="AP59" i="1"/>
  <c r="AO59" i="1"/>
  <c r="AN59" i="1"/>
  <c r="BS58" i="1"/>
  <c r="BR58" i="1"/>
  <c r="BQ58" i="1"/>
  <c r="BP58" i="1"/>
  <c r="BO58" i="1"/>
  <c r="BN58" i="1"/>
  <c r="BM58" i="1"/>
  <c r="BL58" i="1"/>
  <c r="BK58" i="1"/>
  <c r="BJ58" i="1"/>
  <c r="BI58" i="1"/>
  <c r="BG58" i="1"/>
  <c r="BF58" i="1"/>
  <c r="BE58" i="1"/>
  <c r="BD58" i="1"/>
  <c r="BC58" i="1"/>
  <c r="BB58" i="1"/>
  <c r="BA58" i="1"/>
  <c r="AZ58" i="1"/>
  <c r="AY58" i="1"/>
  <c r="AX58" i="1"/>
  <c r="AW58" i="1"/>
  <c r="AV58" i="1"/>
  <c r="AU58" i="1"/>
  <c r="AT58" i="1"/>
  <c r="AS58" i="1"/>
  <c r="AR58" i="1"/>
  <c r="AQ58" i="1"/>
  <c r="AP58" i="1"/>
  <c r="AO58" i="1"/>
  <c r="AN58" i="1"/>
  <c r="BS57" i="1"/>
  <c r="BR57" i="1"/>
  <c r="BQ57" i="1"/>
  <c r="BP57" i="1"/>
  <c r="BO57" i="1"/>
  <c r="BN57" i="1"/>
  <c r="BM57" i="1"/>
  <c r="BL57" i="1"/>
  <c r="BK57" i="1"/>
  <c r="BJ57" i="1"/>
  <c r="BI57" i="1"/>
  <c r="BG57" i="1"/>
  <c r="BF57" i="1"/>
  <c r="BE57" i="1"/>
  <c r="BD57" i="1"/>
  <c r="BC57" i="1"/>
  <c r="BB57" i="1"/>
  <c r="BA57" i="1"/>
  <c r="AZ57" i="1"/>
  <c r="AY57" i="1"/>
  <c r="AX57" i="1"/>
  <c r="AW57" i="1"/>
  <c r="AV57" i="1"/>
  <c r="AU57" i="1"/>
  <c r="AT57" i="1"/>
  <c r="AS57" i="1"/>
  <c r="AR57" i="1"/>
  <c r="AQ57" i="1"/>
  <c r="AP57" i="1"/>
  <c r="AO57" i="1"/>
  <c r="AN57" i="1"/>
  <c r="BS56" i="1"/>
  <c r="BR56" i="1"/>
  <c r="BQ56" i="1"/>
  <c r="BP56" i="1"/>
  <c r="BO56" i="1"/>
  <c r="BN56" i="1"/>
  <c r="BM56" i="1"/>
  <c r="BL56" i="1"/>
  <c r="BK56" i="1"/>
  <c r="BJ56" i="1"/>
  <c r="BI56" i="1"/>
  <c r="BG56" i="1"/>
  <c r="BF56" i="1"/>
  <c r="BE56" i="1"/>
  <c r="BD56" i="1"/>
  <c r="BC56" i="1"/>
  <c r="BB56" i="1"/>
  <c r="BA56" i="1"/>
  <c r="AZ56" i="1"/>
  <c r="AY56" i="1"/>
  <c r="AX56" i="1"/>
  <c r="AW56" i="1"/>
  <c r="AV56" i="1"/>
  <c r="AU56" i="1"/>
  <c r="AT56" i="1"/>
  <c r="AS56" i="1"/>
  <c r="AR56" i="1"/>
  <c r="AQ56" i="1"/>
  <c r="AP56" i="1"/>
  <c r="AO56" i="1"/>
  <c r="AN56" i="1"/>
  <c r="BS55" i="1"/>
  <c r="BR55" i="1"/>
  <c r="BQ55" i="1"/>
  <c r="BP55" i="1"/>
  <c r="BO55" i="1"/>
  <c r="BN55" i="1"/>
  <c r="BM55" i="1"/>
  <c r="BL55" i="1"/>
  <c r="BK55" i="1"/>
  <c r="BJ55" i="1"/>
  <c r="BI55" i="1"/>
  <c r="BG55" i="1"/>
  <c r="BF55" i="1"/>
  <c r="BE55" i="1"/>
  <c r="BD55" i="1"/>
  <c r="BC55" i="1"/>
  <c r="BB55" i="1"/>
  <c r="BA55" i="1"/>
  <c r="AZ55" i="1"/>
  <c r="AY55" i="1"/>
  <c r="AX55" i="1"/>
  <c r="AW55" i="1"/>
  <c r="AV55" i="1"/>
  <c r="AU55" i="1"/>
  <c r="AT55" i="1"/>
  <c r="AS55" i="1"/>
  <c r="AR55" i="1"/>
  <c r="AQ55" i="1"/>
  <c r="AP55" i="1"/>
  <c r="AO55" i="1"/>
  <c r="AN55" i="1"/>
  <c r="BS54" i="1"/>
  <c r="BR54" i="1"/>
  <c r="BQ54" i="1"/>
  <c r="BP54" i="1"/>
  <c r="BO54" i="1"/>
  <c r="BN54" i="1"/>
  <c r="BM54" i="1"/>
  <c r="BL54" i="1"/>
  <c r="BK54" i="1"/>
  <c r="BJ54" i="1"/>
  <c r="BI54" i="1"/>
  <c r="BH54" i="1"/>
  <c r="BG54" i="1"/>
  <c r="BF54" i="1"/>
  <c r="BE54" i="1"/>
  <c r="BD54" i="1"/>
  <c r="BC54" i="1"/>
  <c r="BB54" i="1"/>
  <c r="BA54" i="1"/>
  <c r="AZ54" i="1"/>
  <c r="AY54" i="1"/>
  <c r="AX54" i="1"/>
  <c r="AW54" i="1"/>
  <c r="AV54" i="1"/>
  <c r="AU54" i="1"/>
  <c r="AT54" i="1"/>
  <c r="AS54" i="1"/>
  <c r="AR54" i="1"/>
  <c r="AQ54" i="1"/>
  <c r="AP54" i="1"/>
  <c r="AO54" i="1"/>
  <c r="AN54" i="1"/>
  <c r="BS53" i="1"/>
  <c r="BR53" i="1"/>
  <c r="BQ53" i="1"/>
  <c r="BP53" i="1"/>
  <c r="BO53" i="1"/>
  <c r="BN53" i="1"/>
  <c r="BM53" i="1"/>
  <c r="BL53" i="1"/>
  <c r="BK53" i="1"/>
  <c r="BJ53" i="1"/>
  <c r="BI53" i="1"/>
  <c r="BH53" i="1"/>
  <c r="BG53" i="1"/>
  <c r="BF53" i="1"/>
  <c r="BE53" i="1"/>
  <c r="BD53" i="1"/>
  <c r="BC53" i="1"/>
  <c r="BB53" i="1"/>
  <c r="BA53" i="1"/>
  <c r="AZ53" i="1"/>
  <c r="AY53" i="1"/>
  <c r="AX53" i="1"/>
  <c r="AW53" i="1"/>
  <c r="AV53" i="1"/>
  <c r="AU53" i="1"/>
  <c r="AT53" i="1"/>
  <c r="AS53" i="1"/>
  <c r="AR53" i="1"/>
  <c r="AQ53" i="1"/>
  <c r="AP53" i="1"/>
  <c r="AO53" i="1"/>
  <c r="AN53" i="1"/>
  <c r="BS52" i="1"/>
  <c r="BR52" i="1"/>
  <c r="BQ52" i="1"/>
  <c r="BP52" i="1"/>
  <c r="BO52" i="1"/>
  <c r="BN52" i="1"/>
  <c r="BM52" i="1"/>
  <c r="BL52" i="1"/>
  <c r="BK52" i="1"/>
  <c r="BJ52" i="1"/>
  <c r="BI52" i="1"/>
  <c r="BH52" i="1"/>
  <c r="BG52" i="1"/>
  <c r="BF52" i="1"/>
  <c r="BE52" i="1"/>
  <c r="BD52" i="1"/>
  <c r="BC52" i="1"/>
  <c r="BB52" i="1"/>
  <c r="BA52" i="1"/>
  <c r="AZ52" i="1"/>
  <c r="AY52" i="1"/>
  <c r="AX52" i="1"/>
  <c r="AW52" i="1"/>
  <c r="AV52" i="1"/>
  <c r="AU52" i="1"/>
  <c r="AT52" i="1"/>
  <c r="AS52" i="1"/>
  <c r="AR52" i="1"/>
  <c r="AQ52" i="1"/>
  <c r="AP52" i="1"/>
  <c r="AO52" i="1"/>
  <c r="AN52" i="1"/>
  <c r="BS51" i="1"/>
  <c r="BR51" i="1"/>
  <c r="BQ51" i="1"/>
  <c r="BP51" i="1"/>
  <c r="BO51" i="1"/>
  <c r="BN51" i="1"/>
  <c r="BM51" i="1"/>
  <c r="BL51" i="1"/>
  <c r="BK51" i="1"/>
  <c r="BJ51" i="1"/>
  <c r="BI51" i="1"/>
  <c r="BG51" i="1"/>
  <c r="BF51" i="1"/>
  <c r="BE51" i="1"/>
  <c r="BD51" i="1"/>
  <c r="BC51" i="1"/>
  <c r="BB51" i="1"/>
  <c r="BA51" i="1"/>
  <c r="AZ51" i="1"/>
  <c r="AY51" i="1"/>
  <c r="AX51" i="1"/>
  <c r="AW51" i="1"/>
  <c r="AV51" i="1"/>
  <c r="AU51" i="1"/>
  <c r="AT51" i="1"/>
  <c r="AS51" i="1"/>
  <c r="AR51" i="1"/>
  <c r="AQ51" i="1"/>
  <c r="AP51" i="1"/>
  <c r="AO51" i="1"/>
  <c r="AN51" i="1"/>
  <c r="BS50" i="1"/>
  <c r="BR50" i="1"/>
  <c r="BQ50" i="1"/>
  <c r="BP50" i="1"/>
  <c r="BO50" i="1"/>
  <c r="BN50" i="1"/>
  <c r="BM50" i="1"/>
  <c r="BL50" i="1"/>
  <c r="BK50" i="1"/>
  <c r="BJ50" i="1"/>
  <c r="BI50" i="1"/>
  <c r="BG50" i="1"/>
  <c r="BF50" i="1"/>
  <c r="BE50" i="1"/>
  <c r="BD50" i="1"/>
  <c r="BC50" i="1"/>
  <c r="BB50" i="1"/>
  <c r="BA50" i="1"/>
  <c r="AZ50" i="1"/>
  <c r="AY50" i="1"/>
  <c r="AX50" i="1"/>
  <c r="AW50" i="1"/>
  <c r="AV50" i="1"/>
  <c r="AU50" i="1"/>
  <c r="AT50" i="1"/>
  <c r="AS50" i="1"/>
  <c r="AR50" i="1"/>
  <c r="AQ50" i="1"/>
  <c r="AP50" i="1"/>
  <c r="AO50" i="1"/>
  <c r="AN50" i="1"/>
  <c r="BS49" i="1"/>
  <c r="BR49" i="1"/>
  <c r="BQ49" i="1"/>
  <c r="BP49" i="1"/>
  <c r="BO49" i="1"/>
  <c r="BN49" i="1"/>
  <c r="BM49" i="1"/>
  <c r="BL49" i="1"/>
  <c r="BK49" i="1"/>
  <c r="BJ49" i="1"/>
  <c r="BI49" i="1"/>
  <c r="BG49" i="1"/>
  <c r="BF49" i="1"/>
  <c r="BE49" i="1"/>
  <c r="BD49" i="1"/>
  <c r="BC49" i="1"/>
  <c r="BB49" i="1"/>
  <c r="BA49" i="1"/>
  <c r="AZ49" i="1"/>
  <c r="AY49" i="1"/>
  <c r="AX49" i="1"/>
  <c r="AW49" i="1"/>
  <c r="AV49" i="1"/>
  <c r="AU49" i="1"/>
  <c r="AT49" i="1"/>
  <c r="AS49" i="1"/>
  <c r="AR49" i="1"/>
  <c r="AQ49" i="1"/>
  <c r="AP49" i="1"/>
  <c r="AO49" i="1"/>
  <c r="AN49" i="1"/>
  <c r="BS48" i="1"/>
  <c r="BR48" i="1"/>
  <c r="BQ48" i="1"/>
  <c r="BP48" i="1"/>
  <c r="BO48" i="1"/>
  <c r="BN48" i="1"/>
  <c r="BM48" i="1"/>
  <c r="BL48" i="1"/>
  <c r="BK48" i="1"/>
  <c r="BJ48" i="1"/>
  <c r="BI48" i="1"/>
  <c r="BG48" i="1"/>
  <c r="BF48" i="1"/>
  <c r="BE48" i="1"/>
  <c r="BD48" i="1"/>
  <c r="BC48" i="1"/>
  <c r="BB48" i="1"/>
  <c r="BA48" i="1"/>
  <c r="AZ48" i="1"/>
  <c r="AY48" i="1"/>
  <c r="AX48" i="1"/>
  <c r="AW48" i="1"/>
  <c r="AV48" i="1"/>
  <c r="AU48" i="1"/>
  <c r="AT48" i="1"/>
  <c r="AS48" i="1"/>
  <c r="AR48" i="1"/>
  <c r="AQ48" i="1"/>
  <c r="AP48" i="1"/>
  <c r="AO48" i="1"/>
  <c r="AN48" i="1"/>
  <c r="BS47" i="1"/>
  <c r="BR47" i="1"/>
  <c r="BQ47" i="1"/>
  <c r="BP47" i="1"/>
  <c r="BO47" i="1"/>
  <c r="BN47" i="1"/>
  <c r="BM47" i="1"/>
  <c r="BL47" i="1"/>
  <c r="BK47" i="1"/>
  <c r="BJ47" i="1"/>
  <c r="BI47" i="1"/>
  <c r="BG47" i="1"/>
  <c r="BF47" i="1"/>
  <c r="BE47" i="1"/>
  <c r="BD47" i="1"/>
  <c r="BC47" i="1"/>
  <c r="BB47" i="1"/>
  <c r="BA47" i="1"/>
  <c r="AZ47" i="1"/>
  <c r="AY47" i="1"/>
  <c r="AX47" i="1"/>
  <c r="AW47" i="1"/>
  <c r="AV47" i="1"/>
  <c r="AU47" i="1"/>
  <c r="AT47" i="1"/>
  <c r="AS47" i="1"/>
  <c r="AR47" i="1"/>
  <c r="AQ47" i="1"/>
  <c r="AP47" i="1"/>
  <c r="AO47" i="1"/>
  <c r="AN47" i="1"/>
  <c r="BS46" i="1"/>
  <c r="BR46" i="1"/>
  <c r="BQ46" i="1"/>
  <c r="BP46" i="1"/>
  <c r="BO46" i="1"/>
  <c r="BN46" i="1"/>
  <c r="BM46" i="1"/>
  <c r="BL46" i="1"/>
  <c r="BK46" i="1"/>
  <c r="BJ46" i="1"/>
  <c r="BI46" i="1"/>
  <c r="BH46" i="1"/>
  <c r="BG46" i="1"/>
  <c r="BF46" i="1"/>
  <c r="BE46" i="1"/>
  <c r="BD46" i="1"/>
  <c r="BC46" i="1"/>
  <c r="BB46" i="1"/>
  <c r="BA46" i="1"/>
  <c r="AZ46" i="1"/>
  <c r="AY46" i="1"/>
  <c r="AX46" i="1"/>
  <c r="AW46" i="1"/>
  <c r="AV46" i="1"/>
  <c r="AU46" i="1"/>
  <c r="AT46" i="1"/>
  <c r="AS46" i="1"/>
  <c r="AR46" i="1"/>
  <c r="AQ46" i="1"/>
  <c r="AP46" i="1"/>
  <c r="AO46" i="1"/>
  <c r="AN46" i="1"/>
  <c r="BS45" i="1"/>
  <c r="BR45" i="1"/>
  <c r="BQ45" i="1"/>
  <c r="BP45" i="1"/>
  <c r="BO45" i="1"/>
  <c r="BN45" i="1"/>
  <c r="BM45" i="1"/>
  <c r="BL45" i="1"/>
  <c r="BK45" i="1"/>
  <c r="BJ45" i="1"/>
  <c r="BI45" i="1"/>
  <c r="BH45" i="1"/>
  <c r="BG45" i="1"/>
  <c r="BF45" i="1"/>
  <c r="BE45" i="1"/>
  <c r="BD45" i="1"/>
  <c r="BC45" i="1"/>
  <c r="BB45" i="1"/>
  <c r="BA45" i="1"/>
  <c r="AZ45" i="1"/>
  <c r="AY45" i="1"/>
  <c r="AX45" i="1"/>
  <c r="AW45" i="1"/>
  <c r="AV45" i="1"/>
  <c r="AU45" i="1"/>
  <c r="AT45" i="1"/>
  <c r="AS45" i="1"/>
  <c r="AR45" i="1"/>
  <c r="AQ45" i="1"/>
  <c r="AP45" i="1"/>
  <c r="AO45" i="1"/>
  <c r="AN45" i="1"/>
  <c r="BS44" i="1"/>
  <c r="BR44" i="1"/>
  <c r="BQ44" i="1"/>
  <c r="BP44" i="1"/>
  <c r="BO44" i="1"/>
  <c r="BN44" i="1"/>
  <c r="BM44" i="1"/>
  <c r="BL44" i="1"/>
  <c r="BK44" i="1"/>
  <c r="BJ44" i="1"/>
  <c r="BI44" i="1"/>
  <c r="BH44" i="1"/>
  <c r="BG44" i="1"/>
  <c r="BF44" i="1"/>
  <c r="BE44" i="1"/>
  <c r="BD44" i="1"/>
  <c r="BC44" i="1"/>
  <c r="BB44" i="1"/>
  <c r="BA44" i="1"/>
  <c r="AZ44" i="1"/>
  <c r="AY44" i="1"/>
  <c r="AX44" i="1"/>
  <c r="AW44" i="1"/>
  <c r="AV44" i="1"/>
  <c r="AU44" i="1"/>
  <c r="AT44" i="1"/>
  <c r="AS44" i="1"/>
  <c r="AR44" i="1"/>
  <c r="AQ44" i="1"/>
  <c r="AP44" i="1"/>
  <c r="AO44" i="1"/>
  <c r="AN44" i="1"/>
  <c r="BS43" i="1"/>
  <c r="BR43" i="1"/>
  <c r="BQ43" i="1"/>
  <c r="BP43" i="1"/>
  <c r="BO43" i="1"/>
  <c r="BN43" i="1"/>
  <c r="BM43" i="1"/>
  <c r="BL43" i="1"/>
  <c r="BK43" i="1"/>
  <c r="BJ43" i="1"/>
  <c r="BI43" i="1"/>
  <c r="BG43" i="1"/>
  <c r="BF43" i="1"/>
  <c r="BE43" i="1"/>
  <c r="BD43" i="1"/>
  <c r="BC43" i="1"/>
  <c r="BB43" i="1"/>
  <c r="BA43" i="1"/>
  <c r="AZ43" i="1"/>
  <c r="AY43" i="1"/>
  <c r="AX43" i="1"/>
  <c r="AW43" i="1"/>
  <c r="AV43" i="1"/>
  <c r="AU43" i="1"/>
  <c r="AT43" i="1"/>
  <c r="AS43" i="1"/>
  <c r="AR43" i="1"/>
  <c r="AQ43" i="1"/>
  <c r="AP43" i="1"/>
  <c r="AO43" i="1"/>
  <c r="AN43" i="1"/>
  <c r="BS42" i="1"/>
  <c r="BR42" i="1"/>
  <c r="BQ42" i="1"/>
  <c r="BP42" i="1"/>
  <c r="BO42" i="1"/>
  <c r="BN42" i="1"/>
  <c r="BM42" i="1"/>
  <c r="BL42" i="1"/>
  <c r="BK42" i="1"/>
  <c r="BJ42" i="1"/>
  <c r="BI42" i="1"/>
  <c r="BG42" i="1"/>
  <c r="BF42" i="1"/>
  <c r="BE42" i="1"/>
  <c r="BD42" i="1"/>
  <c r="BC42" i="1"/>
  <c r="BB42" i="1"/>
  <c r="BA42" i="1"/>
  <c r="AZ42" i="1"/>
  <c r="AY42" i="1"/>
  <c r="AX42" i="1"/>
  <c r="AW42" i="1"/>
  <c r="AV42" i="1"/>
  <c r="AU42" i="1"/>
  <c r="AT42" i="1"/>
  <c r="AS42" i="1"/>
  <c r="AR42" i="1"/>
  <c r="AQ42" i="1"/>
  <c r="AP42" i="1"/>
  <c r="AO42" i="1"/>
  <c r="AN42" i="1"/>
  <c r="BS41" i="1"/>
  <c r="BR41" i="1"/>
  <c r="BQ41" i="1"/>
  <c r="BP41" i="1"/>
  <c r="BO41" i="1"/>
  <c r="BN41" i="1"/>
  <c r="BM41" i="1"/>
  <c r="BL41" i="1"/>
  <c r="BK41" i="1"/>
  <c r="BJ41" i="1"/>
  <c r="BI41" i="1"/>
  <c r="BG41" i="1"/>
  <c r="BF41" i="1"/>
  <c r="BE41" i="1"/>
  <c r="BD41" i="1"/>
  <c r="BC41" i="1"/>
  <c r="BB41" i="1"/>
  <c r="BA41" i="1"/>
  <c r="AZ41" i="1"/>
  <c r="AY41" i="1"/>
  <c r="AX41" i="1"/>
  <c r="AW41" i="1"/>
  <c r="AV41" i="1"/>
  <c r="AU41" i="1"/>
  <c r="AT41" i="1"/>
  <c r="AS41" i="1"/>
  <c r="AR41" i="1"/>
  <c r="AQ41" i="1"/>
  <c r="AP41" i="1"/>
  <c r="AO41" i="1"/>
  <c r="AN41" i="1"/>
  <c r="BS40" i="1"/>
  <c r="BR40" i="1"/>
  <c r="BQ40" i="1"/>
  <c r="BP40" i="1"/>
  <c r="BO40" i="1"/>
  <c r="BN40" i="1"/>
  <c r="BM40" i="1"/>
  <c r="BL40" i="1"/>
  <c r="BK40" i="1"/>
  <c r="BJ40" i="1"/>
  <c r="BI40" i="1"/>
  <c r="BG40" i="1"/>
  <c r="BF40" i="1"/>
  <c r="BE40" i="1"/>
  <c r="BD40" i="1"/>
  <c r="BC40" i="1"/>
  <c r="BB40" i="1"/>
  <c r="BA40" i="1"/>
  <c r="AZ40" i="1"/>
  <c r="AY40" i="1"/>
  <c r="AX40" i="1"/>
  <c r="AW40" i="1"/>
  <c r="AV40" i="1"/>
  <c r="AU40" i="1"/>
  <c r="AT40" i="1"/>
  <c r="AS40" i="1"/>
  <c r="AR40" i="1"/>
  <c r="AQ40" i="1"/>
  <c r="AP40" i="1"/>
  <c r="AO40" i="1"/>
  <c r="AN40" i="1"/>
  <c r="BS39" i="1"/>
  <c r="BR39" i="1"/>
  <c r="BQ39" i="1"/>
  <c r="BP39" i="1"/>
  <c r="BO39" i="1"/>
  <c r="BN39" i="1"/>
  <c r="BM39" i="1"/>
  <c r="BL39" i="1"/>
  <c r="BK39" i="1"/>
  <c r="BJ39" i="1"/>
  <c r="BI39" i="1"/>
  <c r="BG39" i="1"/>
  <c r="BF39" i="1"/>
  <c r="BE39" i="1"/>
  <c r="BD39" i="1"/>
  <c r="BC39" i="1"/>
  <c r="BB39" i="1"/>
  <c r="BA39" i="1"/>
  <c r="AZ39" i="1"/>
  <c r="AY39" i="1"/>
  <c r="AX39" i="1"/>
  <c r="AW39" i="1"/>
  <c r="AV39" i="1"/>
  <c r="AU39" i="1"/>
  <c r="AT39" i="1"/>
  <c r="AS39" i="1"/>
  <c r="AR39" i="1"/>
  <c r="AQ39" i="1"/>
  <c r="AP39" i="1"/>
  <c r="AO39" i="1"/>
  <c r="AN39" i="1"/>
  <c r="BS38" i="1"/>
  <c r="BR38" i="1"/>
  <c r="BQ38" i="1"/>
  <c r="BP38" i="1"/>
  <c r="BO38" i="1"/>
  <c r="BN38" i="1"/>
  <c r="BM38" i="1"/>
  <c r="BL38" i="1"/>
  <c r="BK38" i="1"/>
  <c r="BJ38" i="1"/>
  <c r="BI38" i="1"/>
  <c r="BH38" i="1"/>
  <c r="BG38" i="1"/>
  <c r="BF38" i="1"/>
  <c r="BE38" i="1"/>
  <c r="BD38" i="1"/>
  <c r="BC38" i="1"/>
  <c r="BB38" i="1"/>
  <c r="BA38" i="1"/>
  <c r="AZ38" i="1"/>
  <c r="AY38" i="1"/>
  <c r="AX38" i="1"/>
  <c r="AW38" i="1"/>
  <c r="AV38" i="1"/>
  <c r="AU38" i="1"/>
  <c r="AT38" i="1"/>
  <c r="AS38" i="1"/>
  <c r="AR38" i="1"/>
  <c r="AQ38" i="1"/>
  <c r="AP38" i="1"/>
  <c r="AO38" i="1"/>
  <c r="AN38" i="1"/>
  <c r="BS37" i="1"/>
  <c r="BR37" i="1"/>
  <c r="BQ37" i="1"/>
  <c r="BP37" i="1"/>
  <c r="BO37" i="1"/>
  <c r="BN37" i="1"/>
  <c r="BM37" i="1"/>
  <c r="BL37" i="1"/>
  <c r="BK37" i="1"/>
  <c r="BJ37" i="1"/>
  <c r="BI37" i="1"/>
  <c r="BH37" i="1"/>
  <c r="BG37" i="1"/>
  <c r="BF37" i="1"/>
  <c r="BE37" i="1"/>
  <c r="BD37" i="1"/>
  <c r="BC37" i="1"/>
  <c r="BB37" i="1"/>
  <c r="BA37" i="1"/>
  <c r="AZ37" i="1"/>
  <c r="AY37" i="1"/>
  <c r="AX37" i="1"/>
  <c r="AW37" i="1"/>
  <c r="AV37" i="1"/>
  <c r="AU37" i="1"/>
  <c r="AT37" i="1"/>
  <c r="AS37" i="1"/>
  <c r="AR37" i="1"/>
  <c r="AQ37" i="1"/>
  <c r="AP37" i="1"/>
  <c r="AO37" i="1"/>
  <c r="AN37" i="1"/>
  <c r="BS36" i="1"/>
  <c r="BR36" i="1"/>
  <c r="BQ36" i="1"/>
  <c r="BP36" i="1"/>
  <c r="BO36" i="1"/>
  <c r="BN36" i="1"/>
  <c r="BM36" i="1"/>
  <c r="BL36" i="1"/>
  <c r="BK36" i="1"/>
  <c r="BJ36" i="1"/>
  <c r="BI36" i="1"/>
  <c r="BH36" i="1"/>
  <c r="BG36" i="1"/>
  <c r="BF36" i="1"/>
  <c r="BE36" i="1"/>
  <c r="BD36" i="1"/>
  <c r="BC36" i="1"/>
  <c r="BB36" i="1"/>
  <c r="BA36" i="1"/>
  <c r="AZ36" i="1"/>
  <c r="AY36" i="1"/>
  <c r="AX36" i="1"/>
  <c r="AW36" i="1"/>
  <c r="AV36" i="1"/>
  <c r="AU36" i="1"/>
  <c r="AT36" i="1"/>
  <c r="AS36" i="1"/>
  <c r="AR36" i="1"/>
  <c r="AQ36" i="1"/>
  <c r="AP36" i="1"/>
  <c r="AO36" i="1"/>
  <c r="AN36" i="1"/>
  <c r="BS35" i="1"/>
  <c r="BR35" i="1"/>
  <c r="BQ35" i="1"/>
  <c r="BP35" i="1"/>
  <c r="BO35" i="1"/>
  <c r="BN35" i="1"/>
  <c r="BM35" i="1"/>
  <c r="BL35" i="1"/>
  <c r="BK35" i="1"/>
  <c r="BJ35" i="1"/>
  <c r="BI35" i="1"/>
  <c r="BG35" i="1"/>
  <c r="BF35" i="1"/>
  <c r="BE35" i="1"/>
  <c r="BD35" i="1"/>
  <c r="BC35" i="1"/>
  <c r="BB35" i="1"/>
  <c r="BA35" i="1"/>
  <c r="AZ35" i="1"/>
  <c r="AY35" i="1"/>
  <c r="AX35" i="1"/>
  <c r="AW35" i="1"/>
  <c r="AV35" i="1"/>
  <c r="AU35" i="1"/>
  <c r="AT35" i="1"/>
  <c r="AS35" i="1"/>
  <c r="AR35" i="1"/>
  <c r="AQ35" i="1"/>
  <c r="AP35" i="1"/>
  <c r="AO35" i="1"/>
  <c r="AN35" i="1"/>
  <c r="BS34" i="1"/>
  <c r="BR34" i="1"/>
  <c r="BQ34" i="1"/>
  <c r="BP34" i="1"/>
  <c r="BO34" i="1"/>
  <c r="BN34" i="1"/>
  <c r="BM34" i="1"/>
  <c r="BL34" i="1"/>
  <c r="BK34" i="1"/>
  <c r="BJ34" i="1"/>
  <c r="BI34" i="1"/>
  <c r="BG34" i="1"/>
  <c r="BF34" i="1"/>
  <c r="BE34" i="1"/>
  <c r="BD34" i="1"/>
  <c r="BC34" i="1"/>
  <c r="BB34" i="1"/>
  <c r="BA34" i="1"/>
  <c r="AZ34" i="1"/>
  <c r="AY34" i="1"/>
  <c r="AX34" i="1"/>
  <c r="AW34" i="1"/>
  <c r="AV34" i="1"/>
  <c r="AU34" i="1"/>
  <c r="AT34" i="1"/>
  <c r="AS34" i="1"/>
  <c r="AR34" i="1"/>
  <c r="AQ34" i="1"/>
  <c r="AP34" i="1"/>
  <c r="AO34" i="1"/>
  <c r="AN34" i="1"/>
  <c r="BS33" i="1"/>
  <c r="BR33" i="1"/>
  <c r="BQ33" i="1"/>
  <c r="BP33" i="1"/>
  <c r="BO33" i="1"/>
  <c r="BN33" i="1"/>
  <c r="BM33" i="1"/>
  <c r="BL33" i="1"/>
  <c r="BK33" i="1"/>
  <c r="BJ33" i="1"/>
  <c r="BI33" i="1"/>
  <c r="BG33" i="1"/>
  <c r="BF33" i="1"/>
  <c r="BE33" i="1"/>
  <c r="BD33" i="1"/>
  <c r="BC33" i="1"/>
  <c r="BB33" i="1"/>
  <c r="BA33" i="1"/>
  <c r="AZ33" i="1"/>
  <c r="AY33" i="1"/>
  <c r="AX33" i="1"/>
  <c r="AW33" i="1"/>
  <c r="AV33" i="1"/>
  <c r="AU33" i="1"/>
  <c r="AT33" i="1"/>
  <c r="AS33" i="1"/>
  <c r="AR33" i="1"/>
  <c r="AQ33" i="1"/>
  <c r="AP33" i="1"/>
  <c r="AO33" i="1"/>
  <c r="AN33" i="1"/>
  <c r="BS32" i="1"/>
  <c r="BR32" i="1"/>
  <c r="BQ32" i="1"/>
  <c r="BP32" i="1"/>
  <c r="BO32" i="1"/>
  <c r="BN32" i="1"/>
  <c r="BM32" i="1"/>
  <c r="BL32" i="1"/>
  <c r="BK32" i="1"/>
  <c r="BJ32" i="1"/>
  <c r="BI32" i="1"/>
  <c r="BG32" i="1"/>
  <c r="BF32" i="1"/>
  <c r="BE32" i="1"/>
  <c r="BD32" i="1"/>
  <c r="BC32" i="1"/>
  <c r="BB32" i="1"/>
  <c r="BA32" i="1"/>
  <c r="AZ32" i="1"/>
  <c r="AY32" i="1"/>
  <c r="AX32" i="1"/>
  <c r="AW32" i="1"/>
  <c r="AV32" i="1"/>
  <c r="AU32" i="1"/>
  <c r="AT32" i="1"/>
  <c r="AS32" i="1"/>
  <c r="AR32" i="1"/>
  <c r="AQ32" i="1"/>
  <c r="AP32" i="1"/>
  <c r="AO32" i="1"/>
  <c r="AN32" i="1"/>
  <c r="BS31" i="1"/>
  <c r="BR31" i="1"/>
  <c r="BQ31" i="1"/>
  <c r="BP31" i="1"/>
  <c r="BO31" i="1"/>
  <c r="BN31" i="1"/>
  <c r="BM31" i="1"/>
  <c r="BL31" i="1"/>
  <c r="BK31" i="1"/>
  <c r="BJ31" i="1"/>
  <c r="BI31" i="1"/>
  <c r="BG31" i="1"/>
  <c r="BF31" i="1"/>
  <c r="BE31" i="1"/>
  <c r="BD31" i="1"/>
  <c r="BC31" i="1"/>
  <c r="BB31" i="1"/>
  <c r="BA31" i="1"/>
  <c r="AZ31" i="1"/>
  <c r="AY31" i="1"/>
  <c r="AX31" i="1"/>
  <c r="AW31" i="1"/>
  <c r="AV31" i="1"/>
  <c r="AU31" i="1"/>
  <c r="AT31" i="1"/>
  <c r="AS31" i="1"/>
  <c r="AR31" i="1"/>
  <c r="AQ31" i="1"/>
  <c r="AP31" i="1"/>
  <c r="AO31" i="1"/>
  <c r="AN31" i="1"/>
  <c r="BS30" i="1"/>
  <c r="BR30" i="1"/>
  <c r="BQ30" i="1"/>
  <c r="BP30" i="1"/>
  <c r="BO30" i="1"/>
  <c r="BN30" i="1"/>
  <c r="BM30" i="1"/>
  <c r="BL30" i="1"/>
  <c r="BK30" i="1"/>
  <c r="BJ30" i="1"/>
  <c r="BI30" i="1"/>
  <c r="BH30" i="1"/>
  <c r="BG30" i="1"/>
  <c r="BF30" i="1"/>
  <c r="BE30" i="1"/>
  <c r="BD30" i="1"/>
  <c r="BC30" i="1"/>
  <c r="BB30" i="1"/>
  <c r="BA30" i="1"/>
  <c r="AZ30" i="1"/>
  <c r="AY30" i="1"/>
  <c r="AX30" i="1"/>
  <c r="AW30" i="1"/>
  <c r="AV30" i="1"/>
  <c r="AU30" i="1"/>
  <c r="AT30" i="1"/>
  <c r="AS30" i="1"/>
  <c r="AR30" i="1"/>
  <c r="AQ30" i="1"/>
  <c r="AP30" i="1"/>
  <c r="AO30" i="1"/>
  <c r="AN30" i="1"/>
  <c r="BS29" i="1"/>
  <c r="BR29" i="1"/>
  <c r="BQ29" i="1"/>
  <c r="BP29" i="1"/>
  <c r="BO29" i="1"/>
  <c r="BN29" i="1"/>
  <c r="BM29" i="1"/>
  <c r="BL29" i="1"/>
  <c r="BK29" i="1"/>
  <c r="BJ29" i="1"/>
  <c r="BI29" i="1"/>
  <c r="BH29" i="1"/>
  <c r="BG29" i="1"/>
  <c r="BF29" i="1"/>
  <c r="BE29" i="1"/>
  <c r="BD29" i="1"/>
  <c r="BC29" i="1"/>
  <c r="BB29" i="1"/>
  <c r="BA29" i="1"/>
  <c r="AZ29" i="1"/>
  <c r="AY29" i="1"/>
  <c r="AX29" i="1"/>
  <c r="AW29" i="1"/>
  <c r="AV29" i="1"/>
  <c r="AU29" i="1"/>
  <c r="AT29" i="1"/>
  <c r="AS29" i="1"/>
  <c r="AR29" i="1"/>
  <c r="AQ29" i="1"/>
  <c r="AP29" i="1"/>
  <c r="AO29" i="1"/>
  <c r="AN29" i="1"/>
  <c r="BS28" i="1"/>
  <c r="BR28" i="1"/>
  <c r="BQ28" i="1"/>
  <c r="BP28" i="1"/>
  <c r="BO28" i="1"/>
  <c r="BN28" i="1"/>
  <c r="BM28" i="1"/>
  <c r="BL28" i="1"/>
  <c r="BK28" i="1"/>
  <c r="BJ28" i="1"/>
  <c r="BI28" i="1"/>
  <c r="BH28" i="1"/>
  <c r="BG28" i="1"/>
  <c r="BF28" i="1"/>
  <c r="BE28" i="1"/>
  <c r="BD28" i="1"/>
  <c r="BC28" i="1"/>
  <c r="BB28" i="1"/>
  <c r="BA28" i="1"/>
  <c r="AZ28" i="1"/>
  <c r="AY28" i="1"/>
  <c r="AX28" i="1"/>
  <c r="AW28" i="1"/>
  <c r="AV28" i="1"/>
  <c r="AU28" i="1"/>
  <c r="AT28" i="1"/>
  <c r="AS28" i="1"/>
  <c r="AR28" i="1"/>
  <c r="AQ28" i="1"/>
  <c r="AP28" i="1"/>
  <c r="AO28" i="1"/>
  <c r="AN28" i="1"/>
  <c r="BS27" i="1"/>
  <c r="BR27" i="1"/>
  <c r="BQ27" i="1"/>
  <c r="BP27" i="1"/>
  <c r="BO27" i="1"/>
  <c r="BN27" i="1"/>
  <c r="BM27" i="1"/>
  <c r="BL27" i="1"/>
  <c r="BK27" i="1"/>
  <c r="BJ27" i="1"/>
  <c r="BI27" i="1"/>
  <c r="BG27" i="1"/>
  <c r="BF27" i="1"/>
  <c r="BE27" i="1"/>
  <c r="BD27" i="1"/>
  <c r="BC27" i="1"/>
  <c r="BB27" i="1"/>
  <c r="BA27" i="1"/>
  <c r="AZ27" i="1"/>
  <c r="AY27" i="1"/>
  <c r="AX27" i="1"/>
  <c r="AW27" i="1"/>
  <c r="AV27" i="1"/>
  <c r="AU27" i="1"/>
  <c r="AT27" i="1"/>
  <c r="AS27" i="1"/>
  <c r="AR27" i="1"/>
  <c r="AQ27" i="1"/>
  <c r="AP27" i="1"/>
  <c r="AO27" i="1"/>
  <c r="AN27" i="1"/>
  <c r="BS26" i="1"/>
  <c r="BR26" i="1"/>
  <c r="BQ26" i="1"/>
  <c r="BP26" i="1"/>
  <c r="BO26" i="1"/>
  <c r="BN26" i="1"/>
  <c r="BM26" i="1"/>
  <c r="BL26" i="1"/>
  <c r="BK26" i="1"/>
  <c r="BJ26" i="1"/>
  <c r="BI26" i="1"/>
  <c r="BG26" i="1"/>
  <c r="BF26" i="1"/>
  <c r="BE26" i="1"/>
  <c r="BD26" i="1"/>
  <c r="BC26" i="1"/>
  <c r="BB26" i="1"/>
  <c r="BA26" i="1"/>
  <c r="AZ26" i="1"/>
  <c r="AY26" i="1"/>
  <c r="AX26" i="1"/>
  <c r="AW26" i="1"/>
  <c r="AV26" i="1"/>
  <c r="AU26" i="1"/>
  <c r="AT26" i="1"/>
  <c r="AS26" i="1"/>
  <c r="AR26" i="1"/>
  <c r="AQ26" i="1"/>
  <c r="AP26" i="1"/>
  <c r="AO26" i="1"/>
  <c r="AN26" i="1"/>
  <c r="BS25" i="1"/>
  <c r="BR25" i="1"/>
  <c r="BQ25" i="1"/>
  <c r="BP25" i="1"/>
  <c r="BO25" i="1"/>
  <c r="BN25" i="1"/>
  <c r="BM25" i="1"/>
  <c r="BL25" i="1"/>
  <c r="BK25" i="1"/>
  <c r="BJ25" i="1"/>
  <c r="BI25" i="1"/>
  <c r="BH25" i="1"/>
  <c r="BG25" i="1"/>
  <c r="BF25" i="1"/>
  <c r="BE25" i="1"/>
  <c r="BD25" i="1"/>
  <c r="BC25" i="1"/>
  <c r="BB25" i="1"/>
  <c r="BA25" i="1"/>
  <c r="AZ25" i="1"/>
  <c r="AY25" i="1"/>
  <c r="AX25" i="1"/>
  <c r="AW25" i="1"/>
  <c r="AV25" i="1"/>
  <c r="AU25" i="1"/>
  <c r="AT25" i="1"/>
  <c r="AS25" i="1"/>
  <c r="AR25" i="1"/>
  <c r="AQ25" i="1"/>
  <c r="AP25" i="1"/>
  <c r="AO25" i="1"/>
  <c r="AN25" i="1"/>
  <c r="BS24" i="1"/>
  <c r="BR24" i="1"/>
  <c r="BQ24" i="1"/>
  <c r="BP24" i="1"/>
  <c r="BO24" i="1"/>
  <c r="BN24" i="1"/>
  <c r="BM24" i="1"/>
  <c r="BL24" i="1"/>
  <c r="BK24" i="1"/>
  <c r="BJ24" i="1"/>
  <c r="BI24" i="1"/>
  <c r="BG24" i="1"/>
  <c r="BF24" i="1"/>
  <c r="BE24" i="1"/>
  <c r="BD24" i="1"/>
  <c r="BC24" i="1"/>
  <c r="BB24" i="1"/>
  <c r="BA24" i="1"/>
  <c r="AZ24" i="1"/>
  <c r="AY24" i="1"/>
  <c r="AX24" i="1"/>
  <c r="AW24" i="1"/>
  <c r="AV24" i="1"/>
  <c r="AU24" i="1"/>
  <c r="AT24" i="1"/>
  <c r="AS24" i="1"/>
  <c r="AR24" i="1"/>
  <c r="AQ24" i="1"/>
  <c r="AP24" i="1"/>
  <c r="AO24" i="1"/>
  <c r="AN24" i="1"/>
  <c r="BS23" i="1"/>
  <c r="BR23" i="1"/>
  <c r="BQ23" i="1"/>
  <c r="BP23" i="1"/>
  <c r="BO23" i="1"/>
  <c r="BN23" i="1"/>
  <c r="BM23" i="1"/>
  <c r="BL23" i="1"/>
  <c r="BK23" i="1"/>
  <c r="BJ23" i="1"/>
  <c r="BI23" i="1"/>
  <c r="BG23" i="1"/>
  <c r="BF23" i="1"/>
  <c r="BE23" i="1"/>
  <c r="BD23" i="1"/>
  <c r="BC23" i="1"/>
  <c r="BB23" i="1"/>
  <c r="BA23" i="1"/>
  <c r="AZ23" i="1"/>
  <c r="AY23" i="1"/>
  <c r="AX23" i="1"/>
  <c r="AW23" i="1"/>
  <c r="AV23" i="1"/>
  <c r="AU23" i="1"/>
  <c r="AT23" i="1"/>
  <c r="AS23" i="1"/>
  <c r="AR23" i="1"/>
  <c r="AQ23" i="1"/>
  <c r="AP23" i="1"/>
  <c r="AO23" i="1"/>
  <c r="AN23" i="1"/>
  <c r="BS22" i="1"/>
  <c r="BR22" i="1"/>
  <c r="BQ22" i="1"/>
  <c r="BP22" i="1"/>
  <c r="BO22" i="1"/>
  <c r="BN22" i="1"/>
  <c r="BM22" i="1"/>
  <c r="BL22" i="1"/>
  <c r="BK22" i="1"/>
  <c r="BJ22" i="1"/>
  <c r="BI22" i="1"/>
  <c r="BH22" i="1"/>
  <c r="BG22" i="1"/>
  <c r="BF22" i="1"/>
  <c r="BE22" i="1"/>
  <c r="BD22" i="1"/>
  <c r="BC22" i="1"/>
  <c r="BB22" i="1"/>
  <c r="BA22" i="1"/>
  <c r="AZ22" i="1"/>
  <c r="AY22" i="1"/>
  <c r="AX22" i="1"/>
  <c r="AW22" i="1"/>
  <c r="AV22" i="1"/>
  <c r="AU22" i="1"/>
  <c r="AT22" i="1"/>
  <c r="AS22" i="1"/>
  <c r="AR22" i="1"/>
  <c r="AQ22" i="1"/>
  <c r="AP22" i="1"/>
  <c r="AO22" i="1"/>
  <c r="AN22" i="1"/>
  <c r="BS21" i="1"/>
  <c r="BR21" i="1"/>
  <c r="BQ21" i="1"/>
  <c r="BP21" i="1"/>
  <c r="BO21" i="1"/>
  <c r="BN21" i="1"/>
  <c r="BM21" i="1"/>
  <c r="BL21" i="1"/>
  <c r="BK21" i="1"/>
  <c r="BJ21" i="1"/>
  <c r="BI21" i="1"/>
  <c r="BH21" i="1"/>
  <c r="BG21" i="1"/>
  <c r="BF21" i="1"/>
  <c r="BE21" i="1"/>
  <c r="BD21" i="1"/>
  <c r="BC21" i="1"/>
  <c r="BB21" i="1"/>
  <c r="BA21" i="1"/>
  <c r="AZ21" i="1"/>
  <c r="AY21" i="1"/>
  <c r="AX21" i="1"/>
  <c r="AW21" i="1"/>
  <c r="AV21" i="1"/>
  <c r="AU21" i="1"/>
  <c r="AT21" i="1"/>
  <c r="AS21" i="1"/>
  <c r="AR21" i="1"/>
  <c r="AQ21" i="1"/>
  <c r="AP21" i="1"/>
  <c r="AO21" i="1"/>
  <c r="AN21" i="1"/>
  <c r="BS20" i="1"/>
  <c r="BR20" i="1"/>
  <c r="BQ20" i="1"/>
  <c r="BP20" i="1"/>
  <c r="BO20" i="1"/>
  <c r="BN20" i="1"/>
  <c r="BM20" i="1"/>
  <c r="BL20" i="1"/>
  <c r="BK20" i="1"/>
  <c r="BJ20" i="1"/>
  <c r="BI20" i="1"/>
  <c r="BH20" i="1"/>
  <c r="BG20" i="1"/>
  <c r="BF20" i="1"/>
  <c r="BE20" i="1"/>
  <c r="BD20" i="1"/>
  <c r="BC20" i="1"/>
  <c r="BB20" i="1"/>
  <c r="BA20" i="1"/>
  <c r="AZ20" i="1"/>
  <c r="AY20" i="1"/>
  <c r="AX20" i="1"/>
  <c r="AW20" i="1"/>
  <c r="AV20" i="1"/>
  <c r="AU20" i="1"/>
  <c r="AT20" i="1"/>
  <c r="AS20" i="1"/>
  <c r="AR20" i="1"/>
  <c r="AQ20" i="1"/>
  <c r="AP20" i="1"/>
  <c r="AO20" i="1"/>
  <c r="AN20" i="1"/>
  <c r="BS19" i="1"/>
  <c r="BR19" i="1"/>
  <c r="BQ19" i="1"/>
  <c r="BP19" i="1"/>
  <c r="BO19" i="1"/>
  <c r="BN19" i="1"/>
  <c r="BM19" i="1"/>
  <c r="BL19" i="1"/>
  <c r="BK19" i="1"/>
  <c r="BJ19" i="1"/>
  <c r="BI19" i="1"/>
  <c r="BG19" i="1"/>
  <c r="BF19" i="1"/>
  <c r="BE19" i="1"/>
  <c r="BD19" i="1"/>
  <c r="BC19" i="1"/>
  <c r="BB19" i="1"/>
  <c r="BA19" i="1"/>
  <c r="AZ19" i="1"/>
  <c r="AY19" i="1"/>
  <c r="AX19" i="1"/>
  <c r="AW19" i="1"/>
  <c r="AV19" i="1"/>
  <c r="AU19" i="1"/>
  <c r="AT19" i="1"/>
  <c r="AS19" i="1"/>
  <c r="AR19" i="1"/>
  <c r="AQ19" i="1"/>
  <c r="AP19" i="1"/>
  <c r="AO19" i="1"/>
  <c r="AN19" i="1"/>
  <c r="BS18" i="1"/>
  <c r="BR18" i="1"/>
  <c r="BQ18" i="1"/>
  <c r="BP18" i="1"/>
  <c r="BO18" i="1"/>
  <c r="BN18" i="1"/>
  <c r="BM18" i="1"/>
  <c r="BL18" i="1"/>
  <c r="BK18" i="1"/>
  <c r="BJ18" i="1"/>
  <c r="BI18" i="1"/>
  <c r="BG18" i="1"/>
  <c r="BF18" i="1"/>
  <c r="BE18" i="1"/>
  <c r="BD18" i="1"/>
  <c r="BC18" i="1"/>
  <c r="BB18" i="1"/>
  <c r="BA18" i="1"/>
  <c r="AZ18" i="1"/>
  <c r="AY18" i="1"/>
  <c r="AX18" i="1"/>
  <c r="AW18" i="1"/>
  <c r="AV18" i="1"/>
  <c r="AU18" i="1"/>
  <c r="AT18" i="1"/>
  <c r="AS18" i="1"/>
  <c r="AR18" i="1"/>
  <c r="AQ18" i="1"/>
  <c r="AP18" i="1"/>
  <c r="AO18" i="1"/>
  <c r="AN18" i="1"/>
  <c r="BS17" i="1"/>
  <c r="BR17" i="1"/>
  <c r="BQ17" i="1"/>
  <c r="BP17" i="1"/>
  <c r="BO17" i="1"/>
  <c r="BN17" i="1"/>
  <c r="BM17" i="1"/>
  <c r="BL17" i="1"/>
  <c r="BK17" i="1"/>
  <c r="BJ17" i="1"/>
  <c r="BI17" i="1"/>
  <c r="BG17" i="1"/>
  <c r="BF17" i="1"/>
  <c r="BE17" i="1"/>
  <c r="BD17" i="1"/>
  <c r="BC17" i="1"/>
  <c r="BB17" i="1"/>
  <c r="BA17" i="1"/>
  <c r="AZ17" i="1"/>
  <c r="AY17" i="1"/>
  <c r="AX17" i="1"/>
  <c r="AW17" i="1"/>
  <c r="AV17" i="1"/>
  <c r="AU17" i="1"/>
  <c r="AT17" i="1"/>
  <c r="AS17" i="1"/>
  <c r="AR17" i="1"/>
  <c r="AQ17" i="1"/>
  <c r="AP17" i="1"/>
  <c r="AO17" i="1"/>
  <c r="AN17" i="1"/>
  <c r="BS16" i="1"/>
  <c r="BR16" i="1"/>
  <c r="BQ16" i="1"/>
  <c r="BP16" i="1"/>
  <c r="BO16" i="1"/>
  <c r="BN16" i="1"/>
  <c r="BM16" i="1"/>
  <c r="BL16" i="1"/>
  <c r="BK16" i="1"/>
  <c r="BJ16" i="1"/>
  <c r="BI16" i="1"/>
  <c r="BG16" i="1"/>
  <c r="BF16" i="1"/>
  <c r="BE16" i="1"/>
  <c r="BD16" i="1"/>
  <c r="BC16" i="1"/>
  <c r="BB16" i="1"/>
  <c r="BA16" i="1"/>
  <c r="AZ16" i="1"/>
  <c r="AY16" i="1"/>
  <c r="AX16" i="1"/>
  <c r="AW16" i="1"/>
  <c r="AV16" i="1"/>
  <c r="AU16" i="1"/>
  <c r="AT16" i="1"/>
  <c r="AS16" i="1"/>
  <c r="AR16" i="1"/>
  <c r="AQ16" i="1"/>
  <c r="AP16" i="1"/>
  <c r="AO16" i="1"/>
  <c r="AN16" i="1"/>
  <c r="BS15" i="1"/>
  <c r="BR15" i="1"/>
  <c r="BQ15" i="1"/>
  <c r="BP15" i="1"/>
  <c r="BO15" i="1"/>
  <c r="BN15" i="1"/>
  <c r="BM15" i="1"/>
  <c r="BL15" i="1"/>
  <c r="BK15" i="1"/>
  <c r="BJ15" i="1"/>
  <c r="BI15" i="1"/>
  <c r="BG15" i="1"/>
  <c r="BF15" i="1"/>
  <c r="BE15" i="1"/>
  <c r="BD15" i="1"/>
  <c r="BC15" i="1"/>
  <c r="BB15" i="1"/>
  <c r="BA15" i="1"/>
  <c r="AZ15" i="1"/>
  <c r="AY15" i="1"/>
  <c r="AX15" i="1"/>
  <c r="AW15" i="1"/>
  <c r="AV15" i="1"/>
  <c r="AU15" i="1"/>
  <c r="AT15" i="1"/>
  <c r="AS15" i="1"/>
  <c r="AR15" i="1"/>
  <c r="AQ15" i="1"/>
  <c r="AP15" i="1"/>
  <c r="AO15" i="1"/>
  <c r="AN15" i="1"/>
  <c r="BS14" i="1"/>
  <c r="BR14" i="1"/>
  <c r="BQ14" i="1"/>
  <c r="BP14" i="1"/>
  <c r="BO14" i="1"/>
  <c r="BN14" i="1"/>
  <c r="BM14" i="1"/>
  <c r="BL14" i="1"/>
  <c r="BK14" i="1"/>
  <c r="BJ14" i="1"/>
  <c r="BI14" i="1"/>
  <c r="BH14" i="1"/>
  <c r="BG14" i="1"/>
  <c r="BF14" i="1"/>
  <c r="BE14" i="1"/>
  <c r="BD14" i="1"/>
  <c r="BC14" i="1"/>
  <c r="BB14" i="1"/>
  <c r="BA14" i="1"/>
  <c r="AZ14" i="1"/>
  <c r="AY14" i="1"/>
  <c r="AX14" i="1"/>
  <c r="AW14" i="1"/>
  <c r="AV14" i="1"/>
  <c r="AU14" i="1"/>
  <c r="AT14" i="1"/>
  <c r="AS14" i="1"/>
  <c r="AR14" i="1"/>
  <c r="AQ14" i="1"/>
  <c r="AP14" i="1"/>
  <c r="AO14" i="1"/>
  <c r="AN14" i="1"/>
  <c r="BS13" i="1"/>
  <c r="BR13" i="1"/>
  <c r="BQ13" i="1"/>
  <c r="BP13" i="1"/>
  <c r="BO13" i="1"/>
  <c r="BN13" i="1"/>
  <c r="BM13" i="1"/>
  <c r="BL13" i="1"/>
  <c r="BK13" i="1"/>
  <c r="BJ13" i="1"/>
  <c r="BI13" i="1"/>
  <c r="BH13" i="1"/>
  <c r="BG13" i="1"/>
  <c r="BF13" i="1"/>
  <c r="BE13" i="1"/>
  <c r="BD13" i="1"/>
  <c r="BC13" i="1"/>
  <c r="BB13" i="1"/>
  <c r="BA13" i="1"/>
  <c r="AZ13" i="1"/>
  <c r="AY13" i="1"/>
  <c r="AX13" i="1"/>
  <c r="AW13" i="1"/>
  <c r="AV13" i="1"/>
  <c r="AU13" i="1"/>
  <c r="AT13" i="1"/>
  <c r="AS13" i="1"/>
  <c r="AR13" i="1"/>
  <c r="AQ13" i="1"/>
  <c r="AP13" i="1"/>
  <c r="AO13" i="1"/>
  <c r="AN13" i="1"/>
  <c r="BS12" i="1"/>
  <c r="BR12" i="1"/>
  <c r="BQ12" i="1"/>
  <c r="BP12" i="1"/>
  <c r="BO12" i="1"/>
  <c r="BN12" i="1"/>
  <c r="BM12" i="1"/>
  <c r="BL12" i="1"/>
  <c r="BK12" i="1"/>
  <c r="BJ12" i="1"/>
  <c r="BI12" i="1"/>
  <c r="BH12" i="1"/>
  <c r="BG12" i="1"/>
  <c r="BF12" i="1"/>
  <c r="BE12" i="1"/>
  <c r="BD12" i="1"/>
  <c r="BC12" i="1"/>
  <c r="BB12" i="1"/>
  <c r="BA12" i="1"/>
  <c r="AZ12" i="1"/>
  <c r="AY12" i="1"/>
  <c r="AX12" i="1"/>
  <c r="AW12" i="1"/>
  <c r="AV12" i="1"/>
  <c r="AU12" i="1"/>
  <c r="AT12" i="1"/>
  <c r="AS12" i="1"/>
  <c r="AR12" i="1"/>
  <c r="AQ12" i="1"/>
  <c r="AP12" i="1"/>
  <c r="AO12" i="1"/>
  <c r="AN12" i="1"/>
  <c r="BS11" i="1"/>
  <c r="BR11" i="1"/>
  <c r="BQ11" i="1"/>
  <c r="BP11" i="1"/>
  <c r="BO11" i="1"/>
  <c r="BN11" i="1"/>
  <c r="BM11" i="1"/>
  <c r="BL11" i="1"/>
  <c r="BK11" i="1"/>
  <c r="BJ11" i="1"/>
  <c r="BI11" i="1"/>
  <c r="BG11" i="1"/>
  <c r="BF11" i="1"/>
  <c r="BE11" i="1"/>
  <c r="BD11" i="1"/>
  <c r="BC11" i="1"/>
  <c r="BB11" i="1"/>
  <c r="BA11" i="1"/>
  <c r="AZ11" i="1"/>
  <c r="AY11" i="1"/>
  <c r="AX11" i="1"/>
  <c r="AW11" i="1"/>
  <c r="AV11" i="1"/>
  <c r="AU11" i="1"/>
  <c r="AT11" i="1"/>
  <c r="AS11" i="1"/>
  <c r="AR11" i="1"/>
  <c r="AQ11" i="1"/>
  <c r="AP11" i="1"/>
  <c r="AO11" i="1"/>
  <c r="AN11" i="1"/>
  <c r="BS10" i="1"/>
  <c r="BR10" i="1"/>
  <c r="BQ10" i="1"/>
  <c r="BP10" i="1"/>
  <c r="BO10" i="1"/>
  <c r="BN10" i="1"/>
  <c r="BM10" i="1"/>
  <c r="BL10" i="1"/>
  <c r="BK10" i="1"/>
  <c r="BJ10" i="1"/>
  <c r="BI10" i="1"/>
  <c r="BG10" i="1"/>
  <c r="BF10" i="1"/>
  <c r="BE10" i="1"/>
  <c r="BD10" i="1"/>
  <c r="BC10" i="1"/>
  <c r="BB10" i="1"/>
  <c r="BA10" i="1"/>
  <c r="AZ10" i="1"/>
  <c r="AY10" i="1"/>
  <c r="AX10" i="1"/>
  <c r="AW10" i="1"/>
  <c r="AV10" i="1"/>
  <c r="AU10" i="1"/>
  <c r="AT10" i="1"/>
  <c r="AS10" i="1"/>
  <c r="AR10" i="1"/>
  <c r="AQ10" i="1"/>
  <c r="AP10" i="1"/>
  <c r="AO10" i="1"/>
  <c r="AN10" i="1"/>
  <c r="BS9" i="1"/>
  <c r="BR9" i="1"/>
  <c r="BQ9" i="1"/>
  <c r="BP9" i="1"/>
  <c r="BO9" i="1"/>
  <c r="BN9" i="1"/>
  <c r="BM9" i="1"/>
  <c r="BL9" i="1"/>
  <c r="BK9" i="1"/>
  <c r="BJ9" i="1"/>
  <c r="BI9" i="1"/>
  <c r="BG9" i="1"/>
  <c r="BF9" i="1"/>
  <c r="BE9" i="1"/>
  <c r="BD9" i="1"/>
  <c r="BC9" i="1"/>
  <c r="BB9" i="1"/>
  <c r="BA9" i="1"/>
  <c r="AZ9" i="1"/>
  <c r="AY9" i="1"/>
  <c r="AX9" i="1"/>
  <c r="AW9" i="1"/>
  <c r="AV9" i="1"/>
  <c r="AU9" i="1"/>
  <c r="AT9" i="1"/>
  <c r="AS9" i="1"/>
  <c r="AR9" i="1"/>
  <c r="AQ9" i="1"/>
  <c r="AP9" i="1"/>
  <c r="AO9" i="1"/>
  <c r="AN9" i="1"/>
  <c r="BS8" i="1"/>
  <c r="BR8" i="1"/>
  <c r="BQ8" i="1"/>
  <c r="BP8" i="1"/>
  <c r="BO8" i="1"/>
  <c r="BN8" i="1"/>
  <c r="BM8" i="1"/>
  <c r="BL8" i="1"/>
  <c r="BK8" i="1"/>
  <c r="BJ8" i="1"/>
  <c r="BI8" i="1"/>
  <c r="BG8" i="1"/>
  <c r="BF8" i="1"/>
  <c r="BE8" i="1"/>
  <c r="BD8" i="1"/>
  <c r="BC8" i="1"/>
  <c r="BB8" i="1"/>
  <c r="BA8" i="1"/>
  <c r="AZ8" i="1"/>
  <c r="AY8" i="1"/>
  <c r="AX8" i="1"/>
  <c r="AW8" i="1"/>
  <c r="AV8" i="1"/>
  <c r="AU8" i="1"/>
  <c r="AT8" i="1"/>
  <c r="AS8" i="1"/>
  <c r="AR8" i="1"/>
  <c r="AQ8" i="1"/>
  <c r="AP8" i="1"/>
  <c r="AO8" i="1"/>
  <c r="AN8" i="1"/>
  <c r="BS7" i="1"/>
  <c r="BR7" i="1"/>
  <c r="BQ7" i="1"/>
  <c r="BP7" i="1"/>
  <c r="BO7" i="1"/>
  <c r="BN7" i="1"/>
  <c r="BM7" i="1"/>
  <c r="BL7" i="1"/>
  <c r="BK7" i="1"/>
  <c r="BJ7" i="1"/>
  <c r="BI7" i="1"/>
  <c r="BG7" i="1"/>
  <c r="BF7" i="1"/>
  <c r="BE7" i="1"/>
  <c r="BD7" i="1"/>
  <c r="BC7" i="1"/>
  <c r="BB7" i="1"/>
  <c r="BA7" i="1"/>
  <c r="AZ7" i="1"/>
  <c r="AY7" i="1"/>
  <c r="AX7" i="1"/>
  <c r="AW7" i="1"/>
  <c r="AV7" i="1"/>
  <c r="AU7" i="1"/>
  <c r="AT7" i="1"/>
  <c r="AS7" i="1"/>
  <c r="AR7" i="1"/>
  <c r="AQ7" i="1"/>
  <c r="AP7" i="1"/>
  <c r="AO7" i="1"/>
  <c r="AN7" i="1"/>
  <c r="BS6" i="1"/>
  <c r="BR6" i="1"/>
  <c r="BQ6" i="1"/>
  <c r="BP6" i="1"/>
  <c r="BO6" i="1"/>
  <c r="BN6" i="1"/>
  <c r="BM6" i="1"/>
  <c r="BL6" i="1"/>
  <c r="BK6" i="1"/>
  <c r="BJ6" i="1"/>
  <c r="BI6" i="1"/>
  <c r="BH6" i="1"/>
  <c r="BG6" i="1"/>
  <c r="BF6" i="1"/>
  <c r="BE6" i="1"/>
  <c r="BD6" i="1"/>
  <c r="BC6" i="1"/>
  <c r="BB6" i="1"/>
  <c r="BA6" i="1"/>
  <c r="AZ6" i="1"/>
  <c r="AY6" i="1"/>
  <c r="AX6" i="1"/>
  <c r="AW6" i="1"/>
  <c r="AV6" i="1"/>
  <c r="AU6" i="1"/>
  <c r="AT6" i="1"/>
  <c r="AS6" i="1"/>
  <c r="AR6" i="1"/>
  <c r="AQ6" i="1"/>
  <c r="AP6" i="1"/>
  <c r="AO6" i="1"/>
  <c r="AN6" i="1"/>
  <c r="BS5" i="1"/>
  <c r="BR5" i="1"/>
  <c r="BQ5" i="1"/>
  <c r="BP5" i="1"/>
  <c r="BO5" i="1"/>
  <c r="BN5" i="1"/>
  <c r="BM5" i="1"/>
  <c r="BL5" i="1"/>
  <c r="BK5" i="1"/>
  <c r="BJ5" i="1"/>
  <c r="BI5" i="1"/>
  <c r="BH5" i="1"/>
  <c r="BG5" i="1"/>
  <c r="BF5" i="1"/>
  <c r="BE5" i="1"/>
  <c r="BD5" i="1"/>
  <c r="BC5" i="1"/>
  <c r="BB5" i="1"/>
  <c r="BA5" i="1"/>
  <c r="AZ5" i="1"/>
  <c r="AY5" i="1"/>
  <c r="AX5" i="1"/>
  <c r="AW5" i="1"/>
  <c r="AV5" i="1"/>
  <c r="AU5" i="1"/>
  <c r="AT5" i="1"/>
  <c r="AS5" i="1"/>
  <c r="AR5" i="1"/>
  <c r="AQ5" i="1"/>
  <c r="AP5" i="1"/>
  <c r="AO5" i="1"/>
  <c r="AN5" i="1"/>
  <c r="BS4" i="1"/>
  <c r="BR4" i="1"/>
  <c r="BQ4" i="1"/>
  <c r="BP4" i="1"/>
  <c r="BO4" i="1"/>
  <c r="BN4" i="1"/>
  <c r="BM4" i="1"/>
  <c r="BL4" i="1"/>
  <c r="BK4" i="1"/>
  <c r="BJ4" i="1"/>
  <c r="BI4" i="1"/>
  <c r="BH4" i="1"/>
  <c r="BG4" i="1"/>
  <c r="BF4" i="1"/>
  <c r="BE4" i="1"/>
  <c r="BD4" i="1"/>
  <c r="BC4" i="1"/>
  <c r="BB4" i="1"/>
  <c r="BA4" i="1"/>
  <c r="AZ4" i="1"/>
  <c r="AY4" i="1"/>
  <c r="AX4" i="1"/>
  <c r="AW4" i="1"/>
  <c r="AV4" i="1"/>
  <c r="AU4" i="1"/>
  <c r="AT4" i="1"/>
  <c r="AS4" i="1"/>
  <c r="AR4" i="1"/>
  <c r="AQ4" i="1"/>
  <c r="AP4" i="1"/>
  <c r="AO4" i="1"/>
  <c r="AN4" i="1"/>
  <c r="BS3" i="1"/>
  <c r="BR3" i="1"/>
  <c r="BQ3" i="1"/>
  <c r="BP3" i="1"/>
  <c r="BO3" i="1"/>
  <c r="BN3" i="1"/>
  <c r="BM3" i="1"/>
  <c r="BL3" i="1"/>
  <c r="BK3" i="1"/>
  <c r="BJ3" i="1"/>
  <c r="BI3" i="1"/>
  <c r="BG3" i="1"/>
  <c r="BF3" i="1"/>
  <c r="BE3" i="1"/>
  <c r="BD3" i="1"/>
  <c r="BC3" i="1"/>
  <c r="BB3" i="1"/>
  <c r="BA3" i="1"/>
  <c r="AZ3" i="1"/>
  <c r="AY3" i="1"/>
  <c r="AX3" i="1"/>
  <c r="AW3" i="1"/>
  <c r="AV3" i="1"/>
  <c r="AU3" i="1"/>
  <c r="AT3" i="1"/>
  <c r="AS3" i="1"/>
  <c r="AR3" i="1"/>
  <c r="AQ3" i="1"/>
  <c r="AP3" i="1"/>
  <c r="AO3" i="1"/>
  <c r="AN3" i="1"/>
  <c r="BS2" i="1"/>
  <c r="BR2" i="1"/>
  <c r="BQ2" i="1"/>
  <c r="BP2" i="1"/>
  <c r="BO2" i="1"/>
  <c r="BN2" i="1"/>
  <c r="BM2" i="1"/>
  <c r="BL2" i="1"/>
  <c r="BK2" i="1"/>
  <c r="BJ2" i="1"/>
  <c r="BI2" i="1"/>
  <c r="BG2" i="1"/>
  <c r="BF2" i="1"/>
  <c r="BE2" i="1"/>
  <c r="BD2" i="1"/>
  <c r="BC2" i="1"/>
  <c r="BB2" i="1"/>
  <c r="BA2" i="1"/>
  <c r="AZ2" i="1"/>
  <c r="AY2" i="1"/>
  <c r="AX2" i="1"/>
  <c r="AW2" i="1"/>
  <c r="AV2" i="1"/>
  <c r="AU2" i="1"/>
  <c r="AT2" i="1"/>
  <c r="AS2" i="1"/>
  <c r="AR2" i="1"/>
  <c r="AQ2" i="1"/>
  <c r="AP2" i="1"/>
  <c r="AO2" i="1"/>
  <c r="BH1" i="1"/>
  <c r="AN2" i="1"/>
  <c r="BX1" i="1"/>
  <c r="BW1" i="1"/>
  <c r="BV1" i="1"/>
  <c r="BU1" i="1"/>
  <c r="BS1" i="1"/>
  <c r="BR1" i="1"/>
  <c r="BQ1" i="1"/>
  <c r="BP1" i="1"/>
  <c r="BO1" i="1"/>
  <c r="BN1" i="1"/>
  <c r="BM1" i="1"/>
  <c r="BL1" i="1"/>
  <c r="BK1" i="1"/>
  <c r="BJ1" i="1"/>
  <c r="BI1" i="1"/>
  <c r="BG1" i="1"/>
  <c r="BF1" i="1"/>
  <c r="BE1" i="1"/>
  <c r="BD1" i="1"/>
  <c r="BC1" i="1"/>
  <c r="BB1" i="1"/>
  <c r="BA1" i="1"/>
  <c r="AZ1" i="1"/>
  <c r="AY1" i="1"/>
  <c r="AX1" i="1"/>
  <c r="AW1" i="1"/>
  <c r="AV1" i="1"/>
  <c r="AU1" i="1"/>
  <c r="AT1" i="1"/>
  <c r="AS1" i="1"/>
  <c r="AR1" i="1"/>
  <c r="AQ1" i="1"/>
  <c r="AP1" i="1"/>
  <c r="AO1" i="1"/>
  <c r="AN1" i="1"/>
  <c r="BH17" i="1" l="1"/>
  <c r="BH57" i="1"/>
  <c r="BH8" i="1"/>
  <c r="BH160" i="1"/>
  <c r="BH89" i="1"/>
  <c r="BH92" i="1"/>
  <c r="BH212" i="1"/>
  <c r="BH18" i="1"/>
  <c r="BH116" i="1"/>
  <c r="BH148" i="1"/>
  <c r="BH172" i="1"/>
  <c r="BH124" i="1"/>
  <c r="BH180" i="1"/>
  <c r="BH156" i="1"/>
  <c r="BH220" i="1"/>
  <c r="BH221" i="1"/>
  <c r="BH132" i="1"/>
  <c r="BH188" i="1"/>
  <c r="BH108" i="1"/>
  <c r="BH204" i="1"/>
  <c r="BH211" i="1"/>
  <c r="BH119" i="1"/>
  <c r="BH198" i="1"/>
  <c r="BH214" i="1"/>
  <c r="BH158" i="1"/>
  <c r="BH7" i="1"/>
  <c r="BH63" i="1"/>
  <c r="BH79" i="1"/>
  <c r="BH95" i="1"/>
  <c r="BH39" i="1"/>
  <c r="BH55" i="1"/>
  <c r="BH87" i="1"/>
  <c r="BH103" i="1"/>
  <c r="BH15" i="1"/>
  <c r="BH71" i="1"/>
  <c r="BH135" i="1"/>
  <c r="BH23" i="1"/>
  <c r="BH31" i="1"/>
  <c r="BH47" i="1"/>
  <c r="BH175" i="1"/>
  <c r="BH207" i="1"/>
  <c r="AH27" i="1"/>
  <c r="BT27" i="1" s="1"/>
  <c r="BH143" i="1"/>
  <c r="BH127" i="1"/>
  <c r="BH111" i="1"/>
  <c r="BH167" i="1"/>
  <c r="BH151" i="1"/>
  <c r="BH40" i="1"/>
  <c r="BH64" i="1"/>
  <c r="BH144" i="1"/>
  <c r="BH56" i="1"/>
  <c r="BH80" i="1"/>
  <c r="BH32" i="1"/>
  <c r="BH96" i="1"/>
  <c r="AH115" i="1"/>
  <c r="BT115" i="1" s="1"/>
  <c r="AH155" i="1"/>
  <c r="BT155" i="1" s="1"/>
  <c r="BH24" i="1"/>
  <c r="BH48" i="1"/>
  <c r="BH72" i="1"/>
  <c r="AH187" i="1"/>
  <c r="BT187" i="1" s="1"/>
  <c r="BH16" i="1"/>
  <c r="BH120" i="1"/>
  <c r="BH121" i="1"/>
  <c r="BH200" i="1"/>
  <c r="AH19" i="1"/>
  <c r="BT19" i="1" s="1"/>
  <c r="AH147" i="1"/>
  <c r="BT147" i="1" s="1"/>
  <c r="BH159" i="1"/>
  <c r="BH199" i="1"/>
  <c r="BH215" i="1"/>
  <c r="AH51" i="1"/>
  <c r="BT51" i="1" s="1"/>
  <c r="AH170" i="1"/>
  <c r="BT170" i="1" s="1"/>
  <c r="AH59" i="1"/>
  <c r="BT59" i="1" s="1"/>
  <c r="AH179" i="1"/>
  <c r="BT179" i="1" s="1"/>
  <c r="BH183" i="1"/>
  <c r="AH83" i="1"/>
  <c r="BT83" i="1" s="1"/>
  <c r="BH223" i="1"/>
  <c r="AH91" i="1"/>
  <c r="BT91" i="1" s="1"/>
  <c r="AH202" i="1"/>
  <c r="BT202" i="1" s="1"/>
  <c r="BH191" i="1"/>
  <c r="AH123" i="1"/>
  <c r="BT123" i="1" s="1"/>
  <c r="BH102" i="1"/>
  <c r="BH104" i="1"/>
  <c r="BH126" i="1"/>
  <c r="BH128" i="1"/>
  <c r="BH190" i="1"/>
  <c r="BH192" i="1"/>
  <c r="BH208" i="1"/>
  <c r="AH11" i="1"/>
  <c r="BT11" i="1" s="1"/>
  <c r="AH43" i="1"/>
  <c r="BT43" i="1" s="1"/>
  <c r="AH75" i="1"/>
  <c r="BT75" i="1" s="1"/>
  <c r="AH107" i="1"/>
  <c r="BT107" i="1" s="1"/>
  <c r="AH139" i="1"/>
  <c r="BT139" i="1" s="1"/>
  <c r="AH171" i="1"/>
  <c r="BT171" i="1" s="1"/>
  <c r="AH203" i="1"/>
  <c r="BT203" i="1" s="1"/>
  <c r="BH166" i="1"/>
  <c r="BH168" i="1"/>
  <c r="AH50" i="1"/>
  <c r="BT50" i="1" s="1"/>
  <c r="AH82" i="1"/>
  <c r="BT82" i="1" s="1"/>
  <c r="AH114" i="1"/>
  <c r="BT114" i="1" s="1"/>
  <c r="AH146" i="1"/>
  <c r="BT146" i="1" s="1"/>
  <c r="AH178" i="1"/>
  <c r="BT178" i="1" s="1"/>
  <c r="AH210" i="1"/>
  <c r="BT210" i="1" s="1"/>
  <c r="BH182" i="1"/>
  <c r="BH184" i="1"/>
  <c r="BH206" i="1"/>
  <c r="AH26" i="1"/>
  <c r="BT26" i="1" s="1"/>
  <c r="AH58" i="1"/>
  <c r="BT58" i="1" s="1"/>
  <c r="AH90" i="1"/>
  <c r="BT90" i="1" s="1"/>
  <c r="AH122" i="1"/>
  <c r="BT122" i="1" s="1"/>
  <c r="AH154" i="1"/>
  <c r="BT154" i="1" s="1"/>
  <c r="AH186" i="1"/>
  <c r="BT186" i="1" s="1"/>
  <c r="AH219" i="1"/>
  <c r="BT219" i="1" s="1"/>
  <c r="BH86" i="1"/>
  <c r="BH88" i="1"/>
  <c r="BH110" i="1"/>
  <c r="BH112" i="1"/>
  <c r="BH134" i="1"/>
  <c r="BH136" i="1"/>
  <c r="BH222" i="1"/>
  <c r="AH2" i="1"/>
  <c r="BT2" i="1" s="1"/>
  <c r="AH34" i="1"/>
  <c r="BT34" i="1" s="1"/>
  <c r="AH66" i="1"/>
  <c r="BT66" i="1" s="1"/>
  <c r="AH98" i="1"/>
  <c r="BT98" i="1" s="1"/>
  <c r="AH130" i="1"/>
  <c r="BT130" i="1" s="1"/>
  <c r="AH162" i="1"/>
  <c r="BT162" i="1" s="1"/>
  <c r="AH194" i="1"/>
  <c r="BT194" i="1" s="1"/>
  <c r="BH174" i="1"/>
  <c r="BH176" i="1"/>
  <c r="AH3" i="1"/>
  <c r="BT3" i="1" s="1"/>
  <c r="AH35" i="1"/>
  <c r="BT35" i="1" s="1"/>
  <c r="AH67" i="1"/>
  <c r="BT67" i="1" s="1"/>
  <c r="AH99" i="1"/>
  <c r="BT99" i="1" s="1"/>
  <c r="AH131" i="1"/>
  <c r="BT131" i="1" s="1"/>
  <c r="AH163" i="1"/>
  <c r="BT163" i="1" s="1"/>
  <c r="AH195" i="1"/>
  <c r="BT195" i="1" s="1"/>
  <c r="BH150" i="1"/>
  <c r="BH152" i="1"/>
  <c r="AH10" i="1"/>
  <c r="BT10" i="1" s="1"/>
  <c r="AH42" i="1"/>
  <c r="BT42" i="1" s="1"/>
  <c r="AH74" i="1"/>
  <c r="BT74" i="1" s="1"/>
  <c r="AH106" i="1"/>
  <c r="BT106" i="1" s="1"/>
  <c r="AH138" i="1"/>
  <c r="BT138" i="1" s="1"/>
  <c r="BH161" i="1"/>
  <c r="BH193" i="1"/>
  <c r="BH217" i="1"/>
  <c r="AH9" i="1"/>
  <c r="BT9" i="1" s="1"/>
  <c r="AH33" i="1"/>
  <c r="BT33" i="1" s="1"/>
  <c r="AH41" i="1"/>
  <c r="BT41" i="1" s="1"/>
  <c r="AH49" i="1"/>
  <c r="BT49" i="1" s="1"/>
  <c r="AH65" i="1"/>
  <c r="BT65" i="1" s="1"/>
  <c r="AH73" i="1"/>
  <c r="BT73" i="1" s="1"/>
  <c r="AH81" i="1"/>
  <c r="BT81" i="1" s="1"/>
  <c r="AH97" i="1"/>
  <c r="BT97" i="1" s="1"/>
  <c r="AH105" i="1"/>
  <c r="BT105" i="1" s="1"/>
  <c r="AH113" i="1"/>
  <c r="BT113" i="1" s="1"/>
  <c r="AH129" i="1"/>
  <c r="BT129" i="1" s="1"/>
  <c r="AH137" i="1"/>
  <c r="BT137" i="1" s="1"/>
  <c r="AH145" i="1"/>
  <c r="BT145" i="1" s="1"/>
  <c r="AH153" i="1"/>
  <c r="BT153" i="1" s="1"/>
  <c r="AH169" i="1"/>
  <c r="BT169" i="1" s="1"/>
  <c r="AH177" i="1"/>
  <c r="BT177" i="1" s="1"/>
  <c r="AH185" i="1"/>
  <c r="BT185" i="1" s="1"/>
  <c r="AH201" i="1"/>
  <c r="BT201" i="1" s="1"/>
  <c r="AH209" i="1"/>
  <c r="BT209" i="1" s="1"/>
  <c r="AH218" i="1"/>
  <c r="BT218" i="1" s="1"/>
  <c r="AH196" i="1"/>
  <c r="BT196" i="1" s="1"/>
  <c r="AH216" i="1"/>
  <c r="BT216" i="1" s="1"/>
  <c r="AH224" i="1"/>
  <c r="BT224" i="1" s="1"/>
  <c r="BF84" i="1"/>
  <c r="V84" i="1"/>
  <c r="AH84" i="1" s="1"/>
  <c r="BT84" i="1" s="1"/>
  <c r="BH84" i="1" l="1"/>
</calcChain>
</file>

<file path=xl/sharedStrings.xml><?xml version="1.0" encoding="utf-8"?>
<sst xmlns="http://schemas.openxmlformats.org/spreadsheetml/2006/main" count="3084" uniqueCount="319">
  <si>
    <t>Death duties/Inheritance tax</t>
  </si>
  <si>
    <t>Business rates</t>
  </si>
  <si>
    <t>Energy profits levy</t>
  </si>
  <si>
    <t>Land and Assessed Taxes</t>
  </si>
  <si>
    <t>Stamp duties</t>
  </si>
  <si>
    <t>License fee receipts</t>
  </si>
  <si>
    <t>Council Tax (community charge and domestic rates prior to 1993)</t>
  </si>
  <si>
    <t>National Accounts Taxes</t>
  </si>
  <si>
    <t>1800-01</t>
  </si>
  <si>
    <t>1801-02</t>
  </si>
  <si>
    <t>1802-03</t>
  </si>
  <si>
    <t>1803-04</t>
  </si>
  <si>
    <t>1804-05</t>
  </si>
  <si>
    <t>1805-06</t>
  </si>
  <si>
    <t>1806-07</t>
  </si>
  <si>
    <t>1807-08</t>
  </si>
  <si>
    <t>1808-09</t>
  </si>
  <si>
    <t>1809-10</t>
  </si>
  <si>
    <t>1810-11</t>
  </si>
  <si>
    <t>1811-12</t>
  </si>
  <si>
    <t>1812-13</t>
  </si>
  <si>
    <t>1813-14</t>
  </si>
  <si>
    <t>1814-15</t>
  </si>
  <si>
    <t>1815-16</t>
  </si>
  <si>
    <t>1816-17</t>
  </si>
  <si>
    <t>1817-18</t>
  </si>
  <si>
    <t>1818-19</t>
  </si>
  <si>
    <t>1819-20</t>
  </si>
  <si>
    <t>1820-21</t>
  </si>
  <si>
    <t>1821-22</t>
  </si>
  <si>
    <t>1822-23</t>
  </si>
  <si>
    <t>1823-24</t>
  </si>
  <si>
    <t>1824-25</t>
  </si>
  <si>
    <t>1825-26</t>
  </si>
  <si>
    <t>1826-27</t>
  </si>
  <si>
    <t>1827-28</t>
  </si>
  <si>
    <t>1828-29</t>
  </si>
  <si>
    <t>1829-30</t>
  </si>
  <si>
    <t>1830-31</t>
  </si>
  <si>
    <t>1831-32</t>
  </si>
  <si>
    <t>1832-33</t>
  </si>
  <si>
    <t>1833-34</t>
  </si>
  <si>
    <t>1834-35</t>
  </si>
  <si>
    <t>1835-36</t>
  </si>
  <si>
    <t>1836-37</t>
  </si>
  <si>
    <t>1837-38</t>
  </si>
  <si>
    <t>1838-39</t>
  </si>
  <si>
    <t>1839-40</t>
  </si>
  <si>
    <t>1840-41</t>
  </si>
  <si>
    <t>1841-42</t>
  </si>
  <si>
    <t>1842-43</t>
  </si>
  <si>
    <t>1843-44</t>
  </si>
  <si>
    <t>1844-45</t>
  </si>
  <si>
    <t>1845-46</t>
  </si>
  <si>
    <t>1846-47</t>
  </si>
  <si>
    <t>1847-48</t>
  </si>
  <si>
    <t>1848-49</t>
  </si>
  <si>
    <t>1849-50</t>
  </si>
  <si>
    <t>1850-51</t>
  </si>
  <si>
    <t>1851-52</t>
  </si>
  <si>
    <t>1852-53</t>
  </si>
  <si>
    <t>1853-54</t>
  </si>
  <si>
    <t>1854-55</t>
  </si>
  <si>
    <t>1855-56</t>
  </si>
  <si>
    <t>1856-57</t>
  </si>
  <si>
    <t>1857-58</t>
  </si>
  <si>
    <t>1858-59</t>
  </si>
  <si>
    <t>1859-60</t>
  </si>
  <si>
    <t>1860-61</t>
  </si>
  <si>
    <t>1861-62</t>
  </si>
  <si>
    <t>1862-63</t>
  </si>
  <si>
    <t>1863-64</t>
  </si>
  <si>
    <t>1864-65</t>
  </si>
  <si>
    <t>1865-66</t>
  </si>
  <si>
    <t>1866-67</t>
  </si>
  <si>
    <t>1867-68</t>
  </si>
  <si>
    <t>1868-69</t>
  </si>
  <si>
    <t>1869-70</t>
  </si>
  <si>
    <t>1870-71</t>
  </si>
  <si>
    <t>1871-72</t>
  </si>
  <si>
    <t>1872-73</t>
  </si>
  <si>
    <t>1873-74</t>
  </si>
  <si>
    <t>1874-75</t>
  </si>
  <si>
    <t>1875-76</t>
  </si>
  <si>
    <t>1876-77</t>
  </si>
  <si>
    <t>1877-78</t>
  </si>
  <si>
    <t>1878-79</t>
  </si>
  <si>
    <t>1879-80</t>
  </si>
  <si>
    <t>1880-81</t>
  </si>
  <si>
    <t>1881-82</t>
  </si>
  <si>
    <t>1882-83</t>
  </si>
  <si>
    <t>1883-84</t>
  </si>
  <si>
    <t>1884-85</t>
  </si>
  <si>
    <t>1885-86</t>
  </si>
  <si>
    <t>1886-87</t>
  </si>
  <si>
    <t>1887-88</t>
  </si>
  <si>
    <t>1888-89</t>
  </si>
  <si>
    <t>1889-90</t>
  </si>
  <si>
    <t>1890-91</t>
  </si>
  <si>
    <t>1891-92</t>
  </si>
  <si>
    <t>1892-93</t>
  </si>
  <si>
    <t>1893-94</t>
  </si>
  <si>
    <t>1894-95</t>
  </si>
  <si>
    <t>1895-96</t>
  </si>
  <si>
    <t>1896-97</t>
  </si>
  <si>
    <t>1897-98</t>
  </si>
  <si>
    <t>1898-99</t>
  </si>
  <si>
    <t>1899-00</t>
  </si>
  <si>
    <t>1900-01</t>
  </si>
  <si>
    <t>1901-02</t>
  </si>
  <si>
    <t>1902-03</t>
  </si>
  <si>
    <t>1903-04</t>
  </si>
  <si>
    <t>1904-05</t>
  </si>
  <si>
    <t>1905-06</t>
  </si>
  <si>
    <t>1906-07</t>
  </si>
  <si>
    <t>1907-08</t>
  </si>
  <si>
    <t>1908-09</t>
  </si>
  <si>
    <t>1909-10</t>
  </si>
  <si>
    <t>1910-11</t>
  </si>
  <si>
    <t>1911-12</t>
  </si>
  <si>
    <t>1912-13</t>
  </si>
  <si>
    <t>1913-14</t>
  </si>
  <si>
    <t>1914-15</t>
  </si>
  <si>
    <t>1915-16</t>
  </si>
  <si>
    <t>1916-17</t>
  </si>
  <si>
    <t>1917-18</t>
  </si>
  <si>
    <t>1918-19</t>
  </si>
  <si>
    <t>1919-20</t>
  </si>
  <si>
    <t>1920-21</t>
  </si>
  <si>
    <t>1921-22</t>
  </si>
  <si>
    <t>1922-23</t>
  </si>
  <si>
    <t>1923-24</t>
  </si>
  <si>
    <t>1924-25</t>
  </si>
  <si>
    <t>1925-26</t>
  </si>
  <si>
    <t>1926-27</t>
  </si>
  <si>
    <t>1927-28</t>
  </si>
  <si>
    <t>1928-29</t>
  </si>
  <si>
    <t>1929-30</t>
  </si>
  <si>
    <t>1930-31</t>
  </si>
  <si>
    <t>1931-32</t>
  </si>
  <si>
    <t>1932-33</t>
  </si>
  <si>
    <t>1933-34</t>
  </si>
  <si>
    <t>1934-35</t>
  </si>
  <si>
    <t>1935-36</t>
  </si>
  <si>
    <t>1936-37</t>
  </si>
  <si>
    <t>1937-38</t>
  </si>
  <si>
    <t>1938-39</t>
  </si>
  <si>
    <t>1939-40</t>
  </si>
  <si>
    <t>1940-41</t>
  </si>
  <si>
    <t>1941-42</t>
  </si>
  <si>
    <t>1942-43</t>
  </si>
  <si>
    <t>1943-44</t>
  </si>
  <si>
    <t>1944-45</t>
  </si>
  <si>
    <t>1945-46</t>
  </si>
  <si>
    <t>1946-47</t>
  </si>
  <si>
    <t>1947-48</t>
  </si>
  <si>
    <t>1948-49</t>
  </si>
  <si>
    <t>1949-50</t>
  </si>
  <si>
    <t>1950-51</t>
  </si>
  <si>
    <t>1951-52</t>
  </si>
  <si>
    <t>1952-53</t>
  </si>
  <si>
    <t>1953-54</t>
  </si>
  <si>
    <t>1954-55</t>
  </si>
  <si>
    <t>1955-56</t>
  </si>
  <si>
    <t>1956-57</t>
  </si>
  <si>
    <t>1957-58</t>
  </si>
  <si>
    <t>1958-59</t>
  </si>
  <si>
    <t>1959-60</t>
  </si>
  <si>
    <t>1960-61</t>
  </si>
  <si>
    <t>1961-62</t>
  </si>
  <si>
    <t>1962-63</t>
  </si>
  <si>
    <t>1963-64</t>
  </si>
  <si>
    <t>1964-65</t>
  </si>
  <si>
    <t>1965-66</t>
  </si>
  <si>
    <t>1966-67</t>
  </si>
  <si>
    <t>1967-68</t>
  </si>
  <si>
    <t>1968-69</t>
  </si>
  <si>
    <t>1969-70</t>
  </si>
  <si>
    <t>1970-71</t>
  </si>
  <si>
    <t>1971-72</t>
  </si>
  <si>
    <t>1972-73</t>
  </si>
  <si>
    <t>1973-74</t>
  </si>
  <si>
    <t>1974-75</t>
  </si>
  <si>
    <t>1975-76</t>
  </si>
  <si>
    <t>1976-77</t>
  </si>
  <si>
    <t>1977-78</t>
  </si>
  <si>
    <t>1978-79</t>
  </si>
  <si>
    <t>1979-80</t>
  </si>
  <si>
    <t>1980-81</t>
  </si>
  <si>
    <t>1981-82</t>
  </si>
  <si>
    <t>1982-83</t>
  </si>
  <si>
    <t>1983-84</t>
  </si>
  <si>
    <t>1984-85</t>
  </si>
  <si>
    <t>1985-86</t>
  </si>
  <si>
    <t>1986-87</t>
  </si>
  <si>
    <t>1987-88</t>
  </si>
  <si>
    <t>1988-89</t>
  </si>
  <si>
    <t>1989-90</t>
  </si>
  <si>
    <t>1990-91</t>
  </si>
  <si>
    <t>1991-92</t>
  </si>
  <si>
    <t>1992-93</t>
  </si>
  <si>
    <t>1993-94</t>
  </si>
  <si>
    <t>1994-95</t>
  </si>
  <si>
    <t>1995-96</t>
  </si>
  <si>
    <t>1996-97</t>
  </si>
  <si>
    <t>1997-98</t>
  </si>
  <si>
    <t>1998-99</t>
  </si>
  <si>
    <t>1999-00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</si>
  <si>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</si>
  <si>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</si>
  <si>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</si>
  <si>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</si>
  <si>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</si>
  <si>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</si>
  <si>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</si>
  <si>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</si>
  <si>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</si>
  <si>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</si>
  <si>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</si>
  <si>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</si>
  <si>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</si>
  <si>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</si>
  <si>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</si>
  <si>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</si>
  <si>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</si>
  <si>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</si>
  <si>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</si>
  <si>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</si>
  <si>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</si>
  <si>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</si>
  <si>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</si>
  <si>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o/w pensioners</t>
  </si>
  <si>
    <t>o/w non-pensioners</t>
  </si>
  <si>
    <t>Year</t>
  </si>
  <si>
    <t>RPI - Index 1974=100</t>
  </si>
  <si>
    <t>Income tax</t>
  </si>
  <si>
    <t>National Insurance Contributions</t>
  </si>
  <si>
    <t>Capital Gains Tax</t>
  </si>
  <si>
    <t>Corporation tax (profits taxes prior to 1966-67)</t>
  </si>
  <si>
    <t>Petroleum Revenue tax (includes supplementary petroleum duty)</t>
  </si>
  <si>
    <t>Petroleum royalties</t>
  </si>
  <si>
    <t>Gas Levy</t>
  </si>
  <si>
    <t>Other business taxes</t>
  </si>
  <si>
    <t>VAT (Purchase tax prior to 1973)</t>
  </si>
  <si>
    <t>Custom and excise duties</t>
  </si>
  <si>
    <t>Other Central Government Receipts</t>
  </si>
  <si>
    <t>Other public sector taxes and receipts</t>
  </si>
  <si>
    <t>Total Central Government spending</t>
  </si>
  <si>
    <t>Current spending</t>
  </si>
  <si>
    <t>Public sector gross investment</t>
  </si>
  <si>
    <t>Defence</t>
  </si>
  <si>
    <t>Health</t>
  </si>
  <si>
    <t>Social Security</t>
  </si>
  <si>
    <t>Education</t>
  </si>
  <si>
    <t>Debt Interest</t>
  </si>
  <si>
    <t>Other Public Sector Spending</t>
  </si>
  <si>
    <t>Public sector net borrowing
(PSNB)</t>
  </si>
  <si>
    <t>Public sector net debt (PSND)</t>
  </si>
  <si>
    <t>Nominal GDP (£m)</t>
  </si>
  <si>
    <t>Nominal GDP (March-centred, £m)</t>
  </si>
  <si>
    <t>Total Govt Recipts</t>
  </si>
  <si>
    <t>Deficit/surplus</t>
  </si>
  <si>
    <t>party In power</t>
  </si>
  <si>
    <t>Over 18 Years Old</t>
  </si>
  <si>
    <t>Over 21 Years Old</t>
  </si>
  <si>
    <t>Women voters</t>
  </si>
  <si>
    <t>No</t>
  </si>
  <si>
    <t>Yes</t>
  </si>
  <si>
    <t>Tory</t>
  </si>
  <si>
    <t>Whig</t>
  </si>
  <si>
    <t>Conservative</t>
  </si>
  <si>
    <t>Liberal</t>
  </si>
  <si>
    <t>Conservative and Liberal Unionists</t>
  </si>
  <si>
    <t>Labour</t>
  </si>
  <si>
    <t>National Labour</t>
  </si>
  <si>
    <t>Conservative and Lib Dem</t>
  </si>
  <si>
    <t>Males only</t>
  </si>
  <si>
    <t>Vote per Property (Multiple Votes)</t>
  </si>
  <si>
    <t>Property Ownership Required to vote</t>
  </si>
  <si>
    <t>Renting property enables vote</t>
  </si>
  <si>
    <t>secret ballot</t>
  </si>
  <si>
    <t xml:space="preserve">United rules for voting </t>
  </si>
  <si>
    <t>Est % of adult population with vote</t>
  </si>
  <si>
    <t>Est % of men with vote</t>
  </si>
  <si>
    <t>Property Value limitation</t>
  </si>
  <si>
    <t>N/a</t>
  </si>
  <si>
    <t>Women Over 30 with property</t>
  </si>
  <si>
    <t>Est % of Women With Vote</t>
  </si>
  <si>
    <t>Row Labels</t>
  </si>
  <si>
    <t>Grand Total</t>
  </si>
  <si>
    <t>Count of Year</t>
  </si>
  <si>
    <t>Column Labels</t>
  </si>
  <si>
    <t>Deficit</t>
  </si>
  <si>
    <t>Surplus</t>
  </si>
  <si>
    <t>Total Count of Year</t>
  </si>
  <si>
    <t>Total Sum of based to 1974 Deficit/surplus</t>
  </si>
  <si>
    <t>Sum of based to 1974 Deficit/surplus</t>
  </si>
  <si>
    <t>based to 1974 Deficit/surplus</t>
  </si>
  <si>
    <t>(All)</t>
  </si>
  <si>
    <t>Total Sum of based to 1974 Debt Interest</t>
  </si>
  <si>
    <t>Sum of based to 1974 Debt Interest</t>
  </si>
  <si>
    <t>(Multiple Items)</t>
  </si>
  <si>
    <t>Conflicts</t>
  </si>
  <si>
    <t>Y</t>
  </si>
  <si>
    <t>East India Conflicts</t>
  </si>
  <si>
    <t>Electorate</t>
  </si>
  <si>
    <t>Banking sector Bailouts</t>
  </si>
  <si>
    <t>BT Privatised</t>
  </si>
  <si>
    <t>British Gas Privatised</t>
  </si>
  <si>
    <t>Regional Electic Companies Privatised</t>
  </si>
  <si>
    <t>National Air Traffic Service Partially Privatised</t>
  </si>
  <si>
    <t>British Nuclear Fuels Partially Privatised</t>
  </si>
  <si>
    <t>Royal Mail Privatised</t>
  </si>
  <si>
    <t>Rolls Royce and British Airways privatised</t>
  </si>
  <si>
    <t>British Aerospace privatised</t>
  </si>
  <si>
    <t>Regional Water Companies Privatised, British Steel Privatised</t>
  </si>
  <si>
    <t>British Rail Privatised, British Coal Privatised</t>
  </si>
  <si>
    <t>world war 2</t>
  </si>
  <si>
    <t>World war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</si>
</sst>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libri"/>
      <family val="2"/>
    </font>
    <font>
      <sz val="10"/>
      <color indexed="8"/>
      <name val="Calibri"/>
      <family val="2"/>
    </font>
    <font>
      <u/>
      <sz val="10"/>
      <color theme="10"/>
      <name val="Arial"/>
      <family val="2"/>
    </font>
    <font>
      <sz val="10"/>
      <color rgb="FFFF0000"/>
      <name val="Calibri"/>
      <family val="2"/>
    </font>
    <font>
      <b/>
      <sz val="10"/>
      <name val="Calibri"/>
      <family val="2"/>
    </font>
    <font>
      <i/>
      <sz val="10"/>
      <name val="Calibri"/>
      <family val="2"/>
    </font>
    <font>
      <sz val="10"/>
      <color theme="1"/>
      <name val="Calibri"/>
      <family val="2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5C7D4"/>
        <bgColor indexed="64"/>
      </patternFill>
    </fill>
    <fill>
      <patternFill patternType="solid">
        <fgColor theme="5"/>
        <bgColor indexed="64"/>
      </patternFill>
    </fill>
  </fills>
  <borders count="11">
    <border>
      <left/>
      <right/>
      <top/>
      <bottom/>
      <diagonal/>
    </border>
    <border>
      <left style="medium">
        <color theme="8"/>
      </left>
      <right style="thin">
        <color indexed="45"/>
      </right>
      <top/>
      <bottom/>
      <diagonal/>
    </border>
    <border>
      <left style="medium">
        <color theme="8"/>
      </left>
      <right/>
      <top/>
      <bottom/>
      <diagonal/>
    </border>
    <border>
      <left/>
      <right/>
      <top/>
      <bottom style="medium">
        <color theme="8"/>
      </bottom>
      <diagonal/>
    </border>
    <border>
      <left/>
      <right style="thick">
        <color theme="0"/>
      </right>
      <top/>
      <bottom/>
      <diagonal/>
    </border>
    <border>
      <left/>
      <right style="medium">
        <color theme="8"/>
      </right>
      <top/>
      <bottom/>
      <diagonal/>
    </border>
    <border>
      <left style="medium">
        <color theme="8"/>
      </left>
      <right/>
      <top/>
      <bottom style="medium">
        <color theme="8"/>
      </bottom>
      <diagonal/>
    </border>
    <border>
      <left/>
      <right style="medium">
        <color theme="8"/>
      </right>
      <top/>
      <bottom style="medium">
        <color theme="8"/>
      </bottom>
      <diagonal/>
    </border>
    <border>
      <left/>
      <right style="thin">
        <color theme="8"/>
      </right>
      <top/>
      <bottom/>
      <diagonal/>
    </border>
    <border>
      <left style="thin">
        <color theme="8"/>
      </left>
      <right style="thin">
        <color theme="8"/>
      </right>
      <top/>
      <bottom/>
      <diagonal/>
    </border>
    <border>
      <left style="thin">
        <color theme="8"/>
      </left>
      <right/>
      <top/>
      <bottom/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5" fillId="0" borderId="0" applyNumberFormat="0" applyFill="0" applyBorder="0" applyAlignment="0" applyProtection="0"/>
    <xf numFmtId="0" fontId="10" fillId="0" borderId="0"/>
  </cellStyleXfs>
  <cellXfs count="42">
    <xf numFmtId="0" fontId="0" fillId="0" borderId="0" xfId="0"/>
    <xf numFmtId="164" fontId="3" fillId="3" borderId="2" xfId="2" applyNumberFormat="1" applyFont="1" applyFill="1" applyBorder="1" applyAlignment="1">
      <alignment horizontal="left" wrapText="1"/>
    </xf>
    <xf numFmtId="2" fontId="3" fillId="2" borderId="1" xfId="3" applyNumberFormat="1" applyFont="1" applyFill="1" applyBorder="1" applyAlignment="1">
      <alignment horizontal="right" vertical="center"/>
    </xf>
    <xf numFmtId="43" fontId="3" fillId="3" borderId="0" xfId="1" quotePrefix="1" applyFont="1" applyFill="1" applyAlignment="1">
      <alignment horizontal="center" wrapText="1"/>
    </xf>
    <xf numFmtId="43" fontId="3" fillId="3" borderId="8" xfId="1" applyFont="1" applyFill="1" applyBorder="1" applyAlignment="1">
      <alignment horizontal="center" wrapText="1"/>
    </xf>
    <xf numFmtId="43" fontId="3" fillId="3" borderId="0" xfId="1" applyFont="1" applyFill="1" applyAlignment="1">
      <alignment horizontal="center" wrapText="1"/>
    </xf>
    <xf numFmtId="43" fontId="3" fillId="3" borderId="8" xfId="1" quotePrefix="1" applyFont="1" applyFill="1" applyBorder="1" applyAlignment="1">
      <alignment horizontal="center" wrapText="1"/>
    </xf>
    <xf numFmtId="43" fontId="3" fillId="3" borderId="10" xfId="1" applyFont="1" applyFill="1" applyBorder="1" applyAlignment="1">
      <alignment horizontal="center" wrapText="1"/>
    </xf>
    <xf numFmtId="43" fontId="7" fillId="3" borderId="8" xfId="1" applyFont="1" applyFill="1" applyBorder="1" applyAlignment="1">
      <alignment horizontal="center" wrapText="1"/>
    </xf>
    <xf numFmtId="43" fontId="7" fillId="3" borderId="9" xfId="1" quotePrefix="1" applyFont="1" applyFill="1" applyBorder="1" applyAlignment="1">
      <alignment horizontal="center" vertical="center" wrapText="1"/>
    </xf>
    <xf numFmtId="43" fontId="3" fillId="3" borderId="10" xfId="1" quotePrefix="1" applyFont="1" applyFill="1" applyBorder="1" applyAlignment="1">
      <alignment horizontal="center" vertical="center" wrapText="1"/>
    </xf>
    <xf numFmtId="43" fontId="3" fillId="3" borderId="8" xfId="1" quotePrefix="1" applyFont="1" applyFill="1" applyBorder="1" applyAlignment="1">
      <alignment horizontal="center" vertical="center" wrapText="1"/>
    </xf>
    <xf numFmtId="43" fontId="3" fillId="3" borderId="0" xfId="1" quotePrefix="1" applyFont="1" applyFill="1" applyAlignment="1">
      <alignment horizontal="center" vertical="center" wrapText="1"/>
    </xf>
    <xf numFmtId="43" fontId="8" fillId="3" borderId="0" xfId="1" quotePrefix="1" applyFont="1" applyFill="1" applyAlignment="1">
      <alignment horizontal="center" vertical="center" wrapText="1"/>
    </xf>
    <xf numFmtId="43" fontId="3" fillId="3" borderId="5" xfId="1" quotePrefix="1" applyFont="1" applyFill="1" applyBorder="1" applyAlignment="1">
      <alignment horizontal="center" vertical="center" wrapText="1"/>
    </xf>
    <xf numFmtId="43" fontId="9" fillId="4" borderId="0" xfId="1" quotePrefix="1" applyFont="1" applyFill="1" applyAlignment="1">
      <alignment horizontal="center" vertical="center" wrapText="1"/>
    </xf>
    <xf numFmtId="43" fontId="10" fillId="0" borderId="0" xfId="1" applyFont="1"/>
    <xf numFmtId="43" fontId="4" fillId="2" borderId="0" xfId="1" applyFont="1" applyFill="1" applyAlignment="1">
      <alignment horizontal="center" vertical="center" wrapText="1"/>
    </xf>
    <xf numFmtId="43" fontId="9" fillId="2" borderId="2" xfId="1" applyFont="1" applyFill="1" applyBorder="1" applyAlignment="1">
      <alignment horizontal="center"/>
    </xf>
    <xf numFmtId="43" fontId="9" fillId="2" borderId="0" xfId="1" applyFont="1" applyFill="1" applyAlignment="1">
      <alignment horizontal="center"/>
    </xf>
    <xf numFmtId="43" fontId="9" fillId="2" borderId="0" xfId="1" applyFont="1" applyFill="1" applyAlignment="1">
      <alignment horizontal="center" vertical="center"/>
    </xf>
    <xf numFmtId="43" fontId="9" fillId="2" borderId="4" xfId="1" applyFont="1" applyFill="1" applyBorder="1" applyAlignment="1">
      <alignment horizontal="center" vertical="center"/>
    </xf>
    <xf numFmtId="43" fontId="9" fillId="2" borderId="0" xfId="1" applyFont="1" applyFill="1"/>
    <xf numFmtId="43" fontId="0" fillId="0" borderId="0" xfId="1" applyFont="1"/>
    <xf numFmtId="43" fontId="9" fillId="2" borderId="5" xfId="1" applyFont="1" applyFill="1" applyBorder="1" applyAlignment="1">
      <alignment horizontal="center"/>
    </xf>
    <xf numFmtId="43" fontId="9" fillId="2" borderId="6" xfId="1" applyFont="1" applyFill="1" applyBorder="1" applyAlignment="1">
      <alignment horizontal="center"/>
    </xf>
    <xf numFmtId="43" fontId="9" fillId="2" borderId="3" xfId="1" applyFont="1" applyFill="1" applyBorder="1" applyAlignment="1">
      <alignment horizontal="center"/>
    </xf>
    <xf numFmtId="43" fontId="9" fillId="2" borderId="7" xfId="1" applyFont="1" applyFill="1" applyBorder="1" applyAlignment="1">
      <alignment horizontal="center"/>
    </xf>
    <xf numFmtId="43" fontId="6" fillId="0" borderId="0" xfId="1" applyFont="1" applyAlignment="1">
      <alignment horizontal="right" vertical="center"/>
    </xf>
    <xf numFmtId="43" fontId="6" fillId="0" borderId="0" xfId="1" applyFont="1"/>
    <xf numFmtId="43" fontId="6" fillId="0" borderId="0" xfId="1" applyFont="1" applyAlignment="1">
      <alignment horizontal="center" vertical="center"/>
    </xf>
    <xf numFmtId="43" fontId="6" fillId="0" borderId="0" xfId="1" applyFont="1" applyAlignment="1">
      <alignment vertical="center"/>
    </xf>
    <xf numFmtId="43" fontId="3" fillId="0" borderId="0" xfId="1" applyFont="1" applyAlignment="1">
      <alignment vertical="center"/>
    </xf>
    <xf numFmtId="43" fontId="4" fillId="0" borderId="0" xfId="1" applyFont="1"/>
    <xf numFmtId="43" fontId="9" fillId="0" borderId="0" xfId="1" applyFont="1"/>
    <xf numFmtId="43" fontId="3" fillId="3" borderId="0" xfId="1" quotePrefix="1" applyFont="1" applyFill="1" applyBorder="1" applyAlignment="1">
      <alignment horizontal="center" vertical="center" wrapText="1"/>
    </xf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3" fontId="0" fillId="0" borderId="0" xfId="0" applyNumberFormat="1"/>
    <xf numFmtId="10" fontId="0" fillId="0" borderId="0" xfId="0" applyNumberFormat="1"/>
    <xf numFmtId="0" fontId="0" fillId="0" borderId="0" xfId="0" quotePrefix="1" applyAlignment="1">
      <alignment horizontal="left"/>
    </xf>
  </cellXfs>
  <cellStyles count="7">
    <cellStyle name="% 3" xfId="2" xr:uid="{052F619C-014E-4819-B8CA-CBE53208B270}"/>
    <cellStyle name="Comma" xfId="1" builtinId="3"/>
    <cellStyle name="Hyperlink 2" xfId="5" xr:uid="{F7FC92D2-E6B9-42C1-B813-2F26BDF98A3E}"/>
    <cellStyle name="Normal" xfId="0" builtinId="0"/>
    <cellStyle name="Normal 2" xfId="4" xr:uid="{6322527E-1137-4D56-8921-B52B1F5F6133}"/>
    <cellStyle name="Normal 3" xfId="6" xr:uid="{440B5C4B-9BF6-4501-B2FA-2FFDB9653D31}"/>
    <cellStyle name="Normal_Fiscal Tables 2" xfId="3" xr:uid="{092A0A76-CF76-4DDA-853C-CB2A8D2F8B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ul Golder" refreshedDate="45980.785346643519" createdVersion="8" refreshedVersion="8" minRefreshableVersion="3" recordCount="223" xr:uid="{6A65725F-C9F0-43FD-8026-3AF84C6E41A1}">
  <cacheSource type="worksheet">
    <worksheetSource ref="A1:CO224" sheet="PublicFinances1800-2023"/>
  </cacheSource>
  <cacheFields count="92">
    <cacheField name="Year" numFmtId="2">
      <sharedItems count="223">
        <s v="1800-01"/>
        <s v="1801-02"/>
        <s v="1802-03"/>
        <s v="1803-04"/>
        <s v="1804-05"/>
        <s v="1805-06"/>
        <s v="1806-07"/>
        <s v="1807-08"/>
        <s v="1808-09"/>
        <s v="1809-10"/>
        <s v="1810-11"/>
        <s v="1811-12"/>
        <s v="1812-13"/>
        <s v="1813-14"/>
        <s v="1814-15"/>
        <s v="1815-16"/>
        <s v="1816-17"/>
        <s v="1817-18"/>
        <s v="1818-19"/>
        <s v="1819-20"/>
        <s v="1820-21"/>
        <s v="1821-22"/>
        <s v="1822-23"/>
        <s v="1823-24"/>
        <s v="1824-25"/>
        <s v="1825-26"/>
        <s v="1826-27"/>
        <s v="1827-28"/>
        <s v="1828-29"/>
        <s v="1829-30"/>
        <s v="1830-31"/>
        <s v="1831-32"/>
        <s v="1832-33"/>
        <s v="1833-34"/>
        <s v="1834-35"/>
        <s v="1835-36"/>
        <s v="1836-37"/>
        <s v="1837-38"/>
        <s v="1838-39"/>
        <s v="1839-40"/>
        <s v="1840-41"/>
        <s v="1841-42"/>
        <s v="1842-43"/>
        <s v="1843-44"/>
        <s v="1844-45"/>
        <s v="1845-46"/>
        <s v="1846-47"/>
        <s v="1847-48"/>
        <s v="1848-49"/>
        <s v="1849-50"/>
        <s v="1850-51"/>
        <s v="1851-52"/>
        <s v="1852-53"/>
        <s v="1853-54"/>
        <s v="1854-55"/>
        <s v="1855-56"/>
        <s v="1856-57"/>
        <s v="1857-58"/>
        <s v="1858-59"/>
        <s v="1859-60"/>
        <s v="1860-61"/>
        <s v="1861-62"/>
        <s v="1862-63"/>
        <s v="1863-64"/>
        <s v="1864-65"/>
        <s v="1865-66"/>
        <s v="1866-67"/>
        <s v="1867-68"/>
        <s v="1868-69"/>
        <s v="1869-70"/>
        <s v="1870-71"/>
        <s v="1871-72"/>
        <s v="1872-73"/>
        <s v="1873-74"/>
        <s v="1874-75"/>
        <s v="1875-76"/>
        <s v="1876-77"/>
        <s v="1877-78"/>
        <s v="1878-79"/>
        <s v="1879-80"/>
        <s v="1880-81"/>
        <s v="1881-82"/>
        <s v="1882-83"/>
        <s v="1883-84"/>
        <s v="1884-85"/>
        <s v="1885-86"/>
        <s v="1886-87"/>
        <s v="1887-88"/>
        <s v="1888-89"/>
        <s v="1889-90"/>
        <s v="1890-91"/>
        <s v="1891-92"/>
        <s v="1892-93"/>
        <s v="1893-94"/>
        <s v="1894-95"/>
        <s v="1895-96"/>
        <s v="1896-97"/>
        <s v="1897-98"/>
        <s v="1898-99"/>
        <s v="1899-00"/>
        <s v="1900-01"/>
        <s v="1901-02"/>
        <s v="1902-03"/>
        <s v="1903-04"/>
        <s v="1904-05"/>
        <s v="1905-06"/>
        <s v="1906-07"/>
        <s v="1907-08"/>
        <s v="1908-09"/>
        <s v="1909-10"/>
        <s v="1910-11"/>
        <s v="1911-12"/>
        <s v="1912-13"/>
        <s v="1913-14"/>
        <s v="1914-15"/>
        <s v="1915-16"/>
        <s v="1916-17"/>
        <s v="1917-18"/>
        <s v="1918-19"/>
        <s v="1919-20"/>
        <s v="1920-21"/>
        <s v="1921-22"/>
        <s v="1922-23"/>
        <s v="1923-24"/>
        <s v="1924-25"/>
        <s v="1925-26"/>
        <s v="1926-27"/>
        <s v="1927-28"/>
        <s v="1928-29"/>
        <s v="1929-30"/>
        <s v="1930-31"/>
        <s v="1931-32"/>
        <s v="1932-33"/>
        <s v="1933-34"/>
        <s v="1934-35"/>
        <s v="1935-36"/>
        <s v="1936-37"/>
        <s v="1937-38"/>
        <s v="1938-39"/>
        <s v="1939-40"/>
        <s v="1940-41"/>
        <s v="1941-42"/>
        <s v="1942-43"/>
        <s v="1943-44"/>
        <s v="1944-45"/>
        <s v="1945-46"/>
        <s v="1946-47"/>
        <s v="1947-48"/>
        <s v="1948-49"/>
        <s v="1949-50"/>
        <s v="1950-51"/>
        <s v="1951-52"/>
        <s v="1952-53"/>
        <s v="1953-54"/>
        <s v="1954-55"/>
        <s v="1955-56"/>
        <s v="1956-57"/>
        <s v="1957-58"/>
        <s v="1958-59"/>
        <s v="1959-60"/>
        <s v="1960-61"/>
        <s v="1961-62"/>
        <s v="1962-63"/>
        <s v="1963-64"/>
        <s v="1964-65"/>
        <s v="1965-66"/>
        <s v="1966-67"/>
        <s v="1967-68"/>
        <s v="1968-69"/>
        <s v="1969-70"/>
        <s v="1970-71"/>
        <s v="1971-72"/>
        <s v="1972-73"/>
        <s v="1973-74"/>
        <s v="1974-75"/>
        <s v="1975-76"/>
        <s v="1976-77"/>
        <s v="1977-78"/>
        <s v="1978-79"/>
        <s v="1979-80"/>
        <s v="1980-81"/>
        <s v="1981-82"/>
        <s v="1982-83"/>
        <s v="1983-84"/>
        <s v="1984-85"/>
        <s v="1985-86"/>
        <s v="1986-87"/>
        <s v="1987-88"/>
        <s v="1988-89"/>
        <s v="1989-90"/>
        <s v="1990-91"/>
        <s v="1991-92"/>
        <s v="1992-93"/>
        <s v="1993-94"/>
        <s v="1994-95"/>
        <s v="1995-96"/>
        <s v="1996-97"/>
        <s v="1997-98"/>
        <s v="1998-99"/>
        <s v="1999-00"/>
        <s v="2000-01"/>
        <s v="2001-02"/>
        <s v="2002-03"/>
        <s v="2003-04"/>
        <s v="2004-05"/>
        <s v="2005-06"/>
        <s v="2006-07"/>
        <s v="2007-08"/>
        <s v="2008-09"/>
        <s v="2009-10"/>
        <s v="2010-11"/>
        <s v="2011-12"/>
        <s v="2012-13"/>
        <s v="2013-14"/>
        <s v="2014-15"/>
        <s v="2015-16"/>
        <s v="2016-17"/>
        <s v="2017-18"/>
        <s v="2018-19"/>
        <s v="2019-20"/>
        <s v="2020-21"/>
        <s v="2021-22"/>
        <s v="2022-23"/>
      </sharedItems>
    </cacheField>
    <cacheField name="Income tax" numFmtId="43">
      <sharedItems containsSemiMixedTypes="0" containsString="0" containsNumber="1" minValue="0" maxValue="248750"/>
    </cacheField>
    <cacheField name="National Insurance Contributions" numFmtId="43">
      <sharedItems containsSemiMixedTypes="0" containsString="0" containsNumber="1" minValue="0" maxValue="177564"/>
    </cacheField>
    <cacheField name="Capital Gains Tax" numFmtId="43">
      <sharedItems containsSemiMixedTypes="0" containsString="0" containsNumber="1" containsInteger="1" minValue="0" maxValue="18051"/>
    </cacheField>
    <cacheField name="Death duties/Inheritance tax" numFmtId="43">
      <sharedItems containsSemiMixedTypes="0" containsString="0" containsNumber="1" minValue="0" maxValue="7086"/>
    </cacheField>
    <cacheField name="Business rates" numFmtId="43">
      <sharedItems containsSemiMixedTypes="0" containsString="0" containsNumber="1" containsInteger="1" minValue="0" maxValue="27918"/>
    </cacheField>
    <cacheField name="Corporation tax (profits taxes prior to 1966-67)" numFmtId="43">
      <sharedItems containsSemiMixedTypes="0" containsString="0" containsNumber="1" minValue="0" maxValue="78785"/>
    </cacheField>
    <cacheField name="Petroleum Revenue tax (includes supplementary petroleum duty)" numFmtId="43">
      <sharedItems containsSemiMixedTypes="0" containsString="0" containsNumber="1" containsInteger="1" minValue="0" maxValue="7177"/>
    </cacheField>
    <cacheField name="Petroleum royalties" numFmtId="43">
      <sharedItems containsSemiMixedTypes="0" containsString="0" containsNumber="1" containsInteger="1" minValue="0" maxValue="289"/>
    </cacheField>
    <cacheField name="Gas Levy" numFmtId="43">
      <sharedItems containsSemiMixedTypes="0" containsString="0" containsNumber="1" containsInteger="1" minValue="0" maxValue="528"/>
    </cacheField>
    <cacheField name="Energy profits levy" numFmtId="43">
      <sharedItems containsSemiMixedTypes="0" containsString="0" containsNumber="1" containsInteger="1" minValue="0" maxValue="4441"/>
    </cacheField>
    <cacheField name="Land and Assessed Taxes" numFmtId="43">
      <sharedItems containsSemiMixedTypes="0" containsString="0" containsNumber="1" minValue="0" maxValue="8.9499999999999993"/>
    </cacheField>
    <cacheField name="Other business taxes" numFmtId="43">
      <sharedItems containsSemiMixedTypes="0" containsString="0" containsNumber="1" minValue="0" maxValue="3198"/>
    </cacheField>
    <cacheField name="VAT (Purchase tax prior to 1973)" numFmtId="43">
      <sharedItems containsSemiMixedTypes="0" containsString="0" containsNumber="1" containsInteger="1" minValue="0" maxValue="186687"/>
    </cacheField>
    <cacheField name="Custom and excise duties" numFmtId="43">
      <sharedItems containsSemiMixedTypes="0" containsString="0" containsNumber="1" minValue="18.116999999999994" maxValue="59928.000000000007"/>
    </cacheField>
    <cacheField name="Stamp duties" numFmtId="43">
      <sharedItems containsSemiMixedTypes="0" containsString="0" containsNumber="1" minValue="2.7657499999999997" maxValue="20466"/>
    </cacheField>
    <cacheField name="License fee receipts" numFmtId="43">
      <sharedItems containsSemiMixedTypes="0" containsString="0" containsNumber="1" containsInteger="1" minValue="0" maxValue="3832"/>
    </cacheField>
    <cacheField name="Other Central Government Receipts" numFmtId="43">
      <sharedItems containsSemiMixedTypes="0" containsString="0" containsNumber="1" minValue="1.75" maxValue="101687"/>
    </cacheField>
    <cacheField name="Council Tax (community charge and domestic rates prior to 1993)" numFmtId="43">
      <sharedItems containsSemiMixedTypes="0" containsString="0" containsNumber="1" containsInteger="1" minValue="0" maxValue="41640"/>
    </cacheField>
    <cacheField name="Other public sector taxes and receipts" numFmtId="43">
      <sharedItems containsSemiMixedTypes="0" containsString="0" containsNumber="1" minValue="0" maxValue="44976"/>
    </cacheField>
    <cacheField name="National Accounts Taxes" numFmtId="43">
      <sharedItems containsSemiMixedTypes="0" containsString="0" containsNumber="1" minValue="0" maxValue="917625"/>
    </cacheField>
    <cacheField name="Total Govt Recipts" numFmtId="43">
      <sharedItems containsSemiMixedTypes="0" containsString="0" containsNumber="1" minValue="33.463750000000005" maxValue="1017956"/>
    </cacheField>
    <cacheField name="Total Central Government spending" numFmtId="43">
      <sharedItems containsSemiMixedTypes="0" containsString="0" containsNumber="1" minValue="48.824999999999996" maxValue="1076625.5395480141"/>
    </cacheField>
    <cacheField name="Current spending" numFmtId="43">
      <sharedItems containsSemiMixedTypes="0" containsString="0" containsNumber="1" minValue="0" maxValue="1043605"/>
    </cacheField>
    <cacheField name="Public sector gross investment" numFmtId="43">
      <sharedItems containsSemiMixedTypes="0" containsString="0" containsNumber="1" minValue="0" maxValue="125674"/>
    </cacheField>
    <cacheField name="Defence" numFmtId="43">
      <sharedItems containsSemiMixedTypes="0" containsString="0" containsNumber="1" minValue="11.799999999999999" maxValue="52997.569960970795"/>
    </cacheField>
    <cacheField name="Health" numFmtId="43">
      <sharedItems containsSemiMixedTypes="0" containsString="0" containsNumber="1" minValue="0" maxValue="218568"/>
    </cacheField>
    <cacheField name="Social Security" numFmtId="43">
      <sharedItems containsSemiMixedTypes="0" containsString="0" containsNumber="1" minValue="0" maxValue="256983.92188987008"/>
    </cacheField>
    <cacheField name="o/w pensioners" numFmtId="43">
      <sharedItems containsSemiMixedTypes="0" containsString="0" containsNumber="1" minValue="0" maxValue="138088.25390843829"/>
    </cacheField>
    <cacheField name="o/w non-pensioners" numFmtId="43">
      <sharedItems containsSemiMixedTypes="0" containsString="0" containsNumber="1" minValue="0" maxValue="118895.66798143182"/>
    </cacheField>
    <cacheField name="Education" numFmtId="43">
      <sharedItems containsSemiMixedTypes="0" containsString="0" containsNumber="1" minValue="0" maxValue="105209.71254946299"/>
    </cacheField>
    <cacheField name="Debt Interest" numFmtId="43">
      <sharedItems containsSemiMixedTypes="0" containsString="0" containsNumber="1" minValue="14.350000000000001" maxValue="114669.59448290456"/>
    </cacheField>
    <cacheField name="Other Public Sector Spending" numFmtId="43">
      <sharedItems containsSemiMixedTypes="0" containsString="0" containsNumber="1" minValue="0" maxValue="473242.39155554015"/>
    </cacheField>
    <cacheField name="Deficit/surplus" numFmtId="43">
      <sharedItems containsSemiMixedTypes="0" containsString="0" containsNumber="1" minValue="-252178.75" maxValue="49833"/>
    </cacheField>
    <cacheField name="Public sector net borrowing_x000a_(PSNB)" numFmtId="43">
      <sharedItems containsSemiMixedTypes="0" containsString="0" containsNumber="1" minValue="0" maxValue="312942"/>
    </cacheField>
    <cacheField name="Public sector net debt (PSND)" numFmtId="43">
      <sharedItems containsSemiMixedTypes="0" containsString="0" containsNumber="1" minValue="508.30567245691691" maxValue="2530400"/>
    </cacheField>
    <cacheField name="Nominal GDP (£m)" numFmtId="43">
      <sharedItems containsSemiMixedTypes="0" containsString="0" containsNumber="1" minValue="354.83578992533222" maxValue="2525544"/>
    </cacheField>
    <cacheField name="Nominal GDP (March-centred, £m)" numFmtId="43">
      <sharedItems containsSemiMixedTypes="0" containsString="0" containsNumber="1" minValue="356.81710721844348" maxValue="2530833.1129999999"/>
    </cacheField>
    <cacheField name="RPI - Index 1974=100" numFmtId="43">
      <sharedItems containsSemiMixedTypes="0" containsString="0" containsNumber="1" minValue="8.1" maxValue="1342.6"/>
    </cacheField>
    <cacheField name="based to 1974 Income tax" numFmtId="43">
      <sharedItems containsSemiMixedTypes="0" containsString="0" containsNumber="1" minValue="0" maxValue="19275.09"/>
    </cacheField>
    <cacheField name="based to 1974 National Insurance Contributions" numFmtId="43">
      <sharedItems containsSemiMixedTypes="0" containsString="0" containsNumber="1" minValue="0" maxValue="13272.77"/>
    </cacheField>
    <cacheField name="based to 1974 Capital Gains Tax" numFmtId="43">
      <sharedItems containsSemiMixedTypes="0" containsString="0" containsNumber="1" minValue="0" maxValue="1344.48"/>
    </cacheField>
    <cacheField name="based to 1974 Death duties/Inheritance tax" numFmtId="43">
      <sharedItems containsSemiMixedTypes="0" containsString="0" containsNumber="1" minValue="0" maxValue="595.16"/>
    </cacheField>
    <cacheField name="based to 1974 Business rates" numFmtId="43">
      <sharedItems containsSemiMixedTypes="0" containsString="0" containsNumber="1" minValue="0" maxValue="2543.3200000000002"/>
    </cacheField>
    <cacheField name="based to 1974 Corporation tax (profits taxes prior to 1966-67)" numFmtId="43">
      <sharedItems containsSemiMixedTypes="0" containsString="0" containsNumber="1" minValue="0" maxValue="6076.85"/>
    </cacheField>
    <cacheField name="based to 1974 Petroleum Revenue tax (includes supplementary petroleum duty)" numFmtId="43">
      <sharedItems containsSemiMixedTypes="0" containsString="0" containsNumber="1" minValue="0" maxValue="2040.08"/>
    </cacheField>
    <cacheField name="based to 1974 Petroleum royalties" numFmtId="43">
      <sharedItems containsSemiMixedTypes="0" containsString="0" containsNumber="1" minValue="0" maxValue="146.63"/>
    </cacheField>
    <cacheField name="based to 1974 Gas Levy" numFmtId="43">
      <sharedItems containsSemiMixedTypes="0" containsString="0" containsNumber="1" minValue="0" maxValue="163.55000000000001"/>
    </cacheField>
    <cacheField name="based to 1974 Energy profits levy" numFmtId="43">
      <sharedItems containsSemiMixedTypes="0" containsString="0" containsNumber="1" minValue="0" maxValue="330.78"/>
    </cacheField>
    <cacheField name="based to 1974 Land and Assessed Taxes" numFmtId="43">
      <sharedItems containsSemiMixedTypes="0" containsString="0" containsNumber="1" minValue="0" maxValue="83.71"/>
    </cacheField>
    <cacheField name="based to 1974 Other business taxes" numFmtId="43">
      <sharedItems containsSemiMixedTypes="0" containsString="0" containsNumber="1" minValue="0" maxValue="420.09"/>
    </cacheField>
    <cacheField name="based to 1974 VAT (Purchase tax prior to 1973)" numFmtId="43">
      <sharedItems containsSemiMixedTypes="0" containsString="0" containsNumber="1" minValue="0" maxValue="13904.89"/>
    </cacheField>
    <cacheField name="based to 1974 Custom and excise duties" numFmtId="43">
      <sharedItems containsSemiMixedTypes="0" containsString="0" containsNumber="1" minValue="134.19999999999999" maxValue="6520.77"/>
    </cacheField>
    <cacheField name="based to 1974 Stamp duties" numFmtId="43">
      <sharedItems containsSemiMixedTypes="0" containsString="0" containsNumber="1" minValue="20.49" maxValue="1732.88"/>
    </cacheField>
    <cacheField name="based to 1974 License fee receipts" numFmtId="43">
      <sharedItems containsSemiMixedTypes="0" containsString="0" containsNumber="1" minValue="0" maxValue="359.19"/>
    </cacheField>
    <cacheField name="based to 1974 Other Central Government Receipts" numFmtId="43">
      <sharedItems containsSemiMixedTypes="0" containsString="0" containsNumber="1" minValue="17.329999999999998" maxValue="7976.92"/>
    </cacheField>
    <cacheField name="based to 1974 Council Tax (community charge and domestic rates prior to 1993)" numFmtId="43">
      <sharedItems containsSemiMixedTypes="0" containsString="0" containsNumber="1" minValue="0" maxValue="3321.97"/>
    </cacheField>
    <cacheField name="based to 1974 Other public sector taxes and receipts" numFmtId="43">
      <sharedItems containsSemiMixedTypes="0" containsString="0" containsNumber="1" minValue="0" maxValue="5869.54"/>
    </cacheField>
    <cacheField name="based to 1974 National Accounts Taxes" numFmtId="43">
      <sharedItems containsSemiMixedTypes="0" containsString="0" containsNumber="1" minValue="0" maxValue="69065.490000000005"/>
    </cacheField>
    <cacheField name="based to 1974 Total Govt Recipts" numFmtId="43">
      <sharedItems containsSemiMixedTypes="0" containsString="0" containsNumber="1" minValue="247.88" maxValue="76548.289999999994"/>
    </cacheField>
    <cacheField name="based to 1974 Total Central Government spending" numFmtId="43">
      <sharedItems containsSemiMixedTypes="0" containsString="0" containsNumber="1" minValue="361.71" maxValue="90470.399999999994"/>
    </cacheField>
    <cacheField name="based to 1974 Current spending" numFmtId="43">
      <sharedItems containsSemiMixedTypes="0" containsString="0" containsNumber="1" minValue="0" maxValue="84816.07"/>
    </cacheField>
    <cacheField name="based to 1974 Public sector gross investment" numFmtId="43">
      <sharedItems containsSemiMixedTypes="0" containsString="0" containsNumber="1" minValue="0" maxValue="10867.69"/>
    </cacheField>
    <cacheField name="based to 1974 Defence" numFmtId="43">
      <sharedItems containsSemiMixedTypes="0" containsString="0" containsNumber="1" minValue="118.35" maxValue="20008.82"/>
    </cacheField>
    <cacheField name="based to 1974 Health" numFmtId="43">
      <sharedItems containsSemiMixedTypes="0" containsString="0" containsNumber="1" minValue="0" maxValue="18900.73"/>
    </cacheField>
    <cacheField name="based to 1974 Social Security" numFmtId="43">
      <sharedItems containsSemiMixedTypes="0" containsString="0" containsNumber="1" minValue="0" maxValue="22872.28"/>
    </cacheField>
    <cacheField name="based to 1974 o/w pensioners" numFmtId="43">
      <sharedItems containsSemiMixedTypes="0" containsString="0" containsNumber="1" minValue="0" maxValue="11850.63"/>
    </cacheField>
    <cacheField name="based to 1974 o/w non-pensioners" numFmtId="43">
      <sharedItems containsSemiMixedTypes="0" containsString="0" containsNumber="1" minValue="0" maxValue="11036.38"/>
    </cacheField>
    <cacheField name="based to 1974 Education" numFmtId="43">
      <sharedItems containsSemiMixedTypes="0" containsString="0" containsNumber="1" minValue="0" maxValue="10498.22"/>
    </cacheField>
    <cacheField name="based to 1974 Debt Interest" numFmtId="43">
      <sharedItems containsSemiMixedTypes="0" containsString="0" containsNumber="1" minValue="106.3" maxValue="8540.86"/>
    </cacheField>
    <cacheField name="based to 1974 Other Public Sector Spending" numFmtId="43">
      <sharedItems containsSemiMixedTypes="0" containsString="0" containsNumber="1" minValue="0" maxValue="40923.760000000002"/>
    </cacheField>
    <cacheField name="based to 1974 Deficit/surplus" numFmtId="43">
      <sharedItems containsSemiMixedTypes="0" containsString="0" containsNumber="1" minValue="-21807.23" maxValue="8448.19" count="223">
        <n v="-121.66"/>
        <n v="-99.29"/>
        <n v="-183.84"/>
        <n v="-90.91"/>
        <n v="-35.840000000000003"/>
        <n v="-66.22"/>
        <n v="-83.33"/>
        <n v="-59.76"/>
        <n v="-47.07"/>
        <n v="-62.32"/>
        <n v="-62.67"/>
        <n v="-87.14"/>
        <n v="-111.79"/>
        <n v="-143.56"/>
        <n v="-235.39"/>
        <n v="-259.25"/>
        <n v="-225.43"/>
        <n v="-76.33"/>
        <n v="5.49"/>
        <n v="7.56"/>
        <n v="22.22"/>
        <n v="31.8"/>
        <n v="35.11"/>
        <n v="30"/>
        <n v="44.66"/>
        <n v="15.91"/>
        <n v="4.17"/>
        <n v="-8.41"/>
        <n v="8.65"/>
        <n v="15.05"/>
        <n v="2.78"/>
        <n v="-9.86"/>
        <n v="-3.96"/>
        <n v="1.05"/>
        <n v="16.95"/>
        <n v="-26.12"/>
        <n v="-104.55"/>
        <n v="-26.24"/>
        <n v="1.72"/>
        <n v="-3.44"/>
        <n v="-14.41"/>
        <n v="-14.22"/>
        <n v="-20"/>
        <n v="21.35"/>
        <n v="31.18"/>
        <n v="33.869999999999997"/>
        <n v="36.6"/>
        <n v="1.83"/>
        <n v="-15.26"/>
        <n v="-11.52"/>
        <n v="19.05"/>
        <n v="25"/>
        <n v="40.43"/>
        <n v="21.91"/>
        <n v="32.11"/>
        <n v="-51.43"/>
        <n v="-158.57"/>
        <n v="-72.25"/>
        <n v="-33.520000000000003"/>
        <n v="45.56"/>
        <n v="-7.8"/>
        <n v="-39.47"/>
        <n v="-32.26"/>
        <n v="-14.17"/>
        <n v="12.08"/>
        <n v="-9.44"/>
        <n v="11.84"/>
        <n v="-87.87"/>
        <n v="-348.63"/>
        <n v="-328.29"/>
        <n v="-317.11"/>
        <n v="-297.39999999999998"/>
        <n v="-296"/>
        <n v="-302.64"/>
        <n v="-412"/>
        <n v="-433.67"/>
        <n v="-469.9"/>
        <n v="-526.03"/>
        <n v="-555.26"/>
        <n v="-709.23"/>
        <n v="-575.04999999999995"/>
        <n v="-586.79999999999995"/>
        <n v="-593.54"/>
        <n v="-617.15"/>
        <n v="-605.85"/>
        <n v="-660.26"/>
        <n v="-677.44"/>
        <n v="-670.76"/>
        <n v="-641.61"/>
        <n v="-587.80999999999995"/>
        <n v="-627.27"/>
        <n v="-664.41"/>
        <n v="-780.39"/>
        <n v="-910.11"/>
        <n v="-974.02"/>
        <n v="-960.26"/>
        <n v="-1020.44"/>
        <n v="-1055.32"/>
        <n v="-1158.02"/>
        <n v="-1230.6500000000001"/>
        <n v="2.17"/>
        <n v="71.2"/>
        <n v="353.8"/>
        <n v="792.47"/>
        <n v="865.59"/>
        <n v="935.48"/>
        <n v="1016.67"/>
        <n v="1040.96"/>
        <n v="1015.43"/>
        <n v="980"/>
        <n v="1063.54"/>
        <n v="1116.1500000000001"/>
        <n v="1176.77"/>
        <n v="1231.6300000000001"/>
        <n v="-2244.9"/>
        <n v="-10108.64"/>
        <n v="-11952.69"/>
        <n v="-11240.49"/>
        <n v="-7713.82"/>
        <n v="-2138.36"/>
        <n v="247.63"/>
        <n v="706.28"/>
        <n v="1711.06"/>
        <n v="1741.71"/>
        <n v="1517.2"/>
        <n v="1473.92"/>
        <n v="1549.19"/>
        <n v="1873.06"/>
        <n v="2040.28"/>
        <n v="1945.51"/>
        <n v="1829.77"/>
        <n v="1939.16"/>
        <n v="2054.0100000000002"/>
        <n v="2395.5700000000002"/>
        <n v="2384.81"/>
        <n v="2278.9299999999998"/>
        <n v="2208.75"/>
        <n v="2437.9499999999998"/>
        <n v="2300.89"/>
        <n v="1078.03"/>
        <n v="-9201.49"/>
        <n v="-9279.24"/>
        <n v="-10162.290000000001"/>
        <n v="-8802.42"/>
        <n v="-9099.61"/>
        <n v="-6708.97"/>
        <n v="-855.56"/>
        <n v="1775.09"/>
        <n v="4254.0200000000004"/>
        <n v="4693.75"/>
        <n v="4621.21"/>
        <n v="3361.11"/>
        <n v="3017.81"/>
        <n v="2903.7"/>
        <n v="3370.46"/>
        <n v="3928.07"/>
        <n v="3695.36"/>
        <n v="3933.9"/>
        <n v="3909.09"/>
        <n v="3152.26"/>
        <n v="3301.43"/>
        <n v="4246.0600000000004"/>
        <n v="4267.92"/>
        <n v="3498.15"/>
        <n v="5351.25"/>
        <n v="5005.1400000000003"/>
        <n v="5983.53"/>
        <n v="5476.73"/>
        <n v="7342.02"/>
        <n v="7004.37"/>
        <n v="8212.0400000000009"/>
        <n v="7008.75"/>
        <n v="5407.23"/>
        <n v="4949.7299999999996"/>
        <n v="5347.47"/>
        <n v="4066.77"/>
        <n v="4917.25"/>
        <n v="4419.78"/>
        <n v="3902.08"/>
        <n v="5035.79"/>
        <n v="4050.06"/>
        <n v="4456.2700000000004"/>
        <n v="5044.9399999999996"/>
        <n v="4425.84"/>
        <n v="4207.79"/>
        <n v="4785.6400000000003"/>
        <n v="4772.74"/>
        <n v="5725.37"/>
        <n v="8448.19"/>
        <n v="7098.57"/>
        <n v="2765.23"/>
        <n v="-896.15"/>
        <n v="-6192.72"/>
        <n v="-6219.24"/>
        <n v="-4503.6099999999997"/>
        <n v="-2875.6"/>
        <n v="-1839.06"/>
        <n v="3044.62"/>
        <n v="5062.5600000000004"/>
        <n v="6792.49"/>
        <n v="7417.83"/>
        <n v="4553.3500000000004"/>
        <n v="624.41"/>
        <n v="133.69999999999999"/>
        <n v="64.97"/>
        <n v="1438.47"/>
        <n v="1719.74"/>
        <n v="979.02"/>
        <n v="-5576.55"/>
        <n v="-11194.9"/>
        <n v="-9084.7900000000009"/>
        <n v="-5922.42"/>
        <n v="-7196.82"/>
        <n v="-4735.28"/>
        <n v="-3342.7"/>
        <n v="-1423.7"/>
        <n v="1909.7"/>
        <n v="1463.53"/>
        <n v="2916.1"/>
        <n v="1198.0999999999999"/>
        <n v="-21807.23"/>
        <n v="-5174.45"/>
        <n v="-4369.8500000000004"/>
      </sharedItems>
      <fieldGroup par="91"/>
    </cacheField>
    <cacheField name="based to 1974 Public sector net borrowing_x000a_(PSNB)" numFmtId="43">
      <sharedItems containsSemiMixedTypes="0" containsString="0" containsNumber="1" minValue="0" maxValue="27061.74"/>
    </cacheField>
    <cacheField name="based to 1974 Public sector net debt (PSND)" numFmtId="43">
      <sharedItems containsSemiMixedTypes="0" containsString="0" containsNumber="1" minValue="3628.78" maxValue="197963.76"/>
    </cacheField>
    <cacheField name="based to 1974 Nominal GDP (£m)" numFmtId="43">
      <sharedItems containsSemiMixedTypes="0" containsString="0" containsNumber="1" minValue="2628.41" maxValue="197439.04"/>
    </cacheField>
    <cacheField name="based to 1974 Nominal GDP (March-centred, £m)" numFmtId="43">
      <sharedItems containsSemiMixedTypes="0" containsString="0" containsNumber="1" minValue="2469.35" maxValue="203463.67999999999"/>
    </cacheField>
    <cacheField name="party In power" numFmtId="0">
      <sharedItems count="8">
        <s v="Tory"/>
        <s v="Whig"/>
        <s v="Conservative"/>
        <s v="Liberal"/>
        <s v="Conservative and Liberal Unionists"/>
        <s v="Labour"/>
        <s v="National Labour"/>
        <s v="Conservative and Lib Dem"/>
      </sharedItems>
    </cacheField>
    <cacheField name="Est % of adult population with vote" numFmtId="0">
      <sharedItems containsString="0" containsBlank="1" containsNumber="1" minValue="0.08" maxValue="0.47"/>
    </cacheField>
    <cacheField name="Est % of men with vote" numFmtId="0">
      <sharedItems containsString="0" containsBlank="1" containsNumber="1" minValue="0.14285714285714285" maxValue="0.6"/>
    </cacheField>
    <cacheField name="Est % of Women With Vote" numFmtId="0">
      <sharedItems containsString="0" containsBlank="1" containsNumber="1" minValue="0" maxValue="0.01"/>
    </cacheField>
    <cacheField name="secret ballot" numFmtId="0">
      <sharedItems/>
    </cacheField>
    <cacheField name="Property Ownership Required to vote" numFmtId="0">
      <sharedItems/>
    </cacheField>
    <cacheField name="Renting property enables vote" numFmtId="0">
      <sharedItems/>
    </cacheField>
    <cacheField name="Property Value limitation" numFmtId="0">
      <sharedItems/>
    </cacheField>
    <cacheField name="Males only" numFmtId="0">
      <sharedItems/>
    </cacheField>
    <cacheField name="Vote per Property (Multiple Votes)" numFmtId="0">
      <sharedItems/>
    </cacheField>
    <cacheField name="Women voters" numFmtId="0">
      <sharedItems/>
    </cacheField>
    <cacheField name="United rules for voting " numFmtId="0">
      <sharedItems/>
    </cacheField>
    <cacheField name="Women Over 30 with property" numFmtId="0">
      <sharedItems/>
    </cacheField>
    <cacheField name="Over 21 Years Old" numFmtId="0">
      <sharedItems/>
    </cacheField>
    <cacheField name="Over 18 Years Old" numFmtId="0">
      <sharedItems/>
    </cacheField>
    <cacheField name="based to 1974 Deficit/surplus2" numFmtId="0" databaseField="0">
      <fieldGroup base="71">
        <discretePr count="223"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1"/>
          <x v="1"/>
          <x v="1"/>
          <x v="1"/>
          <x v="1"/>
          <x v="1"/>
          <x v="1"/>
          <x v="1"/>
          <x v="1"/>
          <x v="0"/>
          <x v="1"/>
          <x v="1"/>
          <x v="1"/>
          <x v="0"/>
          <x v="0"/>
          <x v="1"/>
          <x v="1"/>
          <x v="0"/>
          <x v="0"/>
          <x v="0"/>
          <x v="1"/>
          <x v="0"/>
          <x v="0"/>
          <x v="0"/>
          <x v="0"/>
          <x v="1"/>
          <x v="1"/>
          <x v="1"/>
          <x v="1"/>
          <x v="1"/>
          <x v="0"/>
          <x v="0"/>
          <x v="1"/>
          <x v="1"/>
          <x v="1"/>
          <x v="1"/>
          <x v="1"/>
          <x v="0"/>
          <x v="0"/>
          <x v="0"/>
          <x v="0"/>
          <x v="1"/>
          <x v="0"/>
          <x v="0"/>
          <x v="0"/>
          <x v="0"/>
          <x v="1"/>
          <x v="0"/>
          <x v="1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0"/>
          <x v="0"/>
          <x v="0"/>
          <x v="0"/>
          <x v="0"/>
          <x v="0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0"/>
          <x v="0"/>
          <x v="0"/>
          <x v="0"/>
          <x v="0"/>
          <x v="0"/>
          <x v="0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0"/>
          <x v="0"/>
          <x v="0"/>
          <x v="0"/>
          <x v="0"/>
          <x v="0"/>
          <x v="1"/>
          <x v="1"/>
          <x v="1"/>
          <x v="1"/>
          <x v="1"/>
          <x v="1"/>
          <x v="1"/>
          <x v="1"/>
          <x v="1"/>
          <x v="1"/>
          <x v="1"/>
          <x v="0"/>
          <x v="0"/>
          <x v="0"/>
          <x v="0"/>
          <x v="0"/>
          <x v="0"/>
          <x v="0"/>
          <x v="0"/>
          <x v="1"/>
          <x v="1"/>
          <x v="1"/>
          <x v="1"/>
          <x v="0"/>
          <x v="0"/>
          <x v="0"/>
        </discretePr>
        <groupItems count="2">
          <s v="Group1"/>
          <s v="Group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3">
  <r>
    <x v="0"/>
    <n v="4.8347499999999997"/>
    <n v="0"/>
    <n v="0"/>
    <n v="0"/>
    <n v="0"/>
    <n v="0"/>
    <n v="0"/>
    <n v="0"/>
    <n v="0"/>
    <n v="0"/>
    <n v="4.9697499999999994"/>
    <n v="0"/>
    <n v="0"/>
    <n v="18.116999999999994"/>
    <n v="2.7657499999999997"/>
    <n v="0"/>
    <n v="2.7765000000000057"/>
    <n v="0"/>
    <n v="0"/>
    <n v="0"/>
    <n v="33.463750000000005"/>
    <n v="49.887500000000003"/>
    <n v="0"/>
    <n v="0"/>
    <n v="32.237000000000002"/>
    <n v="0"/>
    <n v="0"/>
    <n v="0"/>
    <n v="0"/>
    <n v="0"/>
    <n v="14.350000000000001"/>
    <n v="0"/>
    <n v="-16.423749999999998"/>
    <n v="21.154499999999999"/>
    <n v="508.30567245691691"/>
    <n v="354.83578992533222"/>
    <n v="392.87716587804039"/>
    <n v="13.5"/>
    <n v="35.81"/>
    <n v="0"/>
    <n v="0"/>
    <n v="0"/>
    <n v="0"/>
    <n v="0"/>
    <n v="0"/>
    <n v="0"/>
    <n v="0"/>
    <n v="0"/>
    <n v="36.81"/>
    <n v="0"/>
    <n v="0"/>
    <n v="134.19999999999999"/>
    <n v="20.49"/>
    <n v="0"/>
    <n v="20.57"/>
    <n v="0"/>
    <n v="0"/>
    <n v="0"/>
    <n v="247.88"/>
    <n v="369.54"/>
    <n v="0"/>
    <n v="0"/>
    <n v="238.79"/>
    <n v="0"/>
    <n v="0"/>
    <n v="0"/>
    <n v="0"/>
    <n v="0"/>
    <n v="106.3"/>
    <n v="0"/>
    <x v="0"/>
    <n v="156.69999999999999"/>
    <n v="3765.23"/>
    <n v="2628.41"/>
    <n v="2910.2"/>
    <x v="0"/>
    <n v="0.08"/>
    <n v="0.14285714285714285"/>
    <n v="0.01"/>
    <s v="No"/>
    <s v="Yes"/>
    <s v="No"/>
    <s v="Yes"/>
    <s v="No"/>
    <s v="Yes"/>
    <s v="Yes"/>
    <s v="No"/>
    <s v="N/a"/>
    <s v="N/a"/>
    <s v="N/a"/>
  </r>
  <r>
    <x v="1"/>
    <n v="5.1749999999999998"/>
    <n v="0"/>
    <n v="0"/>
    <n v="0"/>
    <n v="0"/>
    <n v="0"/>
    <n v="0"/>
    <n v="0"/>
    <n v="0"/>
    <n v="0"/>
    <n v="4.7749999999999995"/>
    <n v="0"/>
    <n v="0"/>
    <n v="21.041749999999997"/>
    <n v="3.2500000000000004"/>
    <n v="0"/>
    <n v="5.3832500000000039"/>
    <n v="0"/>
    <n v="0"/>
    <n v="0"/>
    <n v="39.625"/>
    <n v="54.6175"/>
    <n v="0"/>
    <n v="0"/>
    <n v="33.104750000000003"/>
    <n v="0"/>
    <n v="0"/>
    <n v="0"/>
    <n v="0"/>
    <n v="0"/>
    <n v="17.537500000000001"/>
    <n v="0"/>
    <n v="-14.9925"/>
    <n v="23.199999999999996"/>
    <n v="547.94543360464684"/>
    <n v="398.88900776643885"/>
    <n v="372.87131559052773"/>
    <n v="15.1"/>
    <n v="34.270000000000003"/>
    <n v="0"/>
    <n v="0"/>
    <n v="0"/>
    <n v="0"/>
    <n v="0"/>
    <n v="0"/>
    <n v="0"/>
    <n v="0"/>
    <n v="0"/>
    <n v="31.62"/>
    <n v="0"/>
    <n v="0"/>
    <n v="139.35"/>
    <n v="21.52"/>
    <n v="0"/>
    <n v="35.65"/>
    <n v="0"/>
    <n v="0"/>
    <n v="0"/>
    <n v="262.42"/>
    <n v="361.71"/>
    <n v="0"/>
    <n v="0"/>
    <n v="219.24"/>
    <n v="0"/>
    <n v="0"/>
    <n v="0"/>
    <n v="0"/>
    <n v="0"/>
    <n v="116.14"/>
    <n v="0"/>
    <x v="1"/>
    <n v="153.63999999999999"/>
    <n v="3628.78"/>
    <n v="2641.65"/>
    <n v="2469.35"/>
    <x v="0"/>
    <n v="0.08"/>
    <n v="0.14285714285714285"/>
    <n v="0.01"/>
    <s v="No"/>
    <s v="Yes"/>
    <s v="No"/>
    <s v="Yes"/>
    <s v="No"/>
    <s v="Yes"/>
    <s v="Yes"/>
    <s v="No"/>
    <s v="N/a"/>
    <s v="N/a"/>
    <s v="N/a"/>
  </r>
  <r>
    <x v="2"/>
    <n v="2.5749999999999997"/>
    <n v="0"/>
    <n v="0"/>
    <n v="0"/>
    <n v="0"/>
    <n v="0"/>
    <n v="0"/>
    <n v="0"/>
    <n v="0"/>
    <n v="0"/>
    <n v="5.4249999999999998"/>
    <n v="0"/>
    <n v="0"/>
    <n v="24.118750000000002"/>
    <n v="3.4499999999999997"/>
    <n v="0"/>
    <n v="5.9312499999999986"/>
    <n v="0"/>
    <n v="0"/>
    <n v="0"/>
    <n v="41.500000000000007"/>
    <n v="62.825000000000003"/>
    <n v="0"/>
    <n v="0"/>
    <n v="34.375000000000007"/>
    <n v="0"/>
    <n v="0"/>
    <n v="0"/>
    <n v="0"/>
    <n v="0"/>
    <n v="20.024999999999999"/>
    <n v="0"/>
    <n v="-21.324999999999996"/>
    <n v="12.849999999999996"/>
    <n v="564.35962040811933"/>
    <n v="358.8473487411959"/>
    <n v="356.81710721844348"/>
    <n v="11.6"/>
    <n v="22.2"/>
    <n v="0"/>
    <n v="0"/>
    <n v="0"/>
    <n v="0"/>
    <n v="0"/>
    <n v="0"/>
    <n v="0"/>
    <n v="0"/>
    <n v="0"/>
    <n v="46.77"/>
    <n v="0"/>
    <n v="0"/>
    <n v="207.92"/>
    <n v="29.74"/>
    <n v="0"/>
    <n v="51.13"/>
    <n v="0"/>
    <n v="0"/>
    <n v="0"/>
    <n v="357.76"/>
    <n v="541.59"/>
    <n v="0"/>
    <n v="0"/>
    <n v="296.33999999999997"/>
    <n v="0"/>
    <n v="0"/>
    <n v="0"/>
    <n v="0"/>
    <n v="0"/>
    <n v="172.63"/>
    <n v="0"/>
    <x v="2"/>
    <n v="110.78"/>
    <n v="4865.17"/>
    <n v="3093.51"/>
    <n v="3076.01"/>
    <x v="0"/>
    <n v="0.08"/>
    <n v="0.14285714285714285"/>
    <n v="0.01"/>
    <s v="No"/>
    <s v="Yes"/>
    <s v="No"/>
    <s v="Yes"/>
    <s v="No"/>
    <s v="Yes"/>
    <s v="Yes"/>
    <s v="No"/>
    <s v="N/a"/>
    <s v="N/a"/>
    <s v="N/a"/>
  </r>
  <r>
    <x v="3"/>
    <n v="1.2250000000000001"/>
    <n v="0"/>
    <n v="0"/>
    <n v="0"/>
    <n v="0"/>
    <n v="0"/>
    <n v="0"/>
    <n v="0"/>
    <n v="0"/>
    <n v="0"/>
    <n v="5.85"/>
    <n v="0"/>
    <n v="0"/>
    <n v="27.933750000000007"/>
    <n v="3.6750000000000003"/>
    <n v="0"/>
    <n v="5.6662499999999909"/>
    <n v="0"/>
    <n v="0"/>
    <n v="0"/>
    <n v="44.349999999999994"/>
    <n v="54.349999999999994"/>
    <n v="0"/>
    <n v="0"/>
    <n v="24.875"/>
    <n v="0"/>
    <n v="0"/>
    <n v="0"/>
    <n v="0"/>
    <n v="0"/>
    <n v="20.474999999999998"/>
    <n v="0"/>
    <n v="-10"/>
    <n v="11.1"/>
    <n v="578.51146975628365"/>
    <n v="361.33797335420979"/>
    <n v="372.40994714849472"/>
    <n v="11"/>
    <n v="11.14"/>
    <n v="0"/>
    <n v="0"/>
    <n v="0"/>
    <n v="0"/>
    <n v="0"/>
    <n v="0"/>
    <n v="0"/>
    <n v="0"/>
    <n v="0"/>
    <n v="53.18"/>
    <n v="0"/>
    <n v="0"/>
    <n v="253.94"/>
    <n v="33.409999999999997"/>
    <n v="0"/>
    <n v="51.51"/>
    <n v="0"/>
    <n v="0"/>
    <n v="0"/>
    <n v="403.18"/>
    <n v="494.09"/>
    <n v="0"/>
    <n v="0"/>
    <n v="226.14"/>
    <n v="0"/>
    <n v="0"/>
    <n v="0"/>
    <n v="0"/>
    <n v="0"/>
    <n v="186.14"/>
    <n v="0"/>
    <x v="3"/>
    <n v="100.91"/>
    <n v="5259.2"/>
    <n v="3284.89"/>
    <n v="3385.54"/>
    <x v="0"/>
    <n v="0.08"/>
    <n v="0.14285714285714285"/>
    <n v="0.01"/>
    <s v="No"/>
    <s v="Yes"/>
    <s v="No"/>
    <s v="Yes"/>
    <s v="No"/>
    <s v="Yes"/>
    <s v="Yes"/>
    <s v="No"/>
    <s v="N/a"/>
    <s v="N/a"/>
    <s v="N/a"/>
  </r>
  <r>
    <x v="4"/>
    <n v="3.9250000000000003"/>
    <n v="0"/>
    <n v="0"/>
    <n v="0"/>
    <n v="0"/>
    <n v="0"/>
    <n v="0"/>
    <n v="0"/>
    <n v="0"/>
    <n v="0"/>
    <n v="6.0750000000000002"/>
    <n v="0"/>
    <n v="0"/>
    <n v="31.4785"/>
    <n v="4.0749999999999993"/>
    <n v="0"/>
    <n v="5.846500000000006"/>
    <n v="0"/>
    <n v="0"/>
    <n v="0"/>
    <n v="51.400000000000006"/>
    <n v="55.45"/>
    <n v="0"/>
    <n v="0"/>
    <n v="26.225000000000001"/>
    <n v="0"/>
    <n v="0"/>
    <n v="0"/>
    <n v="0"/>
    <n v="0"/>
    <n v="20.7"/>
    <n v="0"/>
    <n v="-4.0499999999999972"/>
    <n v="13.549999999999997"/>
    <n v="602.60813959862139"/>
    <n v="386.37496243937028"/>
    <n v="403.2330192268364"/>
    <n v="11.3"/>
    <n v="34.729999999999997"/>
    <n v="0"/>
    <n v="0"/>
    <n v="0"/>
    <n v="0"/>
    <n v="0"/>
    <n v="0"/>
    <n v="0"/>
    <n v="0"/>
    <n v="0"/>
    <n v="53.76"/>
    <n v="0"/>
    <n v="0"/>
    <n v="278.57"/>
    <n v="36.06"/>
    <n v="0"/>
    <n v="51.74"/>
    <n v="0"/>
    <n v="0"/>
    <n v="0"/>
    <n v="454.87"/>
    <n v="490.71"/>
    <n v="0"/>
    <n v="0"/>
    <n v="232.08"/>
    <n v="0"/>
    <n v="0"/>
    <n v="0"/>
    <n v="0"/>
    <n v="0"/>
    <n v="183.19"/>
    <n v="0"/>
    <x v="4"/>
    <n v="119.91"/>
    <n v="5332.82"/>
    <n v="3419.25"/>
    <n v="3568.43"/>
    <x v="0"/>
    <n v="0.08"/>
    <n v="0.14285714285714285"/>
    <n v="0.01"/>
    <s v="No"/>
    <s v="Yes"/>
    <s v="No"/>
    <s v="Yes"/>
    <s v="No"/>
    <s v="Yes"/>
    <s v="Yes"/>
    <s v="No"/>
    <s v="N/a"/>
    <s v="N/a"/>
    <s v="N/a"/>
  </r>
  <r>
    <x v="5"/>
    <n v="5"/>
    <n v="0"/>
    <n v="0"/>
    <n v="0"/>
    <n v="0"/>
    <n v="0"/>
    <n v="0"/>
    <n v="0"/>
    <n v="0"/>
    <n v="0"/>
    <n v="6.3249999999999993"/>
    <n v="0"/>
    <n v="0"/>
    <n v="33.677500000000009"/>
    <n v="4.6749999999999998"/>
    <n v="0"/>
    <n v="6.5974999999999895"/>
    <n v="0"/>
    <n v="0"/>
    <n v="0"/>
    <n v="56.274999999999999"/>
    <n v="64.949999999999989"/>
    <n v="0"/>
    <n v="0"/>
    <n v="35.6"/>
    <n v="0"/>
    <n v="0"/>
    <n v="0"/>
    <n v="0"/>
    <n v="0"/>
    <n v="21.099999999999998"/>
    <n v="0"/>
    <n v="-8.6749999999999901"/>
    <n v="15.500000000000005"/>
    <n v="629.01497417229507"/>
    <n v="413.10908784985043"/>
    <n v="416.00316830841257"/>
    <n v="13.1"/>
    <n v="38.17"/>
    <n v="0"/>
    <n v="0"/>
    <n v="0"/>
    <n v="0"/>
    <n v="0"/>
    <n v="0"/>
    <n v="0"/>
    <n v="0"/>
    <n v="0"/>
    <n v="48.28"/>
    <n v="0"/>
    <n v="0"/>
    <n v="257.08"/>
    <n v="35.69"/>
    <n v="0"/>
    <n v="50.36"/>
    <n v="0"/>
    <n v="0"/>
    <n v="0"/>
    <n v="429.58"/>
    <n v="495.8"/>
    <n v="0"/>
    <n v="0"/>
    <n v="271.76"/>
    <n v="0"/>
    <n v="0"/>
    <n v="0"/>
    <n v="0"/>
    <n v="0"/>
    <n v="161.07"/>
    <n v="0"/>
    <x v="5"/>
    <n v="118.32"/>
    <n v="4801.6400000000003"/>
    <n v="3153.5"/>
    <n v="3175.6"/>
    <x v="1"/>
    <n v="0.08"/>
    <n v="0.14285714285714285"/>
    <n v="0.01"/>
    <s v="No"/>
    <s v="Yes"/>
    <s v="No"/>
    <s v="Yes"/>
    <s v="No"/>
    <s v="Yes"/>
    <s v="Yes"/>
    <s v="No"/>
    <s v="N/a"/>
    <s v="N/a"/>
    <s v="N/a"/>
  </r>
  <r>
    <x v="6"/>
    <n v="7.2"/>
    <n v="0"/>
    <n v="0"/>
    <n v="0"/>
    <n v="0"/>
    <n v="0"/>
    <n v="0"/>
    <n v="0"/>
    <n v="0"/>
    <n v="0"/>
    <n v="6.5500000000000007"/>
    <n v="0"/>
    <n v="0"/>
    <n v="35.978750000000005"/>
    <n v="4.9250000000000007"/>
    <n v="0"/>
    <n v="6.6212500000000034"/>
    <n v="0"/>
    <n v="0"/>
    <n v="0"/>
    <n v="61.275000000000006"/>
    <n v="71.775000000000006"/>
    <n v="0"/>
    <n v="0"/>
    <n v="40.35"/>
    <n v="0"/>
    <n v="0"/>
    <n v="0"/>
    <n v="0"/>
    <n v="0"/>
    <n v="22.525000000000002"/>
    <n v="0"/>
    <n v="-10.5"/>
    <n v="11.725000000000003"/>
    <n v="648.61560000003692"/>
    <n v="424.44674204334007"/>
    <n v="438.43980905463286"/>
    <n v="12.6"/>
    <n v="57.14"/>
    <n v="0"/>
    <n v="0"/>
    <n v="0"/>
    <n v="0"/>
    <n v="0"/>
    <n v="0"/>
    <n v="0"/>
    <n v="0"/>
    <n v="0"/>
    <n v="51.98"/>
    <n v="0"/>
    <n v="0"/>
    <n v="285.55"/>
    <n v="39.090000000000003"/>
    <n v="0"/>
    <n v="52.55"/>
    <n v="0"/>
    <n v="0"/>
    <n v="0"/>
    <n v="486.31"/>
    <n v="569.64"/>
    <n v="0"/>
    <n v="0"/>
    <n v="320.24"/>
    <n v="0"/>
    <n v="0"/>
    <n v="0"/>
    <n v="0"/>
    <n v="0"/>
    <n v="178.77"/>
    <n v="0"/>
    <x v="6"/>
    <n v="93.06"/>
    <n v="5147.74"/>
    <n v="3368.62"/>
    <n v="3479.68"/>
    <x v="0"/>
    <n v="0.08"/>
    <n v="0.14285714285714285"/>
    <n v="0.01"/>
    <s v="No"/>
    <s v="Yes"/>
    <s v="No"/>
    <s v="Yes"/>
    <s v="No"/>
    <s v="Yes"/>
    <s v="Yes"/>
    <s v="No"/>
    <s v="N/a"/>
    <s v="N/a"/>
    <s v="N/a"/>
  </r>
  <r>
    <x v="7"/>
    <n v="10.5"/>
    <n v="0"/>
    <n v="0"/>
    <n v="0"/>
    <n v="0"/>
    <n v="0"/>
    <n v="0"/>
    <n v="0"/>
    <n v="0"/>
    <n v="0"/>
    <n v="7.15"/>
    <n v="0"/>
    <n v="0"/>
    <n v="39.577999999999996"/>
    <n v="5.0999999999999996"/>
    <n v="0"/>
    <n v="3.3219999999999956"/>
    <n v="0"/>
    <n v="0"/>
    <n v="0"/>
    <n v="65.649999999999991"/>
    <n v="73"/>
    <n v="0"/>
    <n v="0"/>
    <n v="41.050000000000004"/>
    <n v="0"/>
    <n v="0"/>
    <n v="0"/>
    <n v="0"/>
    <n v="0"/>
    <n v="23.349999999999998"/>
    <n v="0"/>
    <n v="-7.3500000000000085"/>
    <n v="8.8249999999999993"/>
    <n v="661.60210486193819"/>
    <n v="443.06465310520912"/>
    <n v="438.32127419506884"/>
    <n v="12.3"/>
    <n v="85.37"/>
    <n v="0"/>
    <n v="0"/>
    <n v="0"/>
    <n v="0"/>
    <n v="0"/>
    <n v="0"/>
    <n v="0"/>
    <n v="0"/>
    <n v="0"/>
    <n v="58.13"/>
    <n v="0"/>
    <n v="0"/>
    <n v="321.77"/>
    <n v="41.46"/>
    <n v="0"/>
    <n v="27.01"/>
    <n v="0"/>
    <n v="0"/>
    <n v="0"/>
    <n v="533.74"/>
    <n v="593.5"/>
    <n v="0"/>
    <n v="0"/>
    <n v="333.74"/>
    <n v="0"/>
    <n v="0"/>
    <n v="0"/>
    <n v="0"/>
    <n v="0"/>
    <n v="189.84"/>
    <n v="0"/>
    <x v="7"/>
    <n v="71.75"/>
    <n v="5378.88"/>
    <n v="3602.15"/>
    <n v="3563.59"/>
    <x v="0"/>
    <n v="0.08"/>
    <n v="0.14285714285714285"/>
    <n v="0.01"/>
    <s v="No"/>
    <s v="Yes"/>
    <s v="No"/>
    <s v="Yes"/>
    <s v="No"/>
    <s v="Yes"/>
    <s v="Yes"/>
    <s v="No"/>
    <s v="N/a"/>
    <s v="N/a"/>
    <s v="N/a"/>
  </r>
  <r>
    <x v="8"/>
    <n v="11.65"/>
    <n v="0"/>
    <n v="0"/>
    <n v="0"/>
    <n v="0"/>
    <n v="0"/>
    <n v="0"/>
    <n v="0"/>
    <n v="0"/>
    <n v="0"/>
    <n v="7.7999999999999989"/>
    <n v="0"/>
    <n v="0"/>
    <n v="40.007500000000007"/>
    <n v="5.5500000000000007"/>
    <n v="0"/>
    <n v="3.4424999999999955"/>
    <n v="0"/>
    <n v="0"/>
    <n v="0"/>
    <n v="68.45"/>
    <n v="74.474999999999994"/>
    <n v="0"/>
    <n v="0"/>
    <n v="41.875"/>
    <n v="0"/>
    <n v="0"/>
    <n v="0"/>
    <n v="0"/>
    <n v="0"/>
    <n v="23.625"/>
    <n v="0"/>
    <n v="-6.0249999999999915"/>
    <n v="10.424999999999997"/>
    <n v="672.95560364991331"/>
    <n v="445.7376798921722"/>
    <n v="465.31387019651913"/>
    <n v="12.8"/>
    <n v="91.02"/>
    <n v="0"/>
    <n v="0"/>
    <n v="0"/>
    <n v="0"/>
    <n v="0"/>
    <n v="0"/>
    <n v="0"/>
    <n v="0"/>
    <n v="0"/>
    <n v="60.94"/>
    <n v="0"/>
    <n v="0"/>
    <n v="312.56"/>
    <n v="43.36"/>
    <n v="0"/>
    <n v="26.89"/>
    <n v="0"/>
    <n v="0"/>
    <n v="0"/>
    <n v="534.77"/>
    <n v="581.84"/>
    <n v="0"/>
    <n v="0"/>
    <n v="327.14999999999998"/>
    <n v="0"/>
    <n v="0"/>
    <n v="0"/>
    <n v="0"/>
    <n v="0"/>
    <n v="184.57"/>
    <n v="0"/>
    <x v="8"/>
    <n v="81.45"/>
    <n v="5257.47"/>
    <n v="3482.33"/>
    <n v="3635.26"/>
    <x v="0"/>
    <n v="0.08"/>
    <n v="0.14285714285714285"/>
    <n v="0.01"/>
    <s v="No"/>
    <s v="Yes"/>
    <s v="No"/>
    <s v="Yes"/>
    <s v="No"/>
    <s v="Yes"/>
    <s v="Yes"/>
    <s v="No"/>
    <s v="N/a"/>
    <s v="N/a"/>
    <s v="N/a"/>
  </r>
  <r>
    <x v="9"/>
    <n v="12.675000000000001"/>
    <n v="0"/>
    <n v="0"/>
    <n v="0"/>
    <n v="0"/>
    <n v="0"/>
    <n v="0"/>
    <n v="0"/>
    <n v="0"/>
    <n v="0"/>
    <n v="8.2250000000000014"/>
    <n v="0"/>
    <n v="0"/>
    <n v="39.743750000000006"/>
    <n v="6.05"/>
    <n v="0"/>
    <n v="3.4562499999999972"/>
    <n v="0"/>
    <n v="0"/>
    <n v="0"/>
    <n v="70.150000000000006"/>
    <n v="78.875"/>
    <n v="0"/>
    <n v="0"/>
    <n v="45.674999999999997"/>
    <n v="0"/>
    <n v="0"/>
    <n v="0"/>
    <n v="0"/>
    <n v="0"/>
    <n v="23.375000000000004"/>
    <n v="0"/>
    <n v="-8.7249999999999943"/>
    <n v="11.374999999999996"/>
    <n v="683.50307469945506"/>
    <n v="486.79413241935038"/>
    <n v="510.17846656066581"/>
    <n v="14"/>
    <n v="90.54"/>
    <n v="0"/>
    <n v="0"/>
    <n v="0"/>
    <n v="0"/>
    <n v="0"/>
    <n v="0"/>
    <n v="0"/>
    <n v="0"/>
    <n v="0"/>
    <n v="58.75"/>
    <n v="0"/>
    <n v="0"/>
    <n v="283.88"/>
    <n v="43.21"/>
    <n v="0"/>
    <n v="24.69"/>
    <n v="0"/>
    <n v="0"/>
    <n v="0"/>
    <n v="501.07"/>
    <n v="563.39"/>
    <n v="0"/>
    <n v="0"/>
    <n v="326.25"/>
    <n v="0"/>
    <n v="0"/>
    <n v="0"/>
    <n v="0"/>
    <n v="0"/>
    <n v="166.96"/>
    <n v="0"/>
    <x v="9"/>
    <n v="81.25"/>
    <n v="4882.16"/>
    <n v="3477.1"/>
    <n v="3644.13"/>
    <x v="0"/>
    <n v="0.08"/>
    <n v="0.14285714285714285"/>
    <n v="0.01"/>
    <s v="No"/>
    <s v="Yes"/>
    <s v="No"/>
    <s v="Yes"/>
    <s v="No"/>
    <s v="Yes"/>
    <s v="Yes"/>
    <s v="No"/>
    <s v="N/a"/>
    <s v="N/a"/>
    <s v="N/a"/>
  </r>
  <r>
    <x v="10"/>
    <n v="13.425000000000001"/>
    <n v="0"/>
    <n v="0"/>
    <n v="0"/>
    <n v="0"/>
    <n v="0"/>
    <n v="0"/>
    <n v="0"/>
    <n v="0"/>
    <n v="0"/>
    <n v="7.625"/>
    <n v="0"/>
    <n v="0"/>
    <n v="41.000000000000007"/>
    <n v="6.15"/>
    <n v="0"/>
    <n v="4.2999999999999972"/>
    <n v="0"/>
    <n v="0"/>
    <n v="0"/>
    <n v="72.500000000000014"/>
    <n v="81.525000000000006"/>
    <n v="0"/>
    <n v="0"/>
    <n v="48.224999999999994"/>
    <n v="0"/>
    <n v="0"/>
    <n v="0"/>
    <n v="0"/>
    <n v="0"/>
    <n v="24.25"/>
    <n v="0"/>
    <n v="-9.0249999999999915"/>
    <n v="10.524999999999995"/>
    <n v="692.2198981493043"/>
    <n v="516.54625242294969"/>
    <n v="505.89749000620208"/>
    <n v="14.4"/>
    <n v="93.23"/>
    <n v="0"/>
    <n v="0"/>
    <n v="0"/>
    <n v="0"/>
    <n v="0"/>
    <n v="0"/>
    <n v="0"/>
    <n v="0"/>
    <n v="0"/>
    <n v="52.95"/>
    <n v="0"/>
    <n v="0"/>
    <n v="284.72000000000003"/>
    <n v="42.71"/>
    <n v="0"/>
    <n v="29.86"/>
    <n v="0"/>
    <n v="0"/>
    <n v="0"/>
    <n v="503.47"/>
    <n v="566.15"/>
    <n v="0"/>
    <n v="0"/>
    <n v="334.9"/>
    <n v="0"/>
    <n v="0"/>
    <n v="0"/>
    <n v="0"/>
    <n v="0"/>
    <n v="168.4"/>
    <n v="0"/>
    <x v="10"/>
    <n v="73.09"/>
    <n v="4807.08"/>
    <n v="3587.13"/>
    <n v="3513.18"/>
    <x v="0"/>
    <n v="0.08"/>
    <n v="0.14285714285714285"/>
    <n v="0.01"/>
    <s v="No"/>
    <s v="Yes"/>
    <s v="No"/>
    <s v="Yes"/>
    <s v="No"/>
    <s v="Yes"/>
    <s v="Yes"/>
    <s v="No"/>
    <s v="N/a"/>
    <s v="N/a"/>
    <s v="N/a"/>
  </r>
  <r>
    <x v="11"/>
    <n v="13.174999999999999"/>
    <n v="0"/>
    <n v="0"/>
    <n v="0"/>
    <n v="0"/>
    <n v="0"/>
    <n v="0"/>
    <n v="0"/>
    <n v="0"/>
    <n v="0"/>
    <n v="7.4250000000000007"/>
    <n v="0"/>
    <n v="0"/>
    <n v="40.75"/>
    <n v="6"/>
    <n v="0"/>
    <n v="3.4750000000000085"/>
    <n v="0"/>
    <n v="0"/>
    <n v="0"/>
    <n v="70.825000000000003"/>
    <n v="83.024999999999991"/>
    <n v="0"/>
    <n v="0"/>
    <n v="49.35"/>
    <n v="0"/>
    <n v="0"/>
    <n v="0"/>
    <n v="0"/>
    <n v="0"/>
    <n v="24.449999999999996"/>
    <n v="0"/>
    <n v="-12.199999999999989"/>
    <n v="18.349999999999998"/>
    <n v="711.34591610179473"/>
    <n v="502.70016569427582"/>
    <n v="506.95427948717088"/>
    <n v="14"/>
    <n v="94.11"/>
    <n v="0"/>
    <n v="0"/>
    <n v="0"/>
    <n v="0"/>
    <n v="0"/>
    <n v="0"/>
    <n v="0"/>
    <n v="0"/>
    <n v="0"/>
    <n v="53.04"/>
    <n v="0"/>
    <n v="0"/>
    <n v="291.07"/>
    <n v="42.86"/>
    <n v="0"/>
    <n v="24.82"/>
    <n v="0"/>
    <n v="0"/>
    <n v="0"/>
    <n v="505.89"/>
    <n v="593.04"/>
    <n v="0"/>
    <n v="0"/>
    <n v="352.5"/>
    <n v="0"/>
    <n v="0"/>
    <n v="0"/>
    <n v="0"/>
    <n v="0"/>
    <n v="174.64"/>
    <n v="0"/>
    <x v="11"/>
    <n v="131.07"/>
    <n v="5081.04"/>
    <n v="3590.72"/>
    <n v="3621.1"/>
    <x v="0"/>
    <n v="0.08"/>
    <n v="0.14285714285714285"/>
    <n v="0.01"/>
    <s v="No"/>
    <s v="Yes"/>
    <s v="No"/>
    <s v="Yes"/>
    <s v="No"/>
    <s v="Yes"/>
    <s v="Yes"/>
    <s v="No"/>
    <s v="N/a"/>
    <s v="N/a"/>
    <s v="N/a"/>
  </r>
  <r>
    <x v="12"/>
    <n v="13.399999999999999"/>
    <n v="0"/>
    <n v="0"/>
    <n v="0"/>
    <n v="0"/>
    <n v="0"/>
    <n v="0"/>
    <n v="0"/>
    <n v="0"/>
    <n v="0"/>
    <n v="7.6"/>
    <n v="0"/>
    <n v="0"/>
    <n v="40.25"/>
    <n v="6.0750000000000002"/>
    <n v="0"/>
    <n v="4.0749999999999886"/>
    <n v="0"/>
    <n v="0"/>
    <n v="0"/>
    <n v="71.399999999999991"/>
    <n v="89.174999999999997"/>
    <n v="0"/>
    <n v="0"/>
    <n v="54.375"/>
    <n v="0"/>
    <n v="0"/>
    <n v="0"/>
    <n v="0"/>
    <n v="0"/>
    <n v="25.050000000000004"/>
    <n v="0"/>
    <n v="-17.775000000000006"/>
    <n v="27.474999999999998"/>
    <n v="755.35108906544383"/>
    <n v="518.4194504657778"/>
    <n v="537.09567863009647"/>
    <n v="15.9"/>
    <n v="84.28"/>
    <n v="0"/>
    <n v="0"/>
    <n v="0"/>
    <n v="0"/>
    <n v="0"/>
    <n v="0"/>
    <n v="0"/>
    <n v="0"/>
    <n v="0"/>
    <n v="47.8"/>
    <n v="0"/>
    <n v="0"/>
    <n v="253.14"/>
    <n v="38.21"/>
    <n v="0"/>
    <n v="25.63"/>
    <n v="0"/>
    <n v="0"/>
    <n v="0"/>
    <n v="449.06"/>
    <n v="560.85"/>
    <n v="0"/>
    <n v="0"/>
    <n v="341.98"/>
    <n v="0"/>
    <n v="0"/>
    <n v="0"/>
    <n v="0"/>
    <n v="0"/>
    <n v="157.55000000000001"/>
    <n v="0"/>
    <x v="12"/>
    <n v="172.8"/>
    <n v="4750.6400000000003"/>
    <n v="3260.5"/>
    <n v="3377.96"/>
    <x v="0"/>
    <n v="0.08"/>
    <n v="0.14285714285714285"/>
    <n v="0.01"/>
    <s v="No"/>
    <s v="Yes"/>
    <s v="No"/>
    <s v="Yes"/>
    <s v="No"/>
    <s v="Yes"/>
    <s v="Yes"/>
    <s v="No"/>
    <s v="N/a"/>
    <s v="N/a"/>
    <s v="N/a"/>
  </r>
  <r>
    <x v="13"/>
    <n v="14.350000000000001"/>
    <n v="0"/>
    <n v="0"/>
    <n v="0"/>
    <n v="0"/>
    <n v="0"/>
    <n v="0"/>
    <n v="0"/>
    <n v="0"/>
    <n v="0"/>
    <n v="7.9250000000000007"/>
    <n v="0"/>
    <n v="0"/>
    <n v="41.749999999999993"/>
    <n v="6.35"/>
    <n v="0"/>
    <n v="5.125"/>
    <n v="0"/>
    <n v="0"/>
    <n v="0"/>
    <n v="75.499999999999986"/>
    <n v="98.899999999999991"/>
    <n v="0"/>
    <n v="0"/>
    <n v="60.999999999999993"/>
    <n v="0"/>
    <n v="0"/>
    <n v="0"/>
    <n v="0"/>
    <n v="0"/>
    <n v="26.624999999999996"/>
    <n v="0"/>
    <n v="-23.400000000000006"/>
    <n v="36.049999999999997"/>
    <n v="823.49360801382545"/>
    <n v="540.68923965276849"/>
    <n v="529.20013353379386"/>
    <n v="16.3"/>
    <n v="88.04"/>
    <n v="0"/>
    <n v="0"/>
    <n v="0"/>
    <n v="0"/>
    <n v="0"/>
    <n v="0"/>
    <n v="0"/>
    <n v="0"/>
    <n v="0"/>
    <n v="48.62"/>
    <n v="0"/>
    <n v="0"/>
    <n v="256.13"/>
    <n v="38.96"/>
    <n v="0"/>
    <n v="31.44"/>
    <n v="0"/>
    <n v="0"/>
    <n v="0"/>
    <n v="463.19"/>
    <n v="606.75"/>
    <n v="0"/>
    <n v="0"/>
    <n v="374.23"/>
    <n v="0"/>
    <n v="0"/>
    <n v="0"/>
    <n v="0"/>
    <n v="0"/>
    <n v="163.34"/>
    <n v="0"/>
    <x v="13"/>
    <n v="221.17"/>
    <n v="5052.1099999999997"/>
    <n v="3317.11"/>
    <n v="3246.63"/>
    <x v="0"/>
    <n v="0.08"/>
    <n v="0.14285714285714285"/>
    <n v="0.01"/>
    <s v="No"/>
    <s v="Yes"/>
    <s v="No"/>
    <s v="Yes"/>
    <s v="No"/>
    <s v="Yes"/>
    <s v="Yes"/>
    <s v="No"/>
    <s v="N/a"/>
    <s v="N/a"/>
    <s v="N/a"/>
  </r>
  <r>
    <x v="14"/>
    <n v="14.525"/>
    <n v="0"/>
    <n v="0"/>
    <n v="0"/>
    <n v="0"/>
    <n v="0"/>
    <n v="0"/>
    <n v="0"/>
    <n v="0"/>
    <n v="0"/>
    <n v="8.375"/>
    <n v="0"/>
    <n v="0"/>
    <n v="44"/>
    <n v="6.55"/>
    <n v="0"/>
    <n v="4.7500000000000142"/>
    <n v="0"/>
    <n v="0"/>
    <n v="0"/>
    <n v="78.200000000000017"/>
    <n v="111.625"/>
    <n v="0"/>
    <n v="0"/>
    <n v="72.174999999999997"/>
    <n v="0"/>
    <n v="0"/>
    <n v="0"/>
    <n v="0"/>
    <n v="0"/>
    <n v="27.975000000000001"/>
    <n v="0"/>
    <n v="-33.424999999999983"/>
    <n v="31.35"/>
    <n v="855.28645824487296"/>
    <n v="527.5376320724049"/>
    <n v="535.7017352686014"/>
    <n v="14.2"/>
    <n v="102.29"/>
    <n v="0"/>
    <n v="0"/>
    <n v="0"/>
    <n v="0"/>
    <n v="0"/>
    <n v="0"/>
    <n v="0"/>
    <n v="0"/>
    <n v="0"/>
    <n v="58.98"/>
    <n v="0"/>
    <n v="0"/>
    <n v="309.86"/>
    <n v="46.13"/>
    <n v="0"/>
    <n v="33.450000000000003"/>
    <n v="0"/>
    <n v="0"/>
    <n v="0"/>
    <n v="550.70000000000005"/>
    <n v="786.09"/>
    <n v="0"/>
    <n v="0"/>
    <n v="508.27"/>
    <n v="0"/>
    <n v="0"/>
    <n v="0"/>
    <n v="0"/>
    <n v="0"/>
    <n v="197.01"/>
    <n v="0"/>
    <x v="14"/>
    <n v="220.77"/>
    <n v="6023.14"/>
    <n v="3715.05"/>
    <n v="3772.55"/>
    <x v="0"/>
    <n v="0.08"/>
    <n v="0.14285714285714285"/>
    <n v="0.01"/>
    <s v="No"/>
    <s v="Yes"/>
    <s v="No"/>
    <s v="Yes"/>
    <s v="No"/>
    <s v="Yes"/>
    <s v="Yes"/>
    <s v="No"/>
    <s v="N/a"/>
    <s v="N/a"/>
    <s v="N/a"/>
  </r>
  <r>
    <x v="15"/>
    <n v="13.899999999999999"/>
    <n v="0"/>
    <n v="0"/>
    <n v="0"/>
    <n v="0"/>
    <n v="0"/>
    <n v="0"/>
    <n v="0"/>
    <n v="0"/>
    <n v="0"/>
    <n v="8.9499999999999993"/>
    <n v="0"/>
    <n v="0"/>
    <n v="42.750000000000007"/>
    <n v="6.7250000000000005"/>
    <n v="0"/>
    <n v="4.2999999999999972"/>
    <n v="0"/>
    <n v="0"/>
    <n v="0"/>
    <n v="76.625"/>
    <n v="109.55000000000001"/>
    <n v="0"/>
    <n v="0"/>
    <n v="68.400000000000006"/>
    <n v="0"/>
    <n v="0"/>
    <n v="0"/>
    <n v="0"/>
    <n v="0"/>
    <n v="30.55"/>
    <n v="0"/>
    <n v="-32.925000000000011"/>
    <n v="15.825000000000003"/>
    <n v="887.96047853424182"/>
    <n v="525.46174021962725"/>
    <n v="496.81764692548211"/>
    <n v="12.7"/>
    <n v="109.45"/>
    <n v="0"/>
    <n v="0"/>
    <n v="0"/>
    <n v="0"/>
    <n v="0"/>
    <n v="0"/>
    <n v="0"/>
    <n v="0"/>
    <n v="0"/>
    <n v="70.47"/>
    <n v="0"/>
    <n v="0"/>
    <n v="336.61"/>
    <n v="52.95"/>
    <n v="0"/>
    <n v="33.86"/>
    <n v="0"/>
    <n v="0"/>
    <n v="0"/>
    <n v="603.35"/>
    <n v="862.6"/>
    <n v="0"/>
    <n v="0"/>
    <n v="538.58000000000004"/>
    <n v="0"/>
    <n v="0"/>
    <n v="0"/>
    <n v="0"/>
    <n v="0"/>
    <n v="240.55"/>
    <n v="0"/>
    <x v="15"/>
    <n v="124.61"/>
    <n v="6991.81"/>
    <n v="4137.49"/>
    <n v="3911.95"/>
    <x v="0"/>
    <n v="0.08"/>
    <n v="0.14285714285714285"/>
    <n v="0.01"/>
    <s v="No"/>
    <s v="Yes"/>
    <s v="No"/>
    <s v="Yes"/>
    <s v="No"/>
    <s v="Yes"/>
    <s v="Yes"/>
    <s v="No"/>
    <s v="N/a"/>
    <s v="N/a"/>
    <s v="N/a"/>
  </r>
  <r>
    <x v="16"/>
    <n v="9.4250000000000007"/>
    <n v="0"/>
    <n v="0"/>
    <n v="0"/>
    <n v="0"/>
    <n v="0"/>
    <n v="0"/>
    <n v="0"/>
    <n v="0"/>
    <n v="0"/>
    <n v="7.5249999999999995"/>
    <n v="0"/>
    <n v="0"/>
    <n v="38.249999999999993"/>
    <n v="6.8999999999999995"/>
    <n v="0"/>
    <n v="4.2000000000000171"/>
    <n v="0"/>
    <n v="0"/>
    <n v="0"/>
    <n v="66.300000000000011"/>
    <n v="92.45"/>
    <n v="0"/>
    <n v="0"/>
    <n v="49.35"/>
    <n v="0"/>
    <n v="0"/>
    <n v="0"/>
    <n v="0"/>
    <n v="0"/>
    <n v="32.375"/>
    <n v="0"/>
    <n v="-26.149999999999991"/>
    <n v="1.8499999999999961"/>
    <n v="884.01425013158951"/>
    <n v="486.90852336769831"/>
    <n v="495.73436954627584"/>
    <n v="11.6"/>
    <n v="81.25"/>
    <n v="0"/>
    <n v="0"/>
    <n v="0"/>
    <n v="0"/>
    <n v="0"/>
    <n v="0"/>
    <n v="0"/>
    <n v="0"/>
    <n v="0"/>
    <n v="64.87"/>
    <n v="0"/>
    <n v="0"/>
    <n v="329.74"/>
    <n v="59.48"/>
    <n v="0"/>
    <n v="36.21"/>
    <n v="0"/>
    <n v="0"/>
    <n v="0"/>
    <n v="571.54999999999995"/>
    <n v="796.98"/>
    <n v="0"/>
    <n v="0"/>
    <n v="425.43"/>
    <n v="0"/>
    <n v="0"/>
    <n v="0"/>
    <n v="0"/>
    <n v="0"/>
    <n v="279.08999999999997"/>
    <n v="0"/>
    <x v="16"/>
    <n v="15.95"/>
    <n v="7620.81"/>
    <n v="4197.49"/>
    <n v="4273.57"/>
    <x v="0"/>
    <n v="0.08"/>
    <n v="0.14285714285714285"/>
    <n v="0.01"/>
    <s v="No"/>
    <s v="Yes"/>
    <s v="No"/>
    <s v="Yes"/>
    <s v="No"/>
    <s v="Yes"/>
    <s v="Yes"/>
    <s v="No"/>
    <s v="N/a"/>
    <s v="N/a"/>
    <s v="N/a"/>
  </r>
  <r>
    <x v="17"/>
    <n v="1.8749999999999998"/>
    <n v="0"/>
    <n v="0"/>
    <n v="0"/>
    <n v="0"/>
    <n v="0"/>
    <n v="0"/>
    <n v="0"/>
    <n v="0"/>
    <n v="0"/>
    <n v="8.1999999999999993"/>
    <n v="0"/>
    <n v="0"/>
    <n v="37"/>
    <n v="7.2"/>
    <n v="0"/>
    <n v="3.7999999999999972"/>
    <n v="0"/>
    <n v="0"/>
    <n v="0"/>
    <n v="58.075000000000003"/>
    <n v="68.149999999999991"/>
    <n v="0"/>
    <n v="0"/>
    <n v="25.574999999999999"/>
    <n v="0"/>
    <n v="0"/>
    <n v="0"/>
    <n v="0"/>
    <n v="0"/>
    <n v="32.549999999999997"/>
    <n v="0"/>
    <n v="-10.074999999999989"/>
    <n v="0.35000000000000142"/>
    <n v="878.85870678623621"/>
    <n v="504.92567324177679"/>
    <n v="514.4824344542011"/>
    <n v="13.2"/>
    <n v="14.2"/>
    <n v="0"/>
    <n v="0"/>
    <n v="0"/>
    <n v="0"/>
    <n v="0"/>
    <n v="0"/>
    <n v="0"/>
    <n v="0"/>
    <n v="0"/>
    <n v="62.12"/>
    <n v="0"/>
    <n v="0"/>
    <n v="280.3"/>
    <n v="54.55"/>
    <n v="0"/>
    <n v="28.79"/>
    <n v="0"/>
    <n v="0"/>
    <n v="0"/>
    <n v="439.96"/>
    <n v="516.29"/>
    <n v="0"/>
    <n v="0"/>
    <n v="193.75"/>
    <n v="0"/>
    <n v="0"/>
    <n v="0"/>
    <n v="0"/>
    <n v="0"/>
    <n v="246.59"/>
    <n v="0"/>
    <x v="17"/>
    <n v="2.65"/>
    <n v="6658.02"/>
    <n v="3825.19"/>
    <n v="3897.59"/>
    <x v="0"/>
    <n v="0.08"/>
    <n v="0.14285714285714285"/>
    <n v="0.01"/>
    <s v="No"/>
    <s v="Yes"/>
    <s v="No"/>
    <s v="Yes"/>
    <s v="No"/>
    <s v="Yes"/>
    <s v="Yes"/>
    <s v="No"/>
    <s v="N/a"/>
    <s v="N/a"/>
    <s v="N/a"/>
  </r>
  <r>
    <x v="18"/>
    <n v="0.49999999999999994"/>
    <n v="0"/>
    <n v="0"/>
    <n v="0"/>
    <n v="0"/>
    <n v="0"/>
    <n v="0"/>
    <n v="0"/>
    <n v="0"/>
    <n v="0"/>
    <n v="8.1999999999999993"/>
    <n v="0"/>
    <n v="0"/>
    <n v="40.000000000000007"/>
    <n v="7.15"/>
    <n v="0"/>
    <n v="3.2999999999999901"/>
    <n v="0"/>
    <n v="0"/>
    <n v="0"/>
    <n v="59.149999999999991"/>
    <n v="58.425000000000004"/>
    <n v="0"/>
    <n v="0"/>
    <n v="17.2"/>
    <n v="0"/>
    <n v="0"/>
    <n v="0"/>
    <n v="0"/>
    <n v="0"/>
    <n v="31.45"/>
    <n v="0"/>
    <n v="0.72499999999998721"/>
    <n v="1.575"/>
    <n v="877.09104244275807"/>
    <n v="511.15207996694903"/>
    <n v="494.93460978002048"/>
    <n v="13.2"/>
    <n v="3.79"/>
    <n v="0"/>
    <n v="0"/>
    <n v="0"/>
    <n v="0"/>
    <n v="0"/>
    <n v="0"/>
    <n v="0"/>
    <n v="0"/>
    <n v="0"/>
    <n v="62.12"/>
    <n v="0"/>
    <n v="0"/>
    <n v="303.02999999999997"/>
    <n v="54.17"/>
    <n v="0"/>
    <n v="25"/>
    <n v="0"/>
    <n v="0"/>
    <n v="0"/>
    <n v="448.11"/>
    <n v="442.61"/>
    <n v="0"/>
    <n v="0"/>
    <n v="130.30000000000001"/>
    <n v="0"/>
    <n v="0"/>
    <n v="0"/>
    <n v="0"/>
    <n v="0"/>
    <n v="238.26"/>
    <n v="0"/>
    <x v="18"/>
    <n v="11.93"/>
    <n v="6644.63"/>
    <n v="3872.36"/>
    <n v="3749.5"/>
    <x v="0"/>
    <n v="0.08"/>
    <n v="0.14285714285714285"/>
    <n v="0.01"/>
    <s v="No"/>
    <s v="Yes"/>
    <s v="No"/>
    <s v="Yes"/>
    <s v="No"/>
    <s v="Yes"/>
    <s v="Yes"/>
    <s v="No"/>
    <s v="N/a"/>
    <s v="N/a"/>
    <s v="N/a"/>
  </r>
  <r>
    <x v="19"/>
    <n v="0.15000000000000002"/>
    <n v="0"/>
    <n v="0"/>
    <n v="0"/>
    <n v="0"/>
    <n v="0"/>
    <n v="0"/>
    <n v="0"/>
    <n v="0"/>
    <n v="0"/>
    <n v="8.1999999999999993"/>
    <n v="0"/>
    <n v="0"/>
    <n v="40.5"/>
    <n v="6.9749999999999996"/>
    <n v="0"/>
    <n v="2.7250000000000014"/>
    <n v="0"/>
    <n v="0"/>
    <n v="0"/>
    <n v="58.550000000000004"/>
    <n v="57.575000000000003"/>
    <n v="0"/>
    <n v="0"/>
    <n v="15.95"/>
    <n v="0"/>
    <n v="0"/>
    <n v="0"/>
    <n v="0"/>
    <n v="0"/>
    <n v="31.25"/>
    <n v="0"/>
    <n v="0.97500000000000142"/>
    <n v="0.82500000000000095"/>
    <n v="873.16346001687612"/>
    <n v="488.60913658900455"/>
    <n v="492.17566039390124"/>
    <n v="12.9"/>
    <n v="1.1599999999999999"/>
    <n v="0"/>
    <n v="0"/>
    <n v="0"/>
    <n v="0"/>
    <n v="0"/>
    <n v="0"/>
    <n v="0"/>
    <n v="0"/>
    <n v="0"/>
    <n v="63.57"/>
    <n v="0"/>
    <n v="0"/>
    <n v="313.95"/>
    <n v="54.07"/>
    <n v="0"/>
    <n v="21.12"/>
    <n v="0"/>
    <n v="0"/>
    <n v="0"/>
    <n v="453.88"/>
    <n v="446.32"/>
    <n v="0"/>
    <n v="0"/>
    <n v="123.64"/>
    <n v="0"/>
    <n v="0"/>
    <n v="0"/>
    <n v="0"/>
    <n v="0"/>
    <n v="242.25"/>
    <n v="0"/>
    <x v="19"/>
    <n v="6.4"/>
    <n v="6768.71"/>
    <n v="3787.67"/>
    <n v="3815.32"/>
    <x v="0"/>
    <n v="0.08"/>
    <n v="0.14285714285714285"/>
    <n v="0.01"/>
    <s v="No"/>
    <s v="Yes"/>
    <s v="No"/>
    <s v="Yes"/>
    <s v="No"/>
    <s v="Yes"/>
    <s v="Yes"/>
    <s v="No"/>
    <s v="N/a"/>
    <s v="N/a"/>
    <s v="N/a"/>
  </r>
  <r>
    <x v="20"/>
    <n v="0"/>
    <n v="0"/>
    <n v="0"/>
    <n v="0"/>
    <n v="0"/>
    <n v="0"/>
    <n v="0"/>
    <n v="0"/>
    <n v="0"/>
    <n v="0"/>
    <n v="8.2249999999999996"/>
    <n v="0"/>
    <n v="0"/>
    <n v="42.25"/>
    <n v="6.8750000000000009"/>
    <n v="0"/>
    <n v="2.9749999999999943"/>
    <n v="0"/>
    <n v="0"/>
    <n v="0"/>
    <n v="60.324999999999996"/>
    <n v="57.725000000000001"/>
    <n v="0"/>
    <n v="0"/>
    <n v="16.700000000000003"/>
    <n v="0"/>
    <n v="0"/>
    <n v="0"/>
    <n v="0"/>
    <n v="0"/>
    <n v="31.325000000000006"/>
    <n v="0"/>
    <n v="2.5999999999999943"/>
    <n v="1.925"/>
    <n v="871.90185090961347"/>
    <n v="489.11022150841472"/>
    <n v="479.41281993254518"/>
    <n v="11.7"/>
    <n v="0"/>
    <n v="0"/>
    <n v="0"/>
    <n v="0"/>
    <n v="0"/>
    <n v="0"/>
    <n v="0"/>
    <n v="0"/>
    <n v="0"/>
    <n v="0"/>
    <n v="70.3"/>
    <n v="0"/>
    <n v="0"/>
    <n v="361.11"/>
    <n v="58.76"/>
    <n v="0"/>
    <n v="25.43"/>
    <n v="0"/>
    <n v="0"/>
    <n v="0"/>
    <n v="515.6"/>
    <n v="493.38"/>
    <n v="0"/>
    <n v="0"/>
    <n v="142.74"/>
    <n v="0"/>
    <n v="0"/>
    <n v="0"/>
    <n v="0"/>
    <n v="0"/>
    <n v="267.74"/>
    <n v="0"/>
    <x v="20"/>
    <n v="16.45"/>
    <n v="7452.15"/>
    <n v="4180.43"/>
    <n v="4097.55"/>
    <x v="0"/>
    <n v="0.08"/>
    <n v="0.14285714285714285"/>
    <n v="0.01"/>
    <s v="No"/>
    <s v="Yes"/>
    <s v="No"/>
    <s v="Yes"/>
    <s v="No"/>
    <s v="Yes"/>
    <s v="Yes"/>
    <s v="No"/>
    <s v="N/a"/>
    <s v="N/a"/>
    <s v="N/a"/>
  </r>
  <r>
    <x v="21"/>
    <n v="0"/>
    <n v="0"/>
    <n v="0"/>
    <n v="0"/>
    <n v="0"/>
    <n v="0"/>
    <n v="0"/>
    <n v="0"/>
    <n v="0"/>
    <n v="0"/>
    <n v="8.15"/>
    <n v="0"/>
    <n v="0"/>
    <n v="42.75"/>
    <n v="6.8249999999999993"/>
    <n v="0"/>
    <n v="3.4500000000000028"/>
    <n v="0"/>
    <n v="0"/>
    <n v="0"/>
    <n v="61.174999999999997"/>
    <n v="57.9"/>
    <n v="0"/>
    <n v="0"/>
    <n v="16.7"/>
    <n v="0"/>
    <n v="0"/>
    <n v="0"/>
    <n v="0"/>
    <n v="0"/>
    <n v="31.975000000000005"/>
    <n v="0"/>
    <n v="3.2749999999999986"/>
    <n v="3.25"/>
    <n v="870.67405948768942"/>
    <n v="469.1720093263234"/>
    <n v="458.38778968974941"/>
    <n v="10.3"/>
    <n v="0"/>
    <n v="0"/>
    <n v="0"/>
    <n v="0"/>
    <n v="0"/>
    <n v="0"/>
    <n v="0"/>
    <n v="0"/>
    <n v="0"/>
    <n v="0"/>
    <n v="79.13"/>
    <n v="0"/>
    <n v="0"/>
    <n v="415.05"/>
    <n v="66.260000000000005"/>
    <n v="0"/>
    <n v="33.5"/>
    <n v="0"/>
    <n v="0"/>
    <n v="0"/>
    <n v="593.92999999999995"/>
    <n v="562.14"/>
    <n v="0"/>
    <n v="0"/>
    <n v="162.13999999999999"/>
    <n v="0"/>
    <n v="0"/>
    <n v="0"/>
    <n v="0"/>
    <n v="0"/>
    <n v="310.44"/>
    <n v="0"/>
    <x v="21"/>
    <n v="31.55"/>
    <n v="8453.15"/>
    <n v="4555.07"/>
    <n v="4450.37"/>
    <x v="0"/>
    <n v="0.08"/>
    <n v="0.14285714285714285"/>
    <n v="0.01"/>
    <s v="No"/>
    <s v="Yes"/>
    <s v="No"/>
    <s v="Yes"/>
    <s v="No"/>
    <s v="Yes"/>
    <s v="Yes"/>
    <s v="No"/>
    <s v="N/a"/>
    <s v="N/a"/>
    <s v="N/a"/>
  </r>
  <r>
    <x v="22"/>
    <n v="0"/>
    <n v="0"/>
    <n v="0"/>
    <n v="0"/>
    <n v="0"/>
    <n v="0"/>
    <n v="0"/>
    <n v="0"/>
    <n v="0"/>
    <n v="0"/>
    <n v="7.45"/>
    <n v="0"/>
    <n v="0"/>
    <n v="41.749999999999993"/>
    <n v="6.9500000000000011"/>
    <n v="0"/>
    <n v="3.3999999999999986"/>
    <n v="0"/>
    <n v="0"/>
    <n v="0"/>
    <n v="59.55"/>
    <n v="56.424999999999997"/>
    <n v="0"/>
    <n v="0"/>
    <n v="15.999999999999996"/>
    <n v="0"/>
    <n v="0"/>
    <n v="0"/>
    <n v="0"/>
    <n v="0"/>
    <n v="31.774999999999999"/>
    <n v="0"/>
    <n v="3.125"/>
    <n v="3.6"/>
    <n v="880.03021089570939"/>
    <n v="457.81929044501749"/>
    <n v="467.46651159212757"/>
    <n v="8.9"/>
    <n v="0"/>
    <n v="0"/>
    <n v="0"/>
    <n v="0"/>
    <n v="0"/>
    <n v="0"/>
    <n v="0"/>
    <n v="0"/>
    <n v="0"/>
    <n v="0"/>
    <n v="83.71"/>
    <n v="0"/>
    <n v="0"/>
    <n v="469.1"/>
    <n v="78.09"/>
    <n v="0"/>
    <n v="38.200000000000003"/>
    <n v="0"/>
    <n v="0"/>
    <n v="0"/>
    <n v="669.1"/>
    <n v="633.99"/>
    <n v="0"/>
    <n v="0"/>
    <n v="179.78"/>
    <n v="0"/>
    <n v="0"/>
    <n v="0"/>
    <n v="0"/>
    <n v="0"/>
    <n v="357.02"/>
    <n v="0"/>
    <x v="22"/>
    <n v="40.450000000000003"/>
    <n v="9887.98"/>
    <n v="5144.04"/>
    <n v="5252.43"/>
    <x v="0"/>
    <n v="0.08"/>
    <n v="0.14285714285714285"/>
    <n v="0.01"/>
    <s v="No"/>
    <s v="Yes"/>
    <s v="No"/>
    <s v="Yes"/>
    <s v="No"/>
    <s v="Yes"/>
    <s v="Yes"/>
    <s v="No"/>
    <s v="N/a"/>
    <s v="N/a"/>
    <s v="N/a"/>
  </r>
  <r>
    <x v="23"/>
    <n v="0"/>
    <n v="0"/>
    <n v="0"/>
    <n v="0"/>
    <n v="0"/>
    <n v="0"/>
    <n v="0"/>
    <n v="0"/>
    <n v="0"/>
    <n v="0"/>
    <n v="6.3500000000000005"/>
    <n v="0"/>
    <n v="0"/>
    <n v="41.25"/>
    <n v="7.2249999999999996"/>
    <n v="0"/>
    <n v="3.9749999999999943"/>
    <n v="0"/>
    <n v="0"/>
    <n v="0"/>
    <n v="58.8"/>
    <n v="55.95"/>
    <n v="0"/>
    <n v="0"/>
    <n v="13.999999999999998"/>
    <n v="0"/>
    <n v="0"/>
    <n v="0"/>
    <n v="0"/>
    <n v="0"/>
    <n v="31.049999999999997"/>
    <n v="0"/>
    <n v="2.8499999999999943"/>
    <n v="4.2"/>
    <n v="880.13960387247153"/>
    <n v="480.73747262272775"/>
    <n v="497.63217353681807"/>
    <n v="9.5"/>
    <n v="0"/>
    <n v="0"/>
    <n v="0"/>
    <n v="0"/>
    <n v="0"/>
    <n v="0"/>
    <n v="0"/>
    <n v="0"/>
    <n v="0"/>
    <n v="0"/>
    <n v="66.84"/>
    <n v="0"/>
    <n v="0"/>
    <n v="434.21"/>
    <n v="76.05"/>
    <n v="0"/>
    <n v="41.84"/>
    <n v="0"/>
    <n v="0"/>
    <n v="0"/>
    <n v="618.95000000000005"/>
    <n v="588.95000000000005"/>
    <n v="0"/>
    <n v="0"/>
    <n v="147.37"/>
    <n v="0"/>
    <n v="0"/>
    <n v="0"/>
    <n v="0"/>
    <n v="0"/>
    <n v="326.83999999999997"/>
    <n v="0"/>
    <x v="23"/>
    <n v="44.21"/>
    <n v="9264.6299999999992"/>
    <n v="5060.3900000000003"/>
    <n v="5238.2299999999996"/>
    <x v="0"/>
    <n v="0.08"/>
    <n v="0.14285714285714285"/>
    <n v="0.01"/>
    <s v="No"/>
    <s v="Yes"/>
    <s v="No"/>
    <s v="Yes"/>
    <s v="No"/>
    <s v="Yes"/>
    <s v="Yes"/>
    <s v="No"/>
    <s v="N/a"/>
    <s v="N/a"/>
    <s v="N/a"/>
  </r>
  <r>
    <x v="24"/>
    <n v="0"/>
    <n v="0"/>
    <n v="0"/>
    <n v="0"/>
    <n v="0"/>
    <n v="0"/>
    <n v="0"/>
    <n v="0"/>
    <n v="0"/>
    <n v="0"/>
    <n v="5.3249999999999993"/>
    <n v="0"/>
    <n v="0"/>
    <n v="42"/>
    <n v="7.6249999999999991"/>
    <n v="0"/>
    <n v="4.25"/>
    <n v="0"/>
    <n v="0"/>
    <n v="0"/>
    <n v="59.2"/>
    <n v="54.599999999999994"/>
    <n v="0"/>
    <n v="0"/>
    <n v="14.524999999999999"/>
    <n v="0"/>
    <n v="0"/>
    <n v="0"/>
    <n v="0"/>
    <n v="0"/>
    <n v="30.05"/>
    <n v="0"/>
    <n v="4.6000000000000085"/>
    <n v="4.05"/>
    <n v="869.60962327398011"/>
    <n v="518.67950205769898"/>
    <n v="543.87945818537048"/>
    <n v="10.3"/>
    <n v="0"/>
    <n v="0"/>
    <n v="0"/>
    <n v="0"/>
    <n v="0"/>
    <n v="0"/>
    <n v="0"/>
    <n v="0"/>
    <n v="0"/>
    <n v="0"/>
    <n v="51.7"/>
    <n v="0"/>
    <n v="0"/>
    <n v="407.77"/>
    <n v="74.03"/>
    <n v="0"/>
    <n v="41.26"/>
    <n v="0"/>
    <n v="0"/>
    <n v="0"/>
    <n v="574.76"/>
    <n v="530.1"/>
    <n v="0"/>
    <n v="0"/>
    <n v="141.02000000000001"/>
    <n v="0"/>
    <n v="0"/>
    <n v="0"/>
    <n v="0"/>
    <n v="0"/>
    <n v="291.75"/>
    <n v="0"/>
    <x v="24"/>
    <n v="39.32"/>
    <n v="8442.81"/>
    <n v="5035.72"/>
    <n v="5280.38"/>
    <x v="0"/>
    <n v="0.08"/>
    <n v="0.14285714285714285"/>
    <n v="0.01"/>
    <s v="No"/>
    <s v="Yes"/>
    <s v="No"/>
    <s v="Yes"/>
    <s v="No"/>
    <s v="Yes"/>
    <s v="Yes"/>
    <s v="No"/>
    <s v="N/a"/>
    <s v="N/a"/>
    <s v="N/a"/>
  </r>
  <r>
    <x v="25"/>
    <n v="0"/>
    <n v="0"/>
    <n v="0"/>
    <n v="0"/>
    <n v="0"/>
    <n v="0"/>
    <n v="0"/>
    <n v="0"/>
    <n v="0"/>
    <n v="0"/>
    <n v="5.3250000000000011"/>
    <n v="0"/>
    <n v="0"/>
    <n v="41.500000000000007"/>
    <n v="7.5250000000000004"/>
    <n v="0"/>
    <n v="2.7249999999999943"/>
    <n v="0"/>
    <n v="0"/>
    <n v="0"/>
    <n v="57.075000000000003"/>
    <n v="55.15"/>
    <n v="0"/>
    <n v="0"/>
    <n v="15.149999999999999"/>
    <n v="0"/>
    <n v="0"/>
    <n v="0"/>
    <n v="0"/>
    <n v="0"/>
    <n v="29.95"/>
    <n v="0"/>
    <n v="1.9250000000000043"/>
    <n v="2.4750000000000001"/>
    <n v="859.97423857243302"/>
    <n v="540.10003248954138"/>
    <n v="507.34122497021167"/>
    <n v="12.1"/>
    <n v="0"/>
    <n v="0"/>
    <n v="0"/>
    <n v="0"/>
    <n v="0"/>
    <n v="0"/>
    <n v="0"/>
    <n v="0"/>
    <n v="0"/>
    <n v="0"/>
    <n v="44.01"/>
    <n v="0"/>
    <n v="0"/>
    <n v="342.98"/>
    <n v="62.19"/>
    <n v="0"/>
    <n v="22.52"/>
    <n v="0"/>
    <n v="0"/>
    <n v="0"/>
    <n v="471.69"/>
    <n v="455.79"/>
    <n v="0"/>
    <n v="0"/>
    <n v="125.21"/>
    <n v="0"/>
    <n v="0"/>
    <n v="0"/>
    <n v="0"/>
    <n v="0"/>
    <n v="247.52"/>
    <n v="0"/>
    <x v="25"/>
    <n v="20.45"/>
    <n v="7107.23"/>
    <n v="4463.6400000000003"/>
    <n v="4192.8999999999996"/>
    <x v="0"/>
    <n v="0.08"/>
    <n v="0.14285714285714285"/>
    <n v="0.01"/>
    <s v="No"/>
    <s v="Yes"/>
    <s v="No"/>
    <s v="Yes"/>
    <s v="No"/>
    <s v="Yes"/>
    <s v="Yes"/>
    <s v="No"/>
    <s v="N/a"/>
    <s v="N/a"/>
    <s v="N/a"/>
  </r>
  <r>
    <x v="26"/>
    <n v="0"/>
    <n v="0"/>
    <n v="0"/>
    <n v="0"/>
    <n v="0"/>
    <n v="0"/>
    <n v="0"/>
    <n v="0"/>
    <n v="0"/>
    <n v="0"/>
    <n v="5.0999999999999996"/>
    <n v="0"/>
    <n v="0"/>
    <n v="40"/>
    <n v="7.0250000000000004"/>
    <n v="0"/>
    <n v="2.9500000000000028"/>
    <n v="0"/>
    <n v="0"/>
    <n v="0"/>
    <n v="55.075000000000003"/>
    <n v="54.6"/>
    <n v="0"/>
    <n v="0"/>
    <n v="15.425000000000001"/>
    <n v="0"/>
    <n v="0"/>
    <n v="0"/>
    <n v="0"/>
    <n v="0"/>
    <n v="29.2"/>
    <n v="0"/>
    <n v="0.47500000000000142"/>
    <n v="0.97499999999999787"/>
    <n v="859.36261864557332"/>
    <n v="495.66725675698024"/>
    <n v="505.07812784984702"/>
    <n v="11.4"/>
    <n v="0"/>
    <n v="0"/>
    <n v="0"/>
    <n v="0"/>
    <n v="0"/>
    <n v="0"/>
    <n v="0"/>
    <n v="0"/>
    <n v="0"/>
    <n v="0"/>
    <n v="44.74"/>
    <n v="0"/>
    <n v="0"/>
    <n v="350.88"/>
    <n v="61.62"/>
    <n v="0"/>
    <n v="25.88"/>
    <n v="0"/>
    <n v="0"/>
    <n v="0"/>
    <n v="483.11"/>
    <n v="478.95"/>
    <n v="0"/>
    <n v="0"/>
    <n v="135.31"/>
    <n v="0"/>
    <n v="0"/>
    <n v="0"/>
    <n v="0"/>
    <n v="0"/>
    <n v="256.14"/>
    <n v="0"/>
    <x v="26"/>
    <n v="8.5500000000000007"/>
    <n v="7538.27"/>
    <n v="4347.96"/>
    <n v="4430.51"/>
    <x v="0"/>
    <n v="0.08"/>
    <n v="0.14285714285714285"/>
    <n v="0.01"/>
    <s v="No"/>
    <s v="Yes"/>
    <s v="No"/>
    <s v="Yes"/>
    <s v="No"/>
    <s v="Yes"/>
    <s v="Yes"/>
    <s v="No"/>
    <s v="N/a"/>
    <s v="N/a"/>
    <s v="N/a"/>
  </r>
  <r>
    <x v="27"/>
    <n v="0"/>
    <n v="0"/>
    <n v="0"/>
    <n v="0"/>
    <n v="0"/>
    <n v="0"/>
    <n v="0"/>
    <n v="0"/>
    <n v="0"/>
    <n v="0"/>
    <n v="5.125"/>
    <n v="0"/>
    <n v="0"/>
    <n v="40.250000000000007"/>
    <n v="7.1749999999999989"/>
    <n v="0"/>
    <n v="2.6000000000000014"/>
    <n v="0"/>
    <n v="0"/>
    <n v="0"/>
    <n v="55.150000000000006"/>
    <n v="56.050000000000004"/>
    <n v="0"/>
    <n v="0"/>
    <n v="16.574999999999999"/>
    <n v="0"/>
    <n v="0"/>
    <n v="0"/>
    <n v="0"/>
    <n v="0"/>
    <n v="29.25"/>
    <n v="0"/>
    <n v="-0.89999999999999858"/>
    <n v="0.1499999999999968"/>
    <n v="855.58757322799067"/>
    <n v="509.73921739004692"/>
    <n v="509.65052537757981"/>
    <n v="10.7"/>
    <n v="0"/>
    <n v="0"/>
    <n v="0"/>
    <n v="0"/>
    <n v="0"/>
    <n v="0"/>
    <n v="0"/>
    <n v="0"/>
    <n v="0"/>
    <n v="0"/>
    <n v="47.9"/>
    <n v="0"/>
    <n v="0"/>
    <n v="376.17"/>
    <n v="67.06"/>
    <n v="0"/>
    <n v="24.3"/>
    <n v="0"/>
    <n v="0"/>
    <n v="0"/>
    <n v="515.41999999999996"/>
    <n v="523.83000000000004"/>
    <n v="0"/>
    <n v="0"/>
    <n v="154.91"/>
    <n v="0"/>
    <n v="0"/>
    <n v="0"/>
    <n v="0"/>
    <n v="0"/>
    <n v="273.36"/>
    <n v="0"/>
    <x v="27"/>
    <n v="1.4"/>
    <n v="7996.15"/>
    <n v="4763.92"/>
    <n v="4763.09"/>
    <x v="0"/>
    <n v="0.08"/>
    <n v="0.14285714285714285"/>
    <n v="0.01"/>
    <s v="No"/>
    <s v="Yes"/>
    <s v="No"/>
    <s v="Yes"/>
    <s v="No"/>
    <s v="Yes"/>
    <s v="Yes"/>
    <s v="No"/>
    <s v="N/a"/>
    <s v="N/a"/>
    <s v="N/a"/>
  </r>
  <r>
    <x v="28"/>
    <n v="0"/>
    <n v="0"/>
    <n v="0"/>
    <n v="0"/>
    <n v="0"/>
    <n v="0"/>
    <n v="0"/>
    <n v="0"/>
    <n v="0"/>
    <n v="0"/>
    <n v="5.2250000000000005"/>
    <n v="0"/>
    <n v="0"/>
    <n v="40.75"/>
    <n v="7.4"/>
    <n v="0"/>
    <n v="2.8250000000000028"/>
    <n v="0"/>
    <n v="0"/>
    <n v="0"/>
    <n v="56.2"/>
    <n v="55.3"/>
    <n v="0"/>
    <n v="0"/>
    <n v="15.950000000000003"/>
    <n v="0"/>
    <n v="0"/>
    <n v="0"/>
    <n v="0"/>
    <n v="0"/>
    <n v="29.374999999999996"/>
    <n v="0"/>
    <n v="0.90000000000000568"/>
    <n v="2.65"/>
    <n v="851.22791429566337"/>
    <n v="505.64073315723022"/>
    <n v="497.70984072899813"/>
    <n v="10.4"/>
    <n v="0"/>
    <n v="0"/>
    <n v="0"/>
    <n v="0"/>
    <n v="0"/>
    <n v="0"/>
    <n v="0"/>
    <n v="0"/>
    <n v="0"/>
    <n v="0"/>
    <n v="50.24"/>
    <n v="0"/>
    <n v="0"/>
    <n v="391.83"/>
    <n v="71.150000000000006"/>
    <n v="0"/>
    <n v="27.16"/>
    <n v="0"/>
    <n v="0"/>
    <n v="0"/>
    <n v="540.38"/>
    <n v="531.73"/>
    <n v="0"/>
    <n v="0"/>
    <n v="153.37"/>
    <n v="0"/>
    <n v="0"/>
    <n v="0"/>
    <n v="0"/>
    <n v="0"/>
    <n v="282.45"/>
    <n v="0"/>
    <x v="28"/>
    <n v="25.48"/>
    <n v="8184.88"/>
    <n v="4861.93"/>
    <n v="4785.67"/>
    <x v="0"/>
    <n v="0.08"/>
    <n v="0.14285714285714285"/>
    <n v="0.01"/>
    <s v="No"/>
    <s v="Yes"/>
    <s v="No"/>
    <s v="Yes"/>
    <s v="No"/>
    <s v="Yes"/>
    <s v="Yes"/>
    <s v="No"/>
    <s v="N/a"/>
    <s v="N/a"/>
    <s v="N/a"/>
  </r>
  <r>
    <x v="29"/>
    <n v="0"/>
    <n v="0"/>
    <n v="0"/>
    <n v="0"/>
    <n v="0"/>
    <n v="0"/>
    <n v="0"/>
    <n v="0"/>
    <n v="0"/>
    <n v="0"/>
    <n v="5.3249999999999993"/>
    <n v="0"/>
    <n v="0"/>
    <n v="39.75"/>
    <n v="7.3750000000000009"/>
    <n v="0"/>
    <n v="2.6499999999999915"/>
    <n v="0"/>
    <n v="0"/>
    <n v="0"/>
    <n v="55.099999999999994"/>
    <n v="53.55"/>
    <n v="0"/>
    <n v="0"/>
    <n v="15.249999999999998"/>
    <n v="0"/>
    <n v="0"/>
    <n v="0"/>
    <n v="0"/>
    <n v="0"/>
    <n v="29.25"/>
    <n v="0"/>
    <n v="1.5499999999999972"/>
    <n v="1.85"/>
    <n v="847.49494766690304"/>
    <n v="498.16046676448434"/>
    <n v="506.99261126368879"/>
    <n v="10.3"/>
    <n v="0"/>
    <n v="0"/>
    <n v="0"/>
    <n v="0"/>
    <n v="0"/>
    <n v="0"/>
    <n v="0"/>
    <n v="0"/>
    <n v="0"/>
    <n v="0"/>
    <n v="51.7"/>
    <n v="0"/>
    <n v="0"/>
    <n v="385.92"/>
    <n v="71.599999999999994"/>
    <n v="0"/>
    <n v="25.73"/>
    <n v="0"/>
    <n v="0"/>
    <n v="0"/>
    <n v="534.95000000000005"/>
    <n v="519.9"/>
    <n v="0"/>
    <n v="0"/>
    <n v="148.06"/>
    <n v="0"/>
    <n v="0"/>
    <n v="0"/>
    <n v="0"/>
    <n v="0"/>
    <n v="283.98"/>
    <n v="0"/>
    <x v="29"/>
    <n v="17.96"/>
    <n v="8228.11"/>
    <n v="4836.51"/>
    <n v="4922.26"/>
    <x v="0"/>
    <n v="0.08"/>
    <n v="0.14285714285714285"/>
    <n v="0.01"/>
    <s v="No"/>
    <s v="Yes"/>
    <s v="No"/>
    <s v="Yes"/>
    <s v="No"/>
    <s v="Yes"/>
    <s v="Yes"/>
    <s v="No"/>
    <s v="N/a"/>
    <s v="N/a"/>
    <s v="N/a"/>
  </r>
  <r>
    <x v="30"/>
    <n v="0"/>
    <n v="0"/>
    <n v="0"/>
    <n v="0"/>
    <n v="0"/>
    <n v="0"/>
    <n v="0"/>
    <n v="0"/>
    <n v="0"/>
    <n v="0"/>
    <n v="5.3500000000000005"/>
    <n v="0"/>
    <n v="0"/>
    <n v="38.249999999999993"/>
    <n v="7.2749999999999995"/>
    <n v="0"/>
    <n v="2.6500000000000057"/>
    <n v="0"/>
    <n v="0"/>
    <n v="0"/>
    <n v="53.524999999999999"/>
    <n v="53.250000000000007"/>
    <n v="0"/>
    <n v="0"/>
    <n v="15.200000000000001"/>
    <n v="0"/>
    <n v="0"/>
    <n v="0"/>
    <n v="0"/>
    <n v="0"/>
    <n v="29.125000000000004"/>
    <n v="0"/>
    <n v="0.27499999999999147"/>
    <n v="1.7250000000000001"/>
    <n v="839.83907080808228"/>
    <n v="509.30953657289706"/>
    <n v="505.11124269210916"/>
    <n v="9.9"/>
    <n v="0"/>
    <n v="0"/>
    <n v="0"/>
    <n v="0"/>
    <n v="0"/>
    <n v="0"/>
    <n v="0"/>
    <n v="0"/>
    <n v="0"/>
    <n v="0"/>
    <n v="54.04"/>
    <n v="0"/>
    <n v="0"/>
    <n v="386.36"/>
    <n v="73.48"/>
    <n v="0"/>
    <n v="26.77"/>
    <n v="0"/>
    <n v="0"/>
    <n v="0"/>
    <n v="540.66"/>
    <n v="537.88"/>
    <n v="0"/>
    <n v="0"/>
    <n v="153.54"/>
    <n v="0"/>
    <n v="0"/>
    <n v="0"/>
    <n v="0"/>
    <n v="0"/>
    <n v="294.19"/>
    <n v="0"/>
    <x v="30"/>
    <n v="17.420000000000002"/>
    <n v="8483.2199999999993"/>
    <n v="5144.54"/>
    <n v="5102.13"/>
    <x v="0"/>
    <n v="0.08"/>
    <n v="0.14285714285714285"/>
    <n v="0.01"/>
    <s v="No"/>
    <s v="Yes"/>
    <s v="No"/>
    <s v="Yes"/>
    <s v="No"/>
    <s v="Yes"/>
    <s v="Yes"/>
    <s v="No"/>
    <s v="N/a"/>
    <s v="N/a"/>
    <s v="N/a"/>
  </r>
  <r>
    <x v="31"/>
    <n v="0"/>
    <n v="0"/>
    <n v="0"/>
    <n v="0"/>
    <n v="0"/>
    <n v="0"/>
    <n v="0"/>
    <n v="0"/>
    <n v="0"/>
    <n v="0"/>
    <n v="5.2"/>
    <n v="0"/>
    <n v="0"/>
    <n v="36.25"/>
    <n v="7.2"/>
    <n v="0"/>
    <n v="2.0749999999999957"/>
    <n v="0"/>
    <n v="0"/>
    <n v="0"/>
    <n v="50.725000000000001"/>
    <n v="51.8"/>
    <n v="0"/>
    <n v="0"/>
    <n v="14.525000000000002"/>
    <n v="0"/>
    <n v="0"/>
    <n v="0"/>
    <n v="0"/>
    <n v="0"/>
    <n v="28.974999999999998"/>
    <n v="0"/>
    <n v="-1.0749999999999957"/>
    <n v="0.54999999999999893"/>
    <n v="838.1112867978245"/>
    <n v="502.9049493945007"/>
    <n v="502.69065668007187"/>
    <n v="10.9"/>
    <n v="0"/>
    <n v="0"/>
    <n v="0"/>
    <n v="0"/>
    <n v="0"/>
    <n v="0"/>
    <n v="0"/>
    <n v="0"/>
    <n v="0"/>
    <n v="0"/>
    <n v="47.71"/>
    <n v="0"/>
    <n v="0"/>
    <n v="332.57"/>
    <n v="66.06"/>
    <n v="0"/>
    <n v="19.04"/>
    <n v="0"/>
    <n v="0"/>
    <n v="0"/>
    <n v="465.37"/>
    <n v="475.23"/>
    <n v="0"/>
    <n v="0"/>
    <n v="133.26"/>
    <n v="0"/>
    <n v="0"/>
    <n v="0"/>
    <n v="0"/>
    <n v="0"/>
    <n v="265.83"/>
    <n v="0"/>
    <x v="31"/>
    <n v="5.05"/>
    <n v="7689.09"/>
    <n v="4613.8100000000004"/>
    <n v="4611.84"/>
    <x v="1"/>
    <n v="0.08"/>
    <n v="0.14285714285714285"/>
    <n v="0.01"/>
    <s v="No"/>
    <s v="Yes"/>
    <s v="No"/>
    <s v="Yes"/>
    <s v="No"/>
    <s v="Yes"/>
    <s v="Yes"/>
    <s v="No"/>
    <s v="N/a"/>
    <s v="N/a"/>
    <s v="N/a"/>
  </r>
  <r>
    <x v="32"/>
    <n v="0"/>
    <n v="0"/>
    <n v="0"/>
    <n v="0"/>
    <n v="0"/>
    <n v="0"/>
    <n v="0"/>
    <n v="0"/>
    <n v="0"/>
    <n v="0"/>
    <n v="5.2"/>
    <n v="0"/>
    <n v="0"/>
    <n v="36.75"/>
    <n v="7.1750000000000007"/>
    <n v="0"/>
    <n v="1.75"/>
    <n v="0"/>
    <n v="0"/>
    <n v="0"/>
    <n v="50.875"/>
    <n v="51.274999999999999"/>
    <n v="0"/>
    <n v="0"/>
    <n v="14.125000000000002"/>
    <n v="0"/>
    <n v="0"/>
    <n v="0"/>
    <n v="0"/>
    <n v="0"/>
    <n v="28.3"/>
    <n v="0"/>
    <n v="-0.39999999999999858"/>
    <n v="0.72500000000000098"/>
    <n v="838.17016262255515"/>
    <n v="499.864630869493"/>
    <n v="494.4268719627641"/>
    <n v="10.1"/>
    <n v="0"/>
    <n v="0"/>
    <n v="0"/>
    <n v="0"/>
    <n v="0"/>
    <n v="0"/>
    <n v="0"/>
    <n v="0"/>
    <n v="0"/>
    <n v="0"/>
    <n v="51.49"/>
    <n v="0"/>
    <n v="0"/>
    <n v="363.86"/>
    <n v="71.040000000000006"/>
    <n v="0"/>
    <n v="17.329999999999998"/>
    <n v="0"/>
    <n v="0"/>
    <n v="0"/>
    <n v="503.71"/>
    <n v="507.67"/>
    <n v="0"/>
    <n v="0"/>
    <n v="139.85"/>
    <n v="0"/>
    <n v="0"/>
    <n v="0"/>
    <n v="0"/>
    <n v="0"/>
    <n v="280.2"/>
    <n v="0"/>
    <x v="32"/>
    <n v="7.18"/>
    <n v="8298.7099999999991"/>
    <n v="4949.1499999999996"/>
    <n v="4895.32"/>
    <x v="1"/>
    <m/>
    <m/>
    <n v="0"/>
    <s v="No"/>
    <s v="Yes"/>
    <s v="Yes"/>
    <s v="Yes"/>
    <s v="Yes"/>
    <s v="Yes"/>
    <s v="No"/>
    <s v="No"/>
    <s v="N/a"/>
    <s v="Yes"/>
    <s v="No"/>
  </r>
  <r>
    <x v="33"/>
    <n v="0"/>
    <n v="0"/>
    <n v="0"/>
    <n v="0"/>
    <n v="0"/>
    <n v="0"/>
    <n v="0"/>
    <n v="0"/>
    <n v="0"/>
    <n v="0"/>
    <n v="5.1000000000000005"/>
    <n v="0"/>
    <n v="0"/>
    <n v="36"/>
    <n v="7.1249999999999991"/>
    <n v="0"/>
    <n v="2.0250000000000057"/>
    <n v="0"/>
    <n v="0"/>
    <n v="0"/>
    <n v="50.250000000000007"/>
    <n v="50.150000000000006"/>
    <n v="0"/>
    <n v="0"/>
    <n v="13.524999999999999"/>
    <n v="0"/>
    <n v="0"/>
    <n v="0"/>
    <n v="0"/>
    <n v="0"/>
    <n v="28.35"/>
    <n v="0"/>
    <n v="0.10000000000000142"/>
    <n v="1.425"/>
    <n v="837.2376183937522"/>
    <n v="498.4167070622463"/>
    <n v="511.83413616793956"/>
    <n v="9.5"/>
    <n v="0"/>
    <n v="0"/>
    <n v="0"/>
    <n v="0"/>
    <n v="0"/>
    <n v="0"/>
    <n v="0"/>
    <n v="0"/>
    <n v="0"/>
    <n v="0"/>
    <n v="53.68"/>
    <n v="0"/>
    <n v="0"/>
    <n v="378.95"/>
    <n v="75"/>
    <n v="0"/>
    <n v="21.32"/>
    <n v="0"/>
    <n v="0"/>
    <n v="0"/>
    <n v="528.95000000000005"/>
    <n v="527.89"/>
    <n v="0"/>
    <n v="0"/>
    <n v="142.37"/>
    <n v="0"/>
    <n v="0"/>
    <n v="0"/>
    <n v="0"/>
    <n v="0"/>
    <n v="298.42"/>
    <n v="0"/>
    <x v="33"/>
    <n v="15"/>
    <n v="8813.0300000000007"/>
    <n v="5246.49"/>
    <n v="5387.73"/>
    <x v="2"/>
    <m/>
    <m/>
    <m/>
    <s v="No"/>
    <s v="Yes"/>
    <s v="Yes"/>
    <s v="Yes"/>
    <s v="Yes"/>
    <s v="Yes"/>
    <s v="No"/>
    <s v="No"/>
    <s v="N/a"/>
    <s v="Yes"/>
    <s v="No"/>
  </r>
  <r>
    <x v="34"/>
    <n v="0"/>
    <n v="0"/>
    <n v="0"/>
    <n v="0"/>
    <n v="0"/>
    <n v="0"/>
    <n v="0"/>
    <n v="0"/>
    <n v="0"/>
    <n v="0"/>
    <n v="4.5749999999999993"/>
    <n v="0"/>
    <n v="0"/>
    <n v="36"/>
    <n v="7.2"/>
    <n v="0"/>
    <n v="2.5249999999999915"/>
    <n v="0"/>
    <n v="0"/>
    <n v="0"/>
    <n v="50.3"/>
    <n v="48.824999999999996"/>
    <n v="0"/>
    <n v="0"/>
    <n v="13.075000000000001"/>
    <n v="0"/>
    <n v="0"/>
    <n v="0"/>
    <n v="0"/>
    <n v="0"/>
    <n v="28.5"/>
    <n v="0"/>
    <n v="1.4750000000000014"/>
    <n v="2.6750000000000007"/>
    <n v="837.18145635644225"/>
    <n v="525.25895351099632"/>
    <n v="538.69115909141658"/>
    <n v="8.6999999999999993"/>
    <n v="0"/>
    <n v="0"/>
    <n v="0"/>
    <n v="0"/>
    <n v="0"/>
    <n v="0"/>
    <n v="0"/>
    <n v="0"/>
    <n v="0"/>
    <n v="0"/>
    <n v="52.59"/>
    <n v="0"/>
    <n v="0"/>
    <n v="413.79"/>
    <n v="82.76"/>
    <n v="0"/>
    <n v="29.02"/>
    <n v="0"/>
    <n v="0"/>
    <n v="0"/>
    <n v="578.16"/>
    <n v="561.21"/>
    <n v="0"/>
    <n v="0"/>
    <n v="150.29"/>
    <n v="0"/>
    <n v="0"/>
    <n v="0"/>
    <n v="0"/>
    <n v="0"/>
    <n v="327.58999999999997"/>
    <n v="0"/>
    <x v="34"/>
    <n v="30.75"/>
    <n v="9622.7800000000007"/>
    <n v="6037.46"/>
    <n v="6191.85"/>
    <x v="2"/>
    <m/>
    <m/>
    <m/>
    <s v="No"/>
    <s v="Yes"/>
    <s v="Yes"/>
    <s v="Yes"/>
    <s v="Yes"/>
    <s v="Yes"/>
    <s v="No"/>
    <s v="No"/>
    <s v="N/a"/>
    <s v="Yes"/>
    <s v="No"/>
  </r>
  <r>
    <x v="35"/>
    <n v="0"/>
    <n v="0"/>
    <n v="0"/>
    <n v="0"/>
    <n v="0"/>
    <n v="0"/>
    <n v="0"/>
    <n v="0"/>
    <n v="0"/>
    <n v="0"/>
    <n v="3.9"/>
    <n v="0"/>
    <n v="0"/>
    <n v="36.750000000000007"/>
    <n v="7.25"/>
    <n v="0"/>
    <n v="2.7499999999999929"/>
    <n v="0"/>
    <n v="0"/>
    <n v="0"/>
    <n v="50.65"/>
    <n v="52.974999999999994"/>
    <n v="0"/>
    <n v="0"/>
    <n v="12.225000000000001"/>
    <n v="0"/>
    <n v="0"/>
    <n v="0"/>
    <n v="0"/>
    <n v="0"/>
    <n v="28.524999999999999"/>
    <n v="0"/>
    <n v="-2.3249999999999957"/>
    <n v="11.750000000000002"/>
    <n v="845.95"/>
    <n v="556.09971209446815"/>
    <n v="577.4846125201509"/>
    <n v="8.9"/>
    <n v="0"/>
    <n v="0"/>
    <n v="0"/>
    <n v="0"/>
    <n v="0"/>
    <n v="0"/>
    <n v="0"/>
    <n v="0"/>
    <n v="0"/>
    <n v="0"/>
    <n v="43.82"/>
    <n v="0"/>
    <n v="0"/>
    <n v="412.92"/>
    <n v="81.459999999999994"/>
    <n v="0"/>
    <n v="30.9"/>
    <n v="0"/>
    <n v="0"/>
    <n v="0"/>
    <n v="569.1"/>
    <n v="595.22"/>
    <n v="0"/>
    <n v="0"/>
    <n v="137.36000000000001"/>
    <n v="0"/>
    <n v="0"/>
    <n v="0"/>
    <n v="0"/>
    <n v="0"/>
    <n v="320.51"/>
    <n v="0"/>
    <x v="35"/>
    <n v="132.02000000000001"/>
    <n v="9505.06"/>
    <n v="6248.31"/>
    <n v="6488.59"/>
    <x v="1"/>
    <m/>
    <m/>
    <m/>
    <s v="No"/>
    <s v="Yes"/>
    <s v="Yes"/>
    <s v="Yes"/>
    <s v="Yes"/>
    <s v="Yes"/>
    <s v="No"/>
    <s v="No"/>
    <s v="N/a"/>
    <s v="Yes"/>
    <s v="No"/>
  </r>
  <r>
    <x v="36"/>
    <n v="0"/>
    <n v="0"/>
    <n v="0"/>
    <n v="0"/>
    <n v="0"/>
    <n v="0"/>
    <n v="0"/>
    <n v="0"/>
    <n v="0"/>
    <n v="0"/>
    <n v="3.9"/>
    <n v="0"/>
    <n v="0"/>
    <n v="38.499999999999993"/>
    <n v="7.3250000000000011"/>
    <n v="0"/>
    <n v="2.3250000000000099"/>
    <n v="0"/>
    <n v="0"/>
    <n v="0"/>
    <n v="52.050000000000004"/>
    <n v="62.400000000000006"/>
    <n v="0"/>
    <n v="0"/>
    <n v="11.799999999999999"/>
    <n v="0"/>
    <n v="0"/>
    <n v="0"/>
    <n v="0"/>
    <n v="0"/>
    <n v="28.800000000000004"/>
    <n v="0"/>
    <n v="-10.350000000000001"/>
    <n v="1.2249999999999996"/>
    <n v="844.6"/>
    <n v="584.30890317723492"/>
    <n v="576.57258406572032"/>
    <n v="9.9"/>
    <n v="0"/>
    <n v="0"/>
    <n v="0"/>
    <n v="0"/>
    <n v="0"/>
    <n v="0"/>
    <n v="0"/>
    <n v="0"/>
    <n v="0"/>
    <n v="0"/>
    <n v="39.39"/>
    <n v="0"/>
    <n v="0"/>
    <n v="388.89"/>
    <n v="73.989999999999995"/>
    <n v="0"/>
    <n v="23.48"/>
    <n v="0"/>
    <n v="0"/>
    <n v="0"/>
    <n v="525.76"/>
    <n v="630.29999999999995"/>
    <n v="0"/>
    <n v="0"/>
    <n v="119.19"/>
    <n v="0"/>
    <n v="0"/>
    <n v="0"/>
    <n v="0"/>
    <n v="0"/>
    <n v="290.91000000000003"/>
    <n v="0"/>
    <x v="36"/>
    <n v="12.37"/>
    <n v="8531.31"/>
    <n v="5902.11"/>
    <n v="5823.97"/>
    <x v="1"/>
    <m/>
    <m/>
    <m/>
    <s v="No"/>
    <s v="Yes"/>
    <s v="Yes"/>
    <s v="Yes"/>
    <s v="Yes"/>
    <s v="Yes"/>
    <s v="No"/>
    <s v="No"/>
    <s v="N/a"/>
    <s v="Yes"/>
    <s v="No"/>
  </r>
  <r>
    <x v="37"/>
    <n v="0"/>
    <n v="0"/>
    <n v="0"/>
    <n v="0"/>
    <n v="0"/>
    <n v="0"/>
    <n v="0"/>
    <n v="0"/>
    <n v="0"/>
    <n v="0"/>
    <n v="3.9"/>
    <n v="0"/>
    <n v="0"/>
    <n v="37"/>
    <n v="7.1249999999999991"/>
    <n v="0"/>
    <n v="2.6000000000000014"/>
    <n v="0"/>
    <n v="0"/>
    <n v="0"/>
    <n v="50.625"/>
    <n v="53.274999999999999"/>
    <n v="0"/>
    <n v="0"/>
    <n v="12.275000000000002"/>
    <n v="0"/>
    <n v="0"/>
    <n v="0"/>
    <n v="0"/>
    <n v="0"/>
    <n v="29.449999999999996"/>
    <n v="0"/>
    <n v="-2.6499999999999986"/>
    <n v="0.62500000000000355"/>
    <n v="841.52499999999998"/>
    <n v="579.40339063943247"/>
    <n v="592.80132289837161"/>
    <n v="10.1"/>
    <n v="0"/>
    <n v="0"/>
    <n v="0"/>
    <n v="0"/>
    <n v="0"/>
    <n v="0"/>
    <n v="0"/>
    <n v="0"/>
    <n v="0"/>
    <n v="0"/>
    <n v="38.61"/>
    <n v="0"/>
    <n v="0"/>
    <n v="366.34"/>
    <n v="70.540000000000006"/>
    <n v="0"/>
    <n v="25.74"/>
    <n v="0"/>
    <n v="0"/>
    <n v="0"/>
    <n v="501.24"/>
    <n v="527.48"/>
    <n v="0"/>
    <n v="0"/>
    <n v="121.53"/>
    <n v="0"/>
    <n v="0"/>
    <n v="0"/>
    <n v="0"/>
    <n v="0"/>
    <n v="291.58"/>
    <n v="0"/>
    <x v="37"/>
    <n v="6.19"/>
    <n v="8331.93"/>
    <n v="5736.67"/>
    <n v="5869.32"/>
    <x v="1"/>
    <m/>
    <m/>
    <m/>
    <s v="No"/>
    <s v="Yes"/>
    <s v="Yes"/>
    <s v="Yes"/>
    <s v="Yes"/>
    <s v="Yes"/>
    <s v="No"/>
    <s v="No"/>
    <s v="N/a"/>
    <s v="Yes"/>
    <s v="No"/>
  </r>
  <r>
    <x v="38"/>
    <n v="0"/>
    <n v="0"/>
    <n v="0"/>
    <n v="0"/>
    <n v="0"/>
    <n v="0"/>
    <n v="0"/>
    <n v="0"/>
    <n v="0"/>
    <n v="0"/>
    <n v="3.9"/>
    <n v="0"/>
    <n v="0"/>
    <n v="37.25"/>
    <n v="7.2"/>
    <n v="0"/>
    <n v="3.0749999999999957"/>
    <n v="0"/>
    <n v="0"/>
    <n v="0"/>
    <n v="51.424999999999997"/>
    <n v="51.25"/>
    <n v="0"/>
    <n v="0"/>
    <n v="12.750000000000002"/>
    <n v="0"/>
    <n v="0"/>
    <n v="0"/>
    <n v="0"/>
    <n v="0"/>
    <n v="29.550000000000004"/>
    <n v="0"/>
    <n v="0.17499999999999716"/>
    <n v="0.70000000000000462"/>
    <n v="840.05"/>
    <n v="605.04875786989351"/>
    <n v="616.14569555399817"/>
    <n v="10.199999999999999"/>
    <n v="0"/>
    <n v="0"/>
    <n v="0"/>
    <n v="0"/>
    <n v="0"/>
    <n v="0"/>
    <n v="0"/>
    <n v="0"/>
    <n v="0"/>
    <n v="0"/>
    <n v="38.24"/>
    <n v="0"/>
    <n v="0"/>
    <n v="365.2"/>
    <n v="70.59"/>
    <n v="0"/>
    <n v="30.15"/>
    <n v="0"/>
    <n v="0"/>
    <n v="0"/>
    <n v="504.17"/>
    <n v="502.45"/>
    <n v="0"/>
    <n v="0"/>
    <n v="125"/>
    <n v="0"/>
    <n v="0"/>
    <n v="0"/>
    <n v="0"/>
    <n v="0"/>
    <n v="289.70999999999998"/>
    <n v="0"/>
    <x v="38"/>
    <n v="6.86"/>
    <n v="8235.7800000000007"/>
    <n v="5931.85"/>
    <n v="6040.64"/>
    <x v="1"/>
    <m/>
    <m/>
    <m/>
    <s v="No"/>
    <s v="Yes"/>
    <s v="Yes"/>
    <s v="Yes"/>
    <s v="Yes"/>
    <s v="Yes"/>
    <s v="No"/>
    <s v="No"/>
    <s v="N/a"/>
    <s v="Yes"/>
    <s v="No"/>
  </r>
  <r>
    <x v="39"/>
    <n v="0"/>
    <n v="0"/>
    <n v="0"/>
    <n v="0"/>
    <n v="0"/>
    <n v="0"/>
    <n v="0"/>
    <n v="0"/>
    <n v="0"/>
    <n v="0"/>
    <n v="3.9749999999999996"/>
    <n v="0"/>
    <n v="0"/>
    <n v="38.000000000000007"/>
    <n v="7.25"/>
    <n v="0"/>
    <n v="2.5249999999999844"/>
    <n v="0"/>
    <n v="0"/>
    <n v="0"/>
    <n v="51.749999999999993"/>
    <n v="52.125000000000007"/>
    <n v="0"/>
    <n v="0"/>
    <n v="12.899999999999999"/>
    <n v="0"/>
    <n v="0"/>
    <n v="0"/>
    <n v="0"/>
    <n v="0"/>
    <n v="29.449999999999996"/>
    <n v="0"/>
    <n v="-0.37500000000001421"/>
    <n v="1.6000000000000014"/>
    <n v="838.95"/>
    <n v="616.0487804128212"/>
    <n v="604.7580124463625"/>
    <n v="10.9"/>
    <n v="0"/>
    <n v="0"/>
    <n v="0"/>
    <n v="0"/>
    <n v="0"/>
    <n v="0"/>
    <n v="0"/>
    <n v="0"/>
    <n v="0"/>
    <n v="0"/>
    <n v="36.47"/>
    <n v="0"/>
    <n v="0"/>
    <n v="348.62"/>
    <n v="66.510000000000005"/>
    <n v="0"/>
    <n v="23.17"/>
    <n v="0"/>
    <n v="0"/>
    <n v="0"/>
    <n v="474.77"/>
    <n v="478.21"/>
    <n v="0"/>
    <n v="0"/>
    <n v="118.35"/>
    <n v="0"/>
    <n v="0"/>
    <n v="0"/>
    <n v="0"/>
    <n v="0"/>
    <n v="270.18"/>
    <n v="0"/>
    <x v="39"/>
    <n v="14.68"/>
    <n v="7696.79"/>
    <n v="5651.82"/>
    <n v="5548.24"/>
    <x v="1"/>
    <m/>
    <m/>
    <m/>
    <s v="No"/>
    <s v="Yes"/>
    <s v="Yes"/>
    <s v="Yes"/>
    <s v="Yes"/>
    <s v="Yes"/>
    <s v="No"/>
    <s v="No"/>
    <s v="N/a"/>
    <s v="Yes"/>
    <s v="No"/>
  </r>
  <r>
    <x v="40"/>
    <n v="0"/>
    <n v="0"/>
    <n v="0"/>
    <n v="0"/>
    <n v="0"/>
    <n v="0"/>
    <n v="0"/>
    <n v="0"/>
    <n v="0"/>
    <n v="0"/>
    <n v="4.3250000000000002"/>
    <n v="0"/>
    <n v="0"/>
    <n v="38"/>
    <n v="7.3750000000000009"/>
    <n v="0"/>
    <n v="2.0499999999999972"/>
    <n v="0"/>
    <n v="0"/>
    <n v="0"/>
    <n v="51.75"/>
    <n v="53.349999999999994"/>
    <n v="0"/>
    <n v="0"/>
    <n v="13.825000000000001"/>
    <n v="0"/>
    <n v="0"/>
    <n v="0"/>
    <n v="0"/>
    <n v="0"/>
    <n v="29.575000000000003"/>
    <n v="0"/>
    <n v="-1.5999999999999943"/>
    <n v="1.7249999999999996"/>
    <n v="839.3"/>
    <n v="595.36577744545298"/>
    <n v="587.87207541009298"/>
    <n v="11.1"/>
    <n v="0"/>
    <n v="0"/>
    <n v="0"/>
    <n v="0"/>
    <n v="0"/>
    <n v="0"/>
    <n v="0"/>
    <n v="0"/>
    <n v="0"/>
    <n v="0"/>
    <n v="38.96"/>
    <n v="0"/>
    <n v="0"/>
    <n v="342.34"/>
    <n v="66.44"/>
    <n v="0"/>
    <n v="18.47"/>
    <n v="0"/>
    <n v="0"/>
    <n v="0"/>
    <n v="466.22"/>
    <n v="480.63"/>
    <n v="0"/>
    <n v="0"/>
    <n v="124.55"/>
    <n v="0"/>
    <n v="0"/>
    <n v="0"/>
    <n v="0"/>
    <n v="0"/>
    <n v="266.44"/>
    <n v="0"/>
    <x v="40"/>
    <n v="15.54"/>
    <n v="7561.26"/>
    <n v="5363.66"/>
    <n v="5296.14"/>
    <x v="1"/>
    <m/>
    <m/>
    <m/>
    <s v="No"/>
    <s v="Yes"/>
    <s v="Yes"/>
    <s v="Yes"/>
    <s v="Yes"/>
    <s v="Yes"/>
    <s v="No"/>
    <s v="No"/>
    <s v="N/a"/>
    <s v="Yes"/>
    <s v="No"/>
  </r>
  <r>
    <x v="41"/>
    <n v="0.15"/>
    <n v="0"/>
    <n v="0"/>
    <n v="0"/>
    <n v="0"/>
    <n v="0"/>
    <n v="0"/>
    <n v="0"/>
    <n v="0"/>
    <n v="0"/>
    <n v="4.6500000000000004"/>
    <n v="0"/>
    <n v="0"/>
    <n v="37.749999999999993"/>
    <n v="7.2749999999999995"/>
    <n v="0"/>
    <n v="2.1000000000000156"/>
    <n v="0"/>
    <n v="0"/>
    <n v="0"/>
    <n v="51.925000000000011"/>
    <n v="53.475000000000009"/>
    <n v="0"/>
    <n v="0"/>
    <n v="14.025"/>
    <n v="0"/>
    <n v="0"/>
    <n v="0"/>
    <n v="0"/>
    <n v="0"/>
    <n v="29.55"/>
    <n v="0"/>
    <n v="-1.5499999999999972"/>
    <n v="2.5749999999999957"/>
    <n v="840.27499999999986"/>
    <n v="576.78324398673897"/>
    <n v="562.09928317539095"/>
    <n v="10.9"/>
    <n v="1.38"/>
    <n v="0"/>
    <n v="0"/>
    <n v="0"/>
    <n v="0"/>
    <n v="0"/>
    <n v="0"/>
    <n v="0"/>
    <n v="0"/>
    <n v="0"/>
    <n v="42.66"/>
    <n v="0"/>
    <n v="0"/>
    <n v="346.33"/>
    <n v="66.739999999999995"/>
    <n v="0"/>
    <n v="19.27"/>
    <n v="0"/>
    <n v="0"/>
    <n v="0"/>
    <n v="476.38"/>
    <n v="490.6"/>
    <n v="0"/>
    <n v="0"/>
    <n v="128.66999999999999"/>
    <n v="0"/>
    <n v="0"/>
    <n v="0"/>
    <n v="0"/>
    <n v="0"/>
    <n v="271.10000000000002"/>
    <n v="0"/>
    <x v="41"/>
    <n v="23.62"/>
    <n v="7708.94"/>
    <n v="5291.59"/>
    <n v="5156.87"/>
    <x v="1"/>
    <m/>
    <m/>
    <m/>
    <s v="No"/>
    <s v="Yes"/>
    <s v="Yes"/>
    <s v="Yes"/>
    <s v="Yes"/>
    <s v="Yes"/>
    <s v="No"/>
    <s v="No"/>
    <s v="N/a"/>
    <s v="Yes"/>
    <s v="No"/>
  </r>
  <r>
    <x v="42"/>
    <n v="1.7749999999999999"/>
    <n v="0"/>
    <n v="0"/>
    <n v="0"/>
    <n v="0"/>
    <n v="0"/>
    <n v="0"/>
    <n v="0"/>
    <n v="0"/>
    <n v="0"/>
    <n v="4.4749999999999996"/>
    <n v="0"/>
    <n v="0"/>
    <n v="37"/>
    <n v="7.1750000000000007"/>
    <n v="0"/>
    <n v="2.0750000000000028"/>
    <n v="0"/>
    <n v="0"/>
    <n v="0"/>
    <n v="52.5"/>
    <n v="54.499999999999993"/>
    <n v="0"/>
    <n v="0"/>
    <n v="14.399999999999999"/>
    <n v="0"/>
    <n v="0"/>
    <n v="0"/>
    <n v="0"/>
    <n v="0"/>
    <n v="29.674999999999997"/>
    <n v="0"/>
    <n v="-1.9999999999999929"/>
    <n v="2.6749999999999989"/>
    <n v="838.60000000000014"/>
    <n v="555.69913864300247"/>
    <n v="557.58281038957352"/>
    <n v="10"/>
    <n v="17.75"/>
    <n v="0"/>
    <n v="0"/>
    <n v="0"/>
    <n v="0"/>
    <n v="0"/>
    <n v="0"/>
    <n v="0"/>
    <n v="0"/>
    <n v="0"/>
    <n v="44.75"/>
    <n v="0"/>
    <n v="0"/>
    <n v="370"/>
    <n v="71.75"/>
    <n v="0"/>
    <n v="20.75"/>
    <n v="0"/>
    <n v="0"/>
    <n v="0"/>
    <n v="525"/>
    <n v="545"/>
    <n v="0"/>
    <n v="0"/>
    <n v="144"/>
    <n v="0"/>
    <n v="0"/>
    <n v="0"/>
    <n v="0"/>
    <n v="0"/>
    <n v="296.75"/>
    <n v="0"/>
    <x v="42"/>
    <n v="26.75"/>
    <n v="8386"/>
    <n v="5556.99"/>
    <n v="5575.83"/>
    <x v="1"/>
    <m/>
    <m/>
    <m/>
    <s v="No"/>
    <s v="Yes"/>
    <s v="Yes"/>
    <s v="Yes"/>
    <s v="Yes"/>
    <s v="Yes"/>
    <s v="No"/>
    <s v="No"/>
    <s v="N/a"/>
    <s v="Yes"/>
    <s v="No"/>
  </r>
  <r>
    <x v="43"/>
    <n v="5.3"/>
    <n v="0"/>
    <n v="0"/>
    <n v="0"/>
    <n v="0"/>
    <n v="0"/>
    <n v="0"/>
    <n v="0"/>
    <n v="0"/>
    <n v="0"/>
    <n v="4.4000000000000004"/>
    <n v="0"/>
    <n v="0"/>
    <n v="37.250000000000007"/>
    <n v="7.1499999999999995"/>
    <n v="0"/>
    <n v="2.9749999999999943"/>
    <n v="0"/>
    <n v="0"/>
    <n v="0"/>
    <n v="57.074999999999996"/>
    <n v="55.175000000000004"/>
    <n v="0"/>
    <n v="0"/>
    <n v="14.324999999999999"/>
    <n v="0"/>
    <n v="0"/>
    <n v="0"/>
    <n v="0"/>
    <n v="0"/>
    <n v="29.550000000000004"/>
    <n v="0"/>
    <n v="1.8999999999999915"/>
    <n v="1.825"/>
    <n v="837.17499999999995"/>
    <n v="568.70631904438062"/>
    <n v="589.06966460742387"/>
    <n v="8.9"/>
    <n v="59.55"/>
    <n v="0"/>
    <n v="0"/>
    <n v="0"/>
    <n v="0"/>
    <n v="0"/>
    <n v="0"/>
    <n v="0"/>
    <n v="0"/>
    <n v="0"/>
    <n v="49.44"/>
    <n v="0"/>
    <n v="0"/>
    <n v="418.54"/>
    <n v="80.34"/>
    <n v="0"/>
    <n v="33.43"/>
    <n v="0"/>
    <n v="0"/>
    <n v="0"/>
    <n v="641.29"/>
    <n v="619.94000000000005"/>
    <n v="0"/>
    <n v="0"/>
    <n v="160.96"/>
    <n v="0"/>
    <n v="0"/>
    <n v="0"/>
    <n v="0"/>
    <n v="0"/>
    <n v="332.02"/>
    <n v="0"/>
    <x v="43"/>
    <n v="20.51"/>
    <n v="9406.4599999999991"/>
    <n v="6389.96"/>
    <n v="6618.76"/>
    <x v="1"/>
    <m/>
    <m/>
    <m/>
    <s v="No"/>
    <s v="Yes"/>
    <s v="Yes"/>
    <s v="Yes"/>
    <s v="Yes"/>
    <s v="Yes"/>
    <s v="No"/>
    <s v="No"/>
    <s v="N/a"/>
    <s v="Yes"/>
    <s v="No"/>
  </r>
  <r>
    <x v="44"/>
    <n v="5.2749999999999995"/>
    <n v="0"/>
    <n v="0"/>
    <n v="0"/>
    <n v="0"/>
    <n v="0"/>
    <n v="0"/>
    <n v="0"/>
    <n v="0"/>
    <n v="0"/>
    <n v="4.4000000000000004"/>
    <n v="0"/>
    <n v="0"/>
    <n v="37.75"/>
    <n v="7.4499999999999993"/>
    <n v="0"/>
    <n v="3.1500000000000057"/>
    <n v="0"/>
    <n v="0"/>
    <n v="0"/>
    <n v="58.025000000000006"/>
    <n v="55.25"/>
    <n v="0"/>
    <n v="0"/>
    <n v="13.950000000000001"/>
    <n v="0"/>
    <n v="0"/>
    <n v="0"/>
    <n v="0"/>
    <n v="0"/>
    <n v="29.699999999999996"/>
    <n v="0"/>
    <n v="2.7750000000000057"/>
    <n v="3.5"/>
    <n v="832.8"/>
    <n v="609.17382791164448"/>
    <n v="629.01880895704278"/>
    <n v="8.9"/>
    <n v="59.27"/>
    <n v="0"/>
    <n v="0"/>
    <n v="0"/>
    <n v="0"/>
    <n v="0"/>
    <n v="0"/>
    <n v="0"/>
    <n v="0"/>
    <n v="0"/>
    <n v="49.44"/>
    <n v="0"/>
    <n v="0"/>
    <n v="424.16"/>
    <n v="83.71"/>
    <n v="0"/>
    <n v="35.39"/>
    <n v="0"/>
    <n v="0"/>
    <n v="0"/>
    <n v="651.97"/>
    <n v="620.79"/>
    <n v="0"/>
    <n v="0"/>
    <n v="156.74"/>
    <n v="0"/>
    <n v="0"/>
    <n v="0"/>
    <n v="0"/>
    <n v="0"/>
    <n v="333.71"/>
    <n v="0"/>
    <x v="44"/>
    <n v="39.33"/>
    <n v="9357.2999999999993"/>
    <n v="6844.65"/>
    <n v="7067.63"/>
    <x v="1"/>
    <m/>
    <m/>
    <m/>
    <s v="No"/>
    <s v="Yes"/>
    <s v="Yes"/>
    <s v="Yes"/>
    <s v="Yes"/>
    <s v="Yes"/>
    <s v="No"/>
    <s v="No"/>
    <s v="N/a"/>
    <s v="Yes"/>
    <s v="No"/>
  </r>
  <r>
    <x v="45"/>
    <n v="5.2750000000000004"/>
    <n v="0"/>
    <n v="0"/>
    <n v="0"/>
    <n v="0"/>
    <n v="0"/>
    <n v="0"/>
    <n v="0"/>
    <n v="0"/>
    <n v="0"/>
    <n v="4.4250000000000007"/>
    <n v="0"/>
    <n v="0"/>
    <n v="36.999999999999993"/>
    <n v="7.8500000000000005"/>
    <n v="0"/>
    <n v="3.125"/>
    <n v="0"/>
    <n v="0"/>
    <n v="0"/>
    <n v="57.674999999999997"/>
    <n v="54.524999999999991"/>
    <n v="0"/>
    <n v="0"/>
    <n v="13.925000000000001"/>
    <n v="0"/>
    <n v="0"/>
    <n v="0"/>
    <n v="0"/>
    <n v="0"/>
    <n v="30.1"/>
    <n v="0"/>
    <n v="3.1500000000000057"/>
    <n v="3.55"/>
    <n v="828.87499999999989"/>
    <n v="641.45565162882917"/>
    <n v="646.484355927004"/>
    <n v="9.3000000000000007"/>
    <n v="56.72"/>
    <n v="0"/>
    <n v="0"/>
    <n v="0"/>
    <n v="0"/>
    <n v="0"/>
    <n v="0"/>
    <n v="0"/>
    <n v="0"/>
    <n v="0"/>
    <n v="47.58"/>
    <n v="0"/>
    <n v="0"/>
    <n v="397.85"/>
    <n v="84.41"/>
    <n v="0"/>
    <n v="33.6"/>
    <n v="0"/>
    <n v="0"/>
    <n v="0"/>
    <n v="620.16"/>
    <n v="586.29"/>
    <n v="0"/>
    <n v="0"/>
    <n v="149.72999999999999"/>
    <n v="0"/>
    <n v="0"/>
    <n v="0"/>
    <n v="0"/>
    <n v="0"/>
    <n v="323.66000000000003"/>
    <n v="0"/>
    <x v="45"/>
    <n v="38.17"/>
    <n v="8912.6299999999992"/>
    <n v="6897.37"/>
    <n v="6951.44"/>
    <x v="1"/>
    <m/>
    <m/>
    <m/>
    <s v="No"/>
    <s v="Yes"/>
    <s v="Yes"/>
    <s v="Yes"/>
    <s v="Yes"/>
    <s v="Yes"/>
    <s v="No"/>
    <s v="No"/>
    <s v="N/a"/>
    <s v="Yes"/>
    <s v="No"/>
  </r>
  <r>
    <x v="46"/>
    <n v="5.5250000000000004"/>
    <n v="0"/>
    <n v="0"/>
    <n v="0"/>
    <n v="0"/>
    <n v="0"/>
    <n v="0"/>
    <n v="0"/>
    <n v="0"/>
    <n v="0"/>
    <n v="4.5250000000000004"/>
    <n v="0"/>
    <n v="0"/>
    <n v="36.75"/>
    <n v="7.7"/>
    <n v="0"/>
    <n v="3.1750000000000043"/>
    <n v="0"/>
    <n v="0"/>
    <n v="0"/>
    <n v="57.675000000000004"/>
    <n v="54.125000000000007"/>
    <n v="0"/>
    <n v="0"/>
    <n v="15.499999999999998"/>
    <n v="0"/>
    <n v="0"/>
    <n v="0"/>
    <n v="0"/>
    <n v="0"/>
    <n v="28.525000000000002"/>
    <n v="0"/>
    <n v="3.5499999999999972"/>
    <n v="1.35"/>
    <n v="827.47500000000002"/>
    <n v="656.24230013787155"/>
    <n v="670.72948426143194"/>
    <n v="9.6999999999999993"/>
    <n v="56.96"/>
    <n v="0"/>
    <n v="0"/>
    <n v="0"/>
    <n v="0"/>
    <n v="0"/>
    <n v="0"/>
    <n v="0"/>
    <n v="0"/>
    <n v="0"/>
    <n v="46.65"/>
    <n v="0"/>
    <n v="0"/>
    <n v="378.87"/>
    <n v="79.38"/>
    <n v="0"/>
    <n v="32.729999999999997"/>
    <n v="0"/>
    <n v="0"/>
    <n v="0"/>
    <n v="594.59"/>
    <n v="557.99"/>
    <n v="0"/>
    <n v="0"/>
    <n v="159.79"/>
    <n v="0"/>
    <n v="0"/>
    <n v="0"/>
    <n v="0"/>
    <n v="0"/>
    <n v="294.07"/>
    <n v="0"/>
    <x v="46"/>
    <n v="13.92"/>
    <n v="8530.67"/>
    <n v="6765.38"/>
    <n v="6914.74"/>
    <x v="1"/>
    <m/>
    <m/>
    <m/>
    <s v="No"/>
    <s v="Yes"/>
    <s v="Yes"/>
    <s v="Yes"/>
    <s v="Yes"/>
    <s v="Yes"/>
    <s v="No"/>
    <s v="No"/>
    <s v="N/a"/>
    <s v="Yes"/>
    <s v="No"/>
  </r>
  <r>
    <x v="47"/>
    <n v="5.5749999999999993"/>
    <n v="0"/>
    <n v="0"/>
    <n v="0"/>
    <n v="0"/>
    <n v="0"/>
    <n v="0"/>
    <n v="0"/>
    <n v="0"/>
    <n v="0"/>
    <n v="4.5749999999999993"/>
    <n v="0"/>
    <n v="0"/>
    <n v="36.500000000000007"/>
    <n v="7.4750000000000005"/>
    <n v="0"/>
    <n v="2.3999999999999986"/>
    <n v="0"/>
    <n v="0"/>
    <n v="0"/>
    <n v="56.525000000000006"/>
    <n v="56.324999999999996"/>
    <n v="0"/>
    <n v="0"/>
    <n v="16.799999999999997"/>
    <n v="0"/>
    <n v="0"/>
    <n v="0"/>
    <n v="0"/>
    <n v="0"/>
    <n v="28.325000000000003"/>
    <n v="0"/>
    <n v="0.20000000000000995"/>
    <n v="2.5500000000000007"/>
    <n v="831.55000000000007"/>
    <n v="670.40835152483464"/>
    <n v="655.27890192807968"/>
    <n v="10.9"/>
    <n v="51.15"/>
    <n v="0"/>
    <n v="0"/>
    <n v="0"/>
    <n v="0"/>
    <n v="0"/>
    <n v="0"/>
    <n v="0"/>
    <n v="0"/>
    <n v="0"/>
    <n v="41.97"/>
    <n v="0"/>
    <n v="0"/>
    <n v="334.86"/>
    <n v="68.58"/>
    <n v="0"/>
    <n v="22.02"/>
    <n v="0"/>
    <n v="0"/>
    <n v="0"/>
    <n v="518.58000000000004"/>
    <n v="516.74"/>
    <n v="0"/>
    <n v="0"/>
    <n v="154.13"/>
    <n v="0"/>
    <n v="0"/>
    <n v="0"/>
    <n v="0"/>
    <n v="0"/>
    <n v="259.86"/>
    <n v="0"/>
    <x v="47"/>
    <n v="23.39"/>
    <n v="7628.9"/>
    <n v="6150.54"/>
    <n v="6011.73"/>
    <x v="2"/>
    <m/>
    <m/>
    <m/>
    <s v="No"/>
    <s v="Yes"/>
    <s v="Yes"/>
    <s v="Yes"/>
    <s v="Yes"/>
    <s v="Yes"/>
    <s v="No"/>
    <s v="No"/>
    <s v="N/a"/>
    <s v="Yes"/>
    <s v="No"/>
  </r>
  <r>
    <x v="48"/>
    <n v="5.5250000000000004"/>
    <n v="0"/>
    <n v="0"/>
    <n v="0"/>
    <n v="0"/>
    <n v="0"/>
    <n v="0"/>
    <n v="0"/>
    <n v="0"/>
    <n v="0"/>
    <n v="4.5"/>
    <n v="0"/>
    <n v="0"/>
    <n v="37.749999999999993"/>
    <n v="6.85"/>
    <n v="0"/>
    <n v="3"/>
    <n v="0"/>
    <n v="0"/>
    <n v="0"/>
    <n v="57.624999999999993"/>
    <n v="59.075000000000003"/>
    <n v="0"/>
    <n v="0"/>
    <n v="17.75"/>
    <n v="0"/>
    <n v="0"/>
    <n v="0"/>
    <n v="0"/>
    <n v="0"/>
    <n v="28.474999999999998"/>
    <n v="0"/>
    <n v="-1.4500000000000099"/>
    <n v="0.50000000000000178"/>
    <n v="830.77499999999998"/>
    <n v="650.86779604434059"/>
    <n v="657.17503387361728"/>
    <n v="9.5"/>
    <n v="58.16"/>
    <n v="0"/>
    <n v="0"/>
    <n v="0"/>
    <n v="0"/>
    <n v="0"/>
    <n v="0"/>
    <n v="0"/>
    <n v="0"/>
    <n v="0"/>
    <n v="47.37"/>
    <n v="0"/>
    <n v="0"/>
    <n v="397.37"/>
    <n v="72.11"/>
    <n v="0"/>
    <n v="31.58"/>
    <n v="0"/>
    <n v="0"/>
    <n v="0"/>
    <n v="606.58000000000004"/>
    <n v="621.84"/>
    <n v="0"/>
    <n v="0"/>
    <n v="186.84"/>
    <n v="0"/>
    <n v="0"/>
    <n v="0"/>
    <n v="0"/>
    <n v="0"/>
    <n v="299.74"/>
    <n v="0"/>
    <x v="48"/>
    <n v="5.26"/>
    <n v="8745"/>
    <n v="6851.24"/>
    <n v="6917.63"/>
    <x v="2"/>
    <m/>
    <m/>
    <m/>
    <s v="No"/>
    <s v="Yes"/>
    <s v="Yes"/>
    <s v="Yes"/>
    <s v="Yes"/>
    <s v="Yes"/>
    <s v="No"/>
    <s v="No"/>
    <s v="N/a"/>
    <s v="Yes"/>
    <s v="No"/>
  </r>
  <r>
    <x v="49"/>
    <n v="5.5749999999999993"/>
    <n v="0"/>
    <n v="0"/>
    <n v="0"/>
    <n v="0"/>
    <n v="0"/>
    <n v="0"/>
    <n v="0"/>
    <n v="0"/>
    <n v="0"/>
    <n v="4.5250000000000004"/>
    <n v="0"/>
    <n v="0"/>
    <n v="37"/>
    <n v="6.9249999999999998"/>
    <n v="0"/>
    <n v="3.0750000000000028"/>
    <n v="0"/>
    <n v="0"/>
    <n v="0"/>
    <n v="57.1"/>
    <n v="58.125"/>
    <n v="0"/>
    <n v="0"/>
    <n v="16.524999999999999"/>
    <n v="0"/>
    <n v="0"/>
    <n v="0"/>
    <n v="0"/>
    <n v="0"/>
    <n v="28.65"/>
    <n v="0"/>
    <n v="-1.0249999999999986"/>
    <n v="1.8"/>
    <n v="827.59999999999991"/>
    <n v="647.87920570246536"/>
    <n v="622.98031153088493"/>
    <n v="8.9"/>
    <n v="62.64"/>
    <n v="0"/>
    <n v="0"/>
    <n v="0"/>
    <n v="0"/>
    <n v="0"/>
    <n v="0"/>
    <n v="0"/>
    <n v="0"/>
    <n v="0"/>
    <n v="50.84"/>
    <n v="0"/>
    <n v="0"/>
    <n v="415.73"/>
    <n v="77.81"/>
    <n v="0"/>
    <n v="34.549999999999997"/>
    <n v="0"/>
    <n v="0"/>
    <n v="0"/>
    <n v="641.57000000000005"/>
    <n v="653.09"/>
    <n v="0"/>
    <n v="0"/>
    <n v="185.67"/>
    <n v="0"/>
    <n v="0"/>
    <n v="0"/>
    <n v="0"/>
    <n v="0"/>
    <n v="321.91000000000003"/>
    <n v="0"/>
    <x v="49"/>
    <n v="20.22"/>
    <n v="9298.8799999999992"/>
    <n v="7279.54"/>
    <n v="6999.78"/>
    <x v="2"/>
    <m/>
    <m/>
    <m/>
    <s v="No"/>
    <s v="Yes"/>
    <s v="Yes"/>
    <s v="Yes"/>
    <s v="Yes"/>
    <s v="Yes"/>
    <s v="No"/>
    <s v="No"/>
    <s v="N/a"/>
    <s v="Yes"/>
    <s v="No"/>
  </r>
  <r>
    <x v="50"/>
    <n v="5.4749999999999996"/>
    <n v="0"/>
    <n v="0"/>
    <n v="0"/>
    <n v="0"/>
    <n v="0"/>
    <n v="0"/>
    <n v="0"/>
    <n v="0"/>
    <n v="0"/>
    <n v="4.3999999999999995"/>
    <n v="0"/>
    <n v="0"/>
    <n v="37.000000000000007"/>
    <n v="6.65"/>
    <n v="0"/>
    <n v="3.375"/>
    <n v="0"/>
    <n v="0"/>
    <n v="0"/>
    <n v="56.900000000000006"/>
    <n v="55.3"/>
    <n v="0"/>
    <n v="0"/>
    <n v="15"/>
    <n v="0"/>
    <n v="0"/>
    <n v="0"/>
    <n v="0"/>
    <n v="0"/>
    <n v="28.45"/>
    <n v="0"/>
    <n v="1.6000000000000085"/>
    <n v="2.375"/>
    <n v="822.27500000000009"/>
    <n v="614.85624568195192"/>
    <n v="623.50700815566631"/>
    <n v="8.4"/>
    <n v="65.180000000000007"/>
    <n v="0"/>
    <n v="0"/>
    <n v="0"/>
    <n v="0"/>
    <n v="0"/>
    <n v="0"/>
    <n v="0"/>
    <n v="0"/>
    <n v="0"/>
    <n v="52.38"/>
    <n v="0"/>
    <n v="0"/>
    <n v="440.48"/>
    <n v="79.17"/>
    <n v="0"/>
    <n v="40.18"/>
    <n v="0"/>
    <n v="0"/>
    <n v="0"/>
    <n v="677.38"/>
    <n v="658.33"/>
    <n v="0"/>
    <n v="0"/>
    <n v="178.57"/>
    <n v="0"/>
    <n v="0"/>
    <n v="0"/>
    <n v="0"/>
    <n v="0"/>
    <n v="338.69"/>
    <n v="0"/>
    <x v="50"/>
    <n v="28.27"/>
    <n v="9788.99"/>
    <n v="7319.72"/>
    <n v="7422.7"/>
    <x v="2"/>
    <m/>
    <m/>
    <m/>
    <s v="No"/>
    <s v="Yes"/>
    <s v="Yes"/>
    <s v="Yes"/>
    <s v="Yes"/>
    <s v="Yes"/>
    <s v="No"/>
    <s v="No"/>
    <s v="N/a"/>
    <s v="Yes"/>
    <s v="No"/>
  </r>
  <r>
    <x v="51"/>
    <n v="5.4750000000000005"/>
    <n v="0"/>
    <n v="0"/>
    <n v="0"/>
    <n v="0"/>
    <n v="0"/>
    <n v="0"/>
    <n v="0"/>
    <n v="0"/>
    <n v="0"/>
    <n v="3.7499999999999996"/>
    <n v="0"/>
    <n v="0"/>
    <n v="37.25"/>
    <n v="6.6"/>
    <n v="0"/>
    <n v="3.4749999999999943"/>
    <n v="0"/>
    <n v="0"/>
    <n v="0"/>
    <n v="56.55"/>
    <n v="54.525000000000006"/>
    <n v="0"/>
    <n v="0"/>
    <n v="14.45"/>
    <n v="0"/>
    <n v="0"/>
    <n v="0"/>
    <n v="0"/>
    <n v="0"/>
    <n v="28.275000000000002"/>
    <n v="0"/>
    <n v="2.0249999999999915"/>
    <n v="2.2250000000000001"/>
    <n v="816.875"/>
    <n v="633.43354817668603"/>
    <n v="644.63586574501107"/>
    <n v="8.1"/>
    <n v="67.59"/>
    <n v="0"/>
    <n v="0"/>
    <n v="0"/>
    <n v="0"/>
    <n v="0"/>
    <n v="0"/>
    <n v="0"/>
    <n v="0"/>
    <n v="0"/>
    <n v="46.3"/>
    <n v="0"/>
    <n v="0"/>
    <n v="459.88"/>
    <n v="81.48"/>
    <n v="0"/>
    <n v="42.9"/>
    <n v="0"/>
    <n v="0"/>
    <n v="0"/>
    <n v="698.15"/>
    <n v="673.15"/>
    <n v="0"/>
    <n v="0"/>
    <n v="178.4"/>
    <n v="0"/>
    <n v="0"/>
    <n v="0"/>
    <n v="0"/>
    <n v="0"/>
    <n v="349.07"/>
    <n v="0"/>
    <x v="51"/>
    <n v="27.47"/>
    <n v="10084.879999999999"/>
    <n v="7820.17"/>
    <n v="7958.47"/>
    <x v="2"/>
    <m/>
    <m/>
    <m/>
    <s v="No"/>
    <s v="Yes"/>
    <s v="Yes"/>
    <s v="Yes"/>
    <s v="Yes"/>
    <s v="Yes"/>
    <s v="No"/>
    <s v="No"/>
    <s v="N/a"/>
    <s v="Yes"/>
    <s v="No"/>
  </r>
  <r>
    <x v="52"/>
    <n v="5.7"/>
    <n v="0"/>
    <n v="0"/>
    <n v="0"/>
    <n v="0"/>
    <n v="0"/>
    <n v="0"/>
    <n v="0"/>
    <n v="0"/>
    <n v="0"/>
    <n v="3.5250000000000004"/>
    <n v="0"/>
    <n v="0"/>
    <n v="38.249999999999993"/>
    <n v="6.9500000000000011"/>
    <n v="0"/>
    <n v="3.1749999999999972"/>
    <n v="0"/>
    <n v="0"/>
    <n v="0"/>
    <n v="57.599999999999994"/>
    <n v="54.325000000000003"/>
    <n v="0"/>
    <n v="0"/>
    <n v="14.099999999999998"/>
    <n v="0"/>
    <n v="0"/>
    <n v="0"/>
    <n v="0"/>
    <n v="0"/>
    <n v="28.174999999999997"/>
    <n v="0"/>
    <n v="3.2749999999999915"/>
    <n v="2.1749999999999998"/>
    <n v="811.02499999999998"/>
    <n v="669.42977278378464"/>
    <n v="707.81526929300674"/>
    <n v="8.1"/>
    <n v="70.37"/>
    <n v="0"/>
    <n v="0"/>
    <n v="0"/>
    <n v="0"/>
    <n v="0"/>
    <n v="0"/>
    <n v="0"/>
    <n v="0"/>
    <n v="0"/>
    <n v="43.52"/>
    <n v="0"/>
    <n v="0"/>
    <n v="472.22"/>
    <n v="85.8"/>
    <n v="0"/>
    <n v="39.200000000000003"/>
    <n v="0"/>
    <n v="0"/>
    <n v="0"/>
    <n v="711.11"/>
    <n v="670.68"/>
    <n v="0"/>
    <n v="0"/>
    <n v="174.07"/>
    <n v="0"/>
    <n v="0"/>
    <n v="0"/>
    <n v="0"/>
    <n v="0"/>
    <n v="347.84"/>
    <n v="0"/>
    <x v="52"/>
    <n v="26.85"/>
    <n v="10012.65"/>
    <n v="8264.57"/>
    <n v="8738.4599999999991"/>
    <x v="1"/>
    <m/>
    <m/>
    <m/>
    <s v="No"/>
    <s v="Yes"/>
    <s v="Yes"/>
    <s v="Yes"/>
    <s v="Yes"/>
    <s v="Yes"/>
    <s v="No"/>
    <s v="No"/>
    <s v="N/a"/>
    <s v="Yes"/>
    <s v="No"/>
  </r>
  <r>
    <x v="53"/>
    <n v="6.9750000000000005"/>
    <n v="0"/>
    <n v="0"/>
    <n v="0"/>
    <n v="0"/>
    <n v="0"/>
    <n v="0"/>
    <n v="0"/>
    <n v="0"/>
    <n v="0"/>
    <n v="2.6749999999999998"/>
    <n v="0"/>
    <n v="0"/>
    <n v="37.25"/>
    <n v="7.1249999999999991"/>
    <n v="0"/>
    <n v="3.3500000000000014"/>
    <n v="0"/>
    <n v="0"/>
    <n v="0"/>
    <n v="57.375"/>
    <n v="55.424999999999997"/>
    <n v="0"/>
    <n v="0"/>
    <n v="15.775"/>
    <n v="0"/>
    <n v="0"/>
    <n v="0"/>
    <n v="0"/>
    <n v="0"/>
    <n v="28.1"/>
    <n v="0"/>
    <n v="1.9500000000000028"/>
    <n v="0.64375000000000304"/>
    <n v="804.22"/>
    <n v="740.85581408475207"/>
    <n v="768.55140715902064"/>
    <n v="8.9"/>
    <n v="78.37"/>
    <n v="0"/>
    <n v="0"/>
    <n v="0"/>
    <n v="0"/>
    <n v="0"/>
    <n v="0"/>
    <n v="0"/>
    <n v="0"/>
    <n v="0"/>
    <n v="30.06"/>
    <n v="0"/>
    <n v="0"/>
    <n v="418.54"/>
    <n v="80.06"/>
    <n v="0"/>
    <n v="37.64"/>
    <n v="0"/>
    <n v="0"/>
    <n v="0"/>
    <n v="644.66"/>
    <n v="622.75"/>
    <n v="0"/>
    <n v="0"/>
    <n v="177.25"/>
    <n v="0"/>
    <n v="0"/>
    <n v="0"/>
    <n v="0"/>
    <n v="0"/>
    <n v="315.73"/>
    <n v="0"/>
    <x v="53"/>
    <n v="7.23"/>
    <n v="9036.18"/>
    <n v="8324.2199999999993"/>
    <n v="8635.41"/>
    <x v="1"/>
    <m/>
    <m/>
    <m/>
    <s v="No"/>
    <s v="Yes"/>
    <s v="Yes"/>
    <s v="Yes"/>
    <s v="Yes"/>
    <s v="Yes"/>
    <s v="No"/>
    <s v="No"/>
    <s v="N/a"/>
    <s v="Yes"/>
    <s v="No"/>
  </r>
  <r>
    <x v="54"/>
    <n v="10.6"/>
    <n v="0"/>
    <n v="0"/>
    <n v="0"/>
    <n v="0"/>
    <n v="0"/>
    <n v="0"/>
    <n v="0"/>
    <n v="0"/>
    <n v="0"/>
    <n v="3.2"/>
    <n v="0"/>
    <n v="0"/>
    <n v="39"/>
    <n v="7.1"/>
    <n v="0"/>
    <n v="2.4999999999999929"/>
    <n v="0"/>
    <n v="0"/>
    <n v="0"/>
    <n v="62.399999999999991"/>
    <n v="59.124999999999993"/>
    <n v="0"/>
    <n v="0"/>
    <n v="17.2"/>
    <n v="0"/>
    <n v="0"/>
    <n v="0"/>
    <n v="0"/>
    <n v="0"/>
    <n v="28.075000000000003"/>
    <n v="0"/>
    <n v="3.2749999999999986"/>
    <n v="8.9499999999999957"/>
    <n v="811.2974999999999"/>
    <n v="783.94294243329387"/>
    <n v="787.03041990757185"/>
    <n v="10.199999999999999"/>
    <n v="103.92"/>
    <n v="0"/>
    <n v="0"/>
    <n v="0"/>
    <n v="0"/>
    <n v="0"/>
    <n v="0"/>
    <n v="0"/>
    <n v="0"/>
    <n v="0"/>
    <n v="31.37"/>
    <n v="0"/>
    <n v="0"/>
    <n v="382.35"/>
    <n v="69.61"/>
    <n v="0"/>
    <n v="24.51"/>
    <n v="0"/>
    <n v="0"/>
    <n v="0"/>
    <n v="611.76"/>
    <n v="579.66"/>
    <n v="0"/>
    <n v="0"/>
    <n v="168.63"/>
    <n v="0"/>
    <n v="0"/>
    <n v="0"/>
    <n v="0"/>
    <n v="0"/>
    <n v="275.25"/>
    <n v="0"/>
    <x v="54"/>
    <n v="87.75"/>
    <n v="7953.9"/>
    <n v="7685.72"/>
    <n v="7715.98"/>
    <x v="1"/>
    <m/>
    <m/>
    <m/>
    <s v="No"/>
    <s v="Yes"/>
    <s v="Yes"/>
    <s v="Yes"/>
    <s v="Yes"/>
    <s v="Yes"/>
    <s v="No"/>
    <s v="No"/>
    <s v="N/a"/>
    <s v="Yes"/>
    <s v="No"/>
  </r>
  <r>
    <x v="55"/>
    <n v="15.1"/>
    <n v="0"/>
    <n v="0"/>
    <n v="0"/>
    <n v="0"/>
    <n v="0"/>
    <n v="0"/>
    <n v="0"/>
    <n v="0"/>
    <n v="0"/>
    <n v="3.1"/>
    <n v="0"/>
    <n v="0"/>
    <n v="40"/>
    <n v="7.1"/>
    <n v="0"/>
    <n v="4.4000000000000057"/>
    <n v="0"/>
    <n v="0"/>
    <n v="0"/>
    <n v="69.7"/>
    <n v="75.099999999999994"/>
    <n v="0"/>
    <n v="0"/>
    <n v="40.625"/>
    <n v="0"/>
    <n v="0"/>
    <n v="0"/>
    <n v="0"/>
    <n v="0"/>
    <n v="28.2"/>
    <n v="0"/>
    <n v="-5.3999999999999915"/>
    <n v="16.612499999999994"/>
    <n v="829.21875000000011"/>
    <n v="798.83284901760157"/>
    <n v="819.35022976338291"/>
    <n v="10.5"/>
    <n v="143.81"/>
    <n v="0"/>
    <n v="0"/>
    <n v="0"/>
    <n v="0"/>
    <n v="0"/>
    <n v="0"/>
    <n v="0"/>
    <n v="0"/>
    <n v="0"/>
    <n v="29.52"/>
    <n v="0"/>
    <n v="0"/>
    <n v="380.95"/>
    <n v="67.62"/>
    <n v="0"/>
    <n v="41.9"/>
    <n v="0"/>
    <n v="0"/>
    <n v="0"/>
    <n v="663.81"/>
    <n v="715.24"/>
    <n v="0"/>
    <n v="0"/>
    <n v="386.9"/>
    <n v="0"/>
    <n v="0"/>
    <n v="0"/>
    <n v="0"/>
    <n v="0"/>
    <n v="268.57"/>
    <n v="0"/>
    <x v="55"/>
    <n v="158.21"/>
    <n v="7897.32"/>
    <n v="7607.93"/>
    <n v="7803.34"/>
    <x v="1"/>
    <m/>
    <m/>
    <m/>
    <s v="No"/>
    <s v="Yes"/>
    <s v="Yes"/>
    <s v="Yes"/>
    <s v="Yes"/>
    <s v="Yes"/>
    <s v="No"/>
    <s v="No"/>
    <s v="N/a"/>
    <s v="Yes"/>
    <s v="No"/>
  </r>
  <r>
    <x v="56"/>
    <n v="16.100000000000001"/>
    <n v="0"/>
    <n v="0"/>
    <n v="0"/>
    <n v="0"/>
    <n v="0"/>
    <n v="0"/>
    <n v="0"/>
    <n v="0"/>
    <n v="0"/>
    <n v="3.1"/>
    <n v="0"/>
    <n v="0"/>
    <n v="42"/>
    <n v="7.4"/>
    <n v="0"/>
    <n v="3.6000000000000085"/>
    <n v="0"/>
    <n v="0"/>
    <n v="0"/>
    <n v="72.200000000000017"/>
    <n v="88.85"/>
    <n v="0"/>
    <n v="3.5"/>
    <n v="33.912499999999994"/>
    <n v="0"/>
    <n v="0"/>
    <n v="0"/>
    <n v="0"/>
    <n v="0"/>
    <n v="28.8"/>
    <n v="0"/>
    <n v="-16.649999999999977"/>
    <n v="7.0687499999999925"/>
    <n v="835.16874999999993"/>
    <n v="827.40892080269623"/>
    <n v="823.00892213554152"/>
    <n v="10.5"/>
    <n v="153.33000000000001"/>
    <n v="0"/>
    <n v="0"/>
    <n v="0"/>
    <n v="0"/>
    <n v="0"/>
    <n v="0"/>
    <n v="0"/>
    <n v="0"/>
    <n v="0"/>
    <n v="29.52"/>
    <n v="0"/>
    <n v="0"/>
    <n v="400"/>
    <n v="70.48"/>
    <n v="0"/>
    <n v="34.29"/>
    <n v="0"/>
    <n v="0"/>
    <n v="0"/>
    <n v="687.62"/>
    <n v="846.19"/>
    <n v="0"/>
    <n v="33.33"/>
    <n v="322.98"/>
    <n v="0"/>
    <n v="0"/>
    <n v="0"/>
    <n v="0"/>
    <n v="0"/>
    <n v="274.29000000000002"/>
    <n v="0"/>
    <x v="56"/>
    <n v="67.319999999999993"/>
    <n v="7953.99"/>
    <n v="7880.08"/>
    <n v="7838.18"/>
    <x v="1"/>
    <m/>
    <m/>
    <m/>
    <s v="No"/>
    <s v="Yes"/>
    <s v="Yes"/>
    <s v="Yes"/>
    <s v="Yes"/>
    <s v="Yes"/>
    <s v="No"/>
    <s v="No"/>
    <s v="N/a"/>
    <s v="Yes"/>
    <s v="No"/>
  </r>
  <r>
    <x v="57"/>
    <n v="11.6"/>
    <n v="0"/>
    <n v="0"/>
    <n v="0"/>
    <n v="0"/>
    <n v="0"/>
    <n v="0"/>
    <n v="0"/>
    <n v="0"/>
    <n v="0"/>
    <n v="3.2"/>
    <n v="0"/>
    <n v="0"/>
    <n v="41"/>
    <n v="7.4"/>
    <n v="0"/>
    <n v="3.7000000000000028"/>
    <n v="0"/>
    <n v="0"/>
    <n v="0"/>
    <n v="66.900000000000006"/>
    <n v="74.125"/>
    <n v="0"/>
    <n v="3.5"/>
    <n v="24.225000000000001"/>
    <n v="0"/>
    <n v="0"/>
    <n v="0"/>
    <n v="0"/>
    <n v="0"/>
    <n v="28.7"/>
    <n v="0"/>
    <n v="-7.2249999999999943"/>
    <n v="1.6374999999999966"/>
    <n v="831.78125"/>
    <n v="811.73191337167236"/>
    <n v="793.57789451108874"/>
    <n v="10"/>
    <n v="116"/>
    <n v="0"/>
    <n v="0"/>
    <n v="0"/>
    <n v="0"/>
    <n v="0"/>
    <n v="0"/>
    <n v="0"/>
    <n v="0"/>
    <n v="0"/>
    <n v="32"/>
    <n v="0"/>
    <n v="0"/>
    <n v="410"/>
    <n v="74"/>
    <n v="0"/>
    <n v="37"/>
    <n v="0"/>
    <n v="0"/>
    <n v="0"/>
    <n v="669"/>
    <n v="741.25"/>
    <n v="0"/>
    <n v="35"/>
    <n v="242.25"/>
    <n v="0"/>
    <n v="0"/>
    <n v="0"/>
    <n v="0"/>
    <n v="0"/>
    <n v="287"/>
    <n v="0"/>
    <x v="57"/>
    <n v="16.38"/>
    <n v="8317.81"/>
    <n v="8117.32"/>
    <n v="7935.78"/>
    <x v="2"/>
    <m/>
    <m/>
    <m/>
    <s v="No"/>
    <s v="Yes"/>
    <s v="Yes"/>
    <s v="Yes"/>
    <s v="Yes"/>
    <s v="Yes"/>
    <s v="No"/>
    <s v="No"/>
    <s v="N/a"/>
    <s v="Yes"/>
    <s v="No"/>
  </r>
  <r>
    <x v="58"/>
    <n v="6.7"/>
    <n v="0"/>
    <n v="0"/>
    <n v="0"/>
    <n v="0"/>
    <n v="0"/>
    <n v="0"/>
    <n v="0"/>
    <n v="0"/>
    <n v="0"/>
    <n v="3.2"/>
    <n v="0"/>
    <n v="0"/>
    <n v="42"/>
    <n v="8"/>
    <n v="0"/>
    <n v="4.3999999999999986"/>
    <n v="0"/>
    <n v="0"/>
    <n v="0"/>
    <n v="64.3"/>
    <n v="67.350000000000009"/>
    <n v="0"/>
    <n v="3.75"/>
    <n v="21.824999999999999"/>
    <n v="0"/>
    <n v="0"/>
    <n v="0"/>
    <n v="0"/>
    <n v="0"/>
    <n v="28.7"/>
    <n v="0"/>
    <n v="-3.0500000000000114"/>
    <n v="0.46249999999999947"/>
    <n v="828.06250000000011"/>
    <n v="798.18913061167677"/>
    <n v="825.56562167343691"/>
    <n v="9.1"/>
    <n v="73.63"/>
    <n v="0"/>
    <n v="0"/>
    <n v="0"/>
    <n v="0"/>
    <n v="0"/>
    <n v="0"/>
    <n v="0"/>
    <n v="0"/>
    <n v="0"/>
    <n v="35.159999999999997"/>
    <n v="0"/>
    <n v="0"/>
    <n v="461.54"/>
    <n v="87.91"/>
    <n v="0"/>
    <n v="48.35"/>
    <n v="0"/>
    <n v="0"/>
    <n v="0"/>
    <n v="706.59"/>
    <n v="740.11"/>
    <n v="0"/>
    <n v="41.21"/>
    <n v="239.84"/>
    <n v="0"/>
    <n v="0"/>
    <n v="0"/>
    <n v="0"/>
    <n v="0"/>
    <n v="315.38"/>
    <n v="0"/>
    <x v="58"/>
    <n v="5.08"/>
    <n v="9099.59"/>
    <n v="8771.31"/>
    <n v="9072.15"/>
    <x v="2"/>
    <m/>
    <m/>
    <m/>
    <s v="No"/>
    <s v="Yes"/>
    <s v="Yes"/>
    <s v="Yes"/>
    <s v="Yes"/>
    <s v="Yes"/>
    <s v="No"/>
    <s v="No"/>
    <s v="N/a"/>
    <s v="Yes"/>
    <s v="No"/>
  </r>
  <r>
    <x v="59"/>
    <n v="9.6"/>
    <n v="0"/>
    <n v="0"/>
    <n v="0"/>
    <n v="0"/>
    <n v="0"/>
    <n v="0"/>
    <n v="0"/>
    <n v="0"/>
    <n v="0"/>
    <n v="3.2"/>
    <n v="0"/>
    <n v="0"/>
    <n v="44"/>
    <n v="8"/>
    <n v="0"/>
    <n v="5.2999999999999972"/>
    <n v="0"/>
    <n v="0"/>
    <n v="0"/>
    <n v="70.099999999999994"/>
    <n v="66"/>
    <n v="0"/>
    <n v="4.5"/>
    <n v="24.75"/>
    <n v="0"/>
    <n v="0"/>
    <n v="0"/>
    <n v="0"/>
    <n v="0"/>
    <n v="28.7"/>
    <n v="0"/>
    <n v="4.0999999999999943"/>
    <n v="0.38125000000000053"/>
    <n v="823.75625000000002"/>
    <n v="843.57489846372903"/>
    <n v="852.21696098255325"/>
    <n v="9"/>
    <n v="106.67"/>
    <n v="0"/>
    <n v="0"/>
    <n v="0"/>
    <n v="0"/>
    <n v="0"/>
    <n v="0"/>
    <n v="0"/>
    <n v="0"/>
    <n v="0"/>
    <n v="35.56"/>
    <n v="0"/>
    <n v="0"/>
    <n v="488.89"/>
    <n v="88.89"/>
    <n v="0"/>
    <n v="58.89"/>
    <n v="0"/>
    <n v="0"/>
    <n v="0"/>
    <n v="778.89"/>
    <n v="733.33"/>
    <n v="0"/>
    <n v="50"/>
    <n v="275"/>
    <n v="0"/>
    <n v="0"/>
    <n v="0"/>
    <n v="0"/>
    <n v="0"/>
    <n v="318.89"/>
    <n v="0"/>
    <x v="59"/>
    <n v="4.24"/>
    <n v="9152.85"/>
    <n v="9373.0499999999993"/>
    <n v="9469.08"/>
    <x v="3"/>
    <m/>
    <m/>
    <m/>
    <s v="No"/>
    <s v="Yes"/>
    <s v="Yes"/>
    <s v="Yes"/>
    <s v="Yes"/>
    <s v="Yes"/>
    <s v="No"/>
    <s v="No"/>
    <s v="N/a"/>
    <s v="Yes"/>
    <s v="No"/>
  </r>
  <r>
    <x v="60"/>
    <n v="10.9"/>
    <n v="0"/>
    <n v="0"/>
    <n v="0"/>
    <n v="0"/>
    <n v="0"/>
    <n v="0"/>
    <n v="0"/>
    <n v="0"/>
    <n v="0"/>
    <n v="3.1"/>
    <n v="0"/>
    <n v="0"/>
    <n v="42"/>
    <n v="8.3000000000000007"/>
    <n v="0"/>
    <n v="5.4000000000000057"/>
    <n v="0"/>
    <n v="0"/>
    <n v="0"/>
    <n v="69.7"/>
    <n v="70.424999999999997"/>
    <n v="0"/>
    <n v="4.5"/>
    <n v="27.812500000000004"/>
    <n v="0"/>
    <n v="0"/>
    <n v="0"/>
    <n v="0"/>
    <n v="0"/>
    <n v="26.3"/>
    <n v="0"/>
    <n v="-0.72499999999999432"/>
    <n v="2.5250000000000012"/>
    <n v="822.01874999999995"/>
    <n v="864.47037369580585"/>
    <n v="880.33513660348672"/>
    <n v="9.3000000000000007"/>
    <n v="117.2"/>
    <n v="0"/>
    <n v="0"/>
    <n v="0"/>
    <n v="0"/>
    <n v="0"/>
    <n v="0"/>
    <n v="0"/>
    <n v="0"/>
    <n v="0"/>
    <n v="33.33"/>
    <n v="0"/>
    <n v="0"/>
    <n v="451.61"/>
    <n v="89.25"/>
    <n v="0"/>
    <n v="58.06"/>
    <n v="0"/>
    <n v="0"/>
    <n v="0"/>
    <n v="749.46"/>
    <n v="757.26"/>
    <n v="0"/>
    <n v="48.39"/>
    <n v="299.06"/>
    <n v="0"/>
    <n v="0"/>
    <n v="0"/>
    <n v="0"/>
    <n v="0"/>
    <n v="282.8"/>
    <n v="0"/>
    <x v="60"/>
    <n v="27.15"/>
    <n v="8838.91"/>
    <n v="9295.3799999999992"/>
    <n v="9465.9699999999993"/>
    <x v="3"/>
    <m/>
    <m/>
    <m/>
    <s v="No"/>
    <s v="Yes"/>
    <s v="Yes"/>
    <s v="Yes"/>
    <s v="Yes"/>
    <s v="Yes"/>
    <s v="No"/>
    <s v="No"/>
    <s v="N/a"/>
    <s v="Yes"/>
    <s v="No"/>
  </r>
  <r>
    <x v="61"/>
    <n v="10.4"/>
    <n v="0"/>
    <n v="0"/>
    <n v="0"/>
    <n v="0"/>
    <n v="0"/>
    <n v="0"/>
    <n v="0"/>
    <n v="0"/>
    <n v="0"/>
    <n v="3.2"/>
    <n v="0"/>
    <n v="0"/>
    <n v="42"/>
    <n v="8.6"/>
    <n v="0"/>
    <n v="4.7999999999999972"/>
    <n v="0"/>
    <n v="0"/>
    <n v="0"/>
    <n v="69"/>
    <n v="72.75"/>
    <n v="0"/>
    <n v="4.5"/>
    <n v="28.875"/>
    <n v="0"/>
    <n v="0"/>
    <n v="0"/>
    <n v="0"/>
    <n v="0"/>
    <n v="26.3"/>
    <n v="0"/>
    <n v="-3.75"/>
    <n v="2.9437499999999988"/>
    <n v="821.46875"/>
    <n v="888.95667772760657"/>
    <n v="890.33499706816553"/>
    <n v="9.5"/>
    <n v="109.47"/>
    <n v="0"/>
    <n v="0"/>
    <n v="0"/>
    <n v="0"/>
    <n v="0"/>
    <n v="0"/>
    <n v="0"/>
    <n v="0"/>
    <n v="0"/>
    <n v="33.68"/>
    <n v="0"/>
    <n v="0"/>
    <n v="442.11"/>
    <n v="90.53"/>
    <n v="0"/>
    <n v="50.53"/>
    <n v="0"/>
    <n v="0"/>
    <n v="0"/>
    <n v="726.32"/>
    <n v="765.79"/>
    <n v="0"/>
    <n v="47.37"/>
    <n v="303.95"/>
    <n v="0"/>
    <n v="0"/>
    <n v="0"/>
    <n v="0"/>
    <n v="0"/>
    <n v="276.83999999999997"/>
    <n v="0"/>
    <x v="61"/>
    <n v="30.99"/>
    <n v="8647.0400000000009"/>
    <n v="9357.44"/>
    <n v="9371.9500000000007"/>
    <x v="3"/>
    <m/>
    <m/>
    <m/>
    <s v="No"/>
    <s v="Yes"/>
    <s v="Yes"/>
    <s v="Yes"/>
    <s v="Yes"/>
    <s v="Yes"/>
    <s v="No"/>
    <s v="No"/>
    <s v="N/a"/>
    <s v="Yes"/>
    <s v="No"/>
  </r>
  <r>
    <x v="62"/>
    <n v="10.6"/>
    <n v="0"/>
    <n v="0"/>
    <n v="0"/>
    <n v="0"/>
    <n v="0"/>
    <n v="0"/>
    <n v="0"/>
    <n v="0"/>
    <n v="0"/>
    <n v="3.2"/>
    <n v="0"/>
    <n v="0"/>
    <n v="41"/>
    <n v="9"/>
    <n v="0"/>
    <n v="5"/>
    <n v="0"/>
    <n v="0"/>
    <n v="0"/>
    <n v="68.8"/>
    <n v="71.8"/>
    <n v="0"/>
    <n v="4.5"/>
    <n v="28.306250000000002"/>
    <n v="0"/>
    <n v="0"/>
    <n v="0"/>
    <n v="0"/>
    <n v="0"/>
    <n v="26.2"/>
    <n v="0"/>
    <n v="-3"/>
    <n v="1.4437499999999979"/>
    <n v="820.65625000000011"/>
    <n v="909.31794336567236"/>
    <n v="945.90551662012706"/>
    <n v="9.3000000000000007"/>
    <n v="113.98"/>
    <n v="0"/>
    <n v="0"/>
    <n v="0"/>
    <n v="0"/>
    <n v="0"/>
    <n v="0"/>
    <n v="0"/>
    <n v="0"/>
    <n v="0"/>
    <n v="34.409999999999997"/>
    <n v="0"/>
    <n v="0"/>
    <n v="440.86"/>
    <n v="96.77"/>
    <n v="0"/>
    <n v="53.76"/>
    <n v="0"/>
    <n v="0"/>
    <n v="0"/>
    <n v="739.78"/>
    <n v="772.04"/>
    <n v="0"/>
    <n v="48.39"/>
    <n v="304.37"/>
    <n v="0"/>
    <n v="0"/>
    <n v="0"/>
    <n v="0"/>
    <n v="0"/>
    <n v="281.72000000000003"/>
    <n v="0"/>
    <x v="62"/>
    <n v="15.52"/>
    <n v="8824.26"/>
    <n v="9777.61"/>
    <n v="10171.030000000001"/>
    <x v="3"/>
    <m/>
    <m/>
    <m/>
    <s v="No"/>
    <s v="Yes"/>
    <s v="Yes"/>
    <s v="Yes"/>
    <s v="Yes"/>
    <s v="Yes"/>
    <s v="No"/>
    <s v="No"/>
    <s v="N/a"/>
    <s v="Yes"/>
    <s v="No"/>
  </r>
  <r>
    <x v="63"/>
    <n v="9.1"/>
    <n v="0"/>
    <n v="0"/>
    <n v="0"/>
    <n v="0"/>
    <n v="0"/>
    <n v="0"/>
    <n v="0"/>
    <n v="0"/>
    <n v="0"/>
    <n v="3.2"/>
    <n v="0"/>
    <n v="0"/>
    <n v="41"/>
    <n v="9.3000000000000007"/>
    <n v="0"/>
    <n v="5.8000000000000114"/>
    <n v="0"/>
    <n v="0"/>
    <n v="0"/>
    <n v="68.400000000000006"/>
    <n v="69.674999999999997"/>
    <n v="0"/>
    <n v="4.75"/>
    <n v="26.612500000000001"/>
    <n v="0"/>
    <n v="0"/>
    <n v="0"/>
    <n v="0"/>
    <n v="0"/>
    <n v="26.2"/>
    <n v="0"/>
    <n v="-1.2749999999999915"/>
    <n v="0.39375000000000698"/>
    <n v="817.16250000000002"/>
    <n v="976.20620944470807"/>
    <n v="1000.2200218394153"/>
    <n v="9"/>
    <n v="101.11"/>
    <n v="0"/>
    <n v="0"/>
    <n v="0"/>
    <n v="0"/>
    <n v="0"/>
    <n v="0"/>
    <n v="0"/>
    <n v="0"/>
    <n v="0"/>
    <n v="35.56"/>
    <n v="0"/>
    <n v="0"/>
    <n v="455.56"/>
    <n v="103.33"/>
    <n v="0"/>
    <n v="64.44"/>
    <n v="0"/>
    <n v="0"/>
    <n v="0"/>
    <n v="760"/>
    <n v="774.17"/>
    <n v="0"/>
    <n v="52.78"/>
    <n v="295.69"/>
    <n v="0"/>
    <n v="0"/>
    <n v="0"/>
    <n v="0"/>
    <n v="0"/>
    <n v="291.11"/>
    <n v="0"/>
    <x v="63"/>
    <n v="4.38"/>
    <n v="9079.58"/>
    <n v="10846.74"/>
    <n v="11113.56"/>
    <x v="3"/>
    <m/>
    <m/>
    <m/>
    <s v="No"/>
    <s v="Yes"/>
    <s v="Yes"/>
    <s v="Yes"/>
    <s v="Yes"/>
    <s v="Yes"/>
    <s v="No"/>
    <s v="No"/>
    <s v="N/a"/>
    <s v="Yes"/>
    <s v="No"/>
  </r>
  <r>
    <x v="64"/>
    <n v="8"/>
    <n v="0"/>
    <n v="0"/>
    <n v="0"/>
    <n v="0"/>
    <n v="0"/>
    <n v="0"/>
    <n v="0"/>
    <n v="0"/>
    <n v="0"/>
    <n v="3.3"/>
    <n v="0"/>
    <n v="0"/>
    <n v="43"/>
    <n v="9.5"/>
    <n v="0"/>
    <n v="4.9000000000000057"/>
    <n v="0"/>
    <n v="0"/>
    <n v="0"/>
    <n v="68.7"/>
    <n v="67.625"/>
    <n v="0"/>
    <n v="5.75"/>
    <n v="25.731249999999999"/>
    <n v="0"/>
    <n v="0"/>
    <n v="0"/>
    <n v="0"/>
    <n v="0"/>
    <n v="26.4"/>
    <n v="0"/>
    <n v="1.0750000000000028"/>
    <n v="1.0375000000000101"/>
    <n v="811.8"/>
    <n v="1016.2482227515294"/>
    <n v="1024.2908121810503"/>
    <n v="8.9"/>
    <n v="89.89"/>
    <n v="0"/>
    <n v="0"/>
    <n v="0"/>
    <n v="0"/>
    <n v="0"/>
    <n v="0"/>
    <n v="0"/>
    <n v="0"/>
    <n v="0"/>
    <n v="37.08"/>
    <n v="0"/>
    <n v="0"/>
    <n v="483.15"/>
    <n v="106.74"/>
    <n v="0"/>
    <n v="55.06"/>
    <n v="0"/>
    <n v="0"/>
    <n v="0"/>
    <n v="771.91"/>
    <n v="759.83"/>
    <n v="0"/>
    <n v="64.61"/>
    <n v="289.12"/>
    <n v="0"/>
    <n v="0"/>
    <n v="0"/>
    <n v="0"/>
    <n v="0"/>
    <n v="296.63"/>
    <n v="0"/>
    <x v="64"/>
    <n v="11.66"/>
    <n v="9121.35"/>
    <n v="11418.52"/>
    <n v="11508.89"/>
    <x v="3"/>
    <m/>
    <m/>
    <m/>
    <s v="No"/>
    <s v="Yes"/>
    <s v="Yes"/>
    <s v="Yes"/>
    <s v="Yes"/>
    <s v="Yes"/>
    <s v="No"/>
    <s v="No"/>
    <s v="N/a"/>
    <s v="Yes"/>
    <s v="No"/>
  </r>
  <r>
    <x v="65"/>
    <n v="6.4"/>
    <n v="0"/>
    <n v="0"/>
    <n v="0"/>
    <n v="0"/>
    <n v="0"/>
    <n v="0"/>
    <n v="0"/>
    <n v="0"/>
    <n v="0"/>
    <n v="3.4"/>
    <n v="0"/>
    <n v="0"/>
    <n v="41"/>
    <n v="9.6"/>
    <n v="0"/>
    <n v="5.6999999999999886"/>
    <n v="0"/>
    <n v="0"/>
    <n v="0"/>
    <n v="66.099999999999994"/>
    <n v="66.949999999999989"/>
    <n v="0"/>
    <n v="6.75"/>
    <n v="25.131250000000001"/>
    <n v="0"/>
    <n v="0"/>
    <n v="0"/>
    <n v="0"/>
    <n v="0"/>
    <n v="26.2"/>
    <n v="0"/>
    <n v="-0.84999999999999432"/>
    <n v="0.16249999999999701"/>
    <n v="804.67499999999995"/>
    <n v="1036.5405160149585"/>
    <n v="1052.9973342532539"/>
    <n v="9"/>
    <n v="71.11"/>
    <n v="0"/>
    <n v="0"/>
    <n v="0"/>
    <n v="0"/>
    <n v="0"/>
    <n v="0"/>
    <n v="0"/>
    <n v="0"/>
    <n v="0"/>
    <n v="37.78"/>
    <n v="0"/>
    <n v="0"/>
    <n v="455.56"/>
    <n v="106.67"/>
    <n v="0"/>
    <n v="63.33"/>
    <n v="0"/>
    <n v="0"/>
    <n v="0"/>
    <n v="734.44"/>
    <n v="743.89"/>
    <n v="0"/>
    <n v="75"/>
    <n v="279.24"/>
    <n v="0"/>
    <n v="0"/>
    <n v="0"/>
    <n v="0"/>
    <n v="0"/>
    <n v="291.11"/>
    <n v="0"/>
    <x v="65"/>
    <n v="1.81"/>
    <n v="8940.83"/>
    <n v="11517.12"/>
    <n v="11699.97"/>
    <x v="3"/>
    <m/>
    <m/>
    <m/>
    <s v="No"/>
    <s v="Yes"/>
    <s v="Yes"/>
    <s v="Yes"/>
    <s v="Yes"/>
    <s v="Yes"/>
    <s v="No"/>
    <s v="No"/>
    <s v="N/a"/>
    <s v="Yes"/>
    <s v="No"/>
  </r>
  <r>
    <x v="66"/>
    <n v="5.7"/>
    <n v="0"/>
    <n v="0"/>
    <n v="0"/>
    <n v="0"/>
    <n v="0"/>
    <n v="0"/>
    <n v="0"/>
    <n v="0"/>
    <n v="0"/>
    <n v="3.5"/>
    <n v="0"/>
    <n v="0"/>
    <n v="43"/>
    <n v="9.4"/>
    <n v="0"/>
    <n v="6.2000000000000028"/>
    <n v="0"/>
    <n v="0"/>
    <n v="0"/>
    <n v="67.800000000000011"/>
    <n v="66.674999999999997"/>
    <n v="0"/>
    <n v="7.25"/>
    <n v="25.837499999999999"/>
    <n v="0"/>
    <n v="0"/>
    <n v="0"/>
    <n v="0"/>
    <n v="0"/>
    <n v="26.1"/>
    <n v="0"/>
    <n v="1.1250000000000142"/>
    <n v="0.45000000000000462"/>
    <n v="800.78749999999991"/>
    <n v="1059.3564244172421"/>
    <n v="1055.6177865069235"/>
    <n v="9.5"/>
    <n v="60"/>
    <n v="0"/>
    <n v="0"/>
    <n v="0"/>
    <n v="0"/>
    <n v="0"/>
    <n v="0"/>
    <n v="0"/>
    <n v="0"/>
    <n v="0"/>
    <n v="36.840000000000003"/>
    <n v="0"/>
    <n v="0"/>
    <n v="452.63"/>
    <n v="98.95"/>
    <n v="0"/>
    <n v="65.260000000000005"/>
    <n v="0"/>
    <n v="0"/>
    <n v="0"/>
    <n v="713.68"/>
    <n v="701.84"/>
    <n v="0"/>
    <n v="76.319999999999993"/>
    <n v="271.97000000000003"/>
    <n v="0"/>
    <n v="0"/>
    <n v="0"/>
    <n v="0"/>
    <n v="0"/>
    <n v="274.74"/>
    <n v="0"/>
    <x v="66"/>
    <n v="4.74"/>
    <n v="8429.34"/>
    <n v="11151.12"/>
    <n v="11111.77"/>
    <x v="3"/>
    <m/>
    <m/>
    <m/>
    <s v="No"/>
    <s v="Yes"/>
    <s v="Yes"/>
    <s v="Yes"/>
    <s v="Yes"/>
    <s v="Yes"/>
    <s v="No"/>
    <s v="No"/>
    <s v="N/a"/>
    <s v="Yes"/>
    <s v="No"/>
  </r>
  <r>
    <x v="67"/>
    <n v="6.2"/>
    <n v="0"/>
    <n v="0"/>
    <n v="0"/>
    <n v="0"/>
    <n v="0"/>
    <n v="0"/>
    <n v="0"/>
    <n v="0"/>
    <n v="0"/>
    <n v="3.5"/>
    <n v="0"/>
    <n v="0"/>
    <n v="43"/>
    <n v="9.5"/>
    <n v="0"/>
    <n v="5.5999999999999943"/>
    <n v="0"/>
    <n v="0"/>
    <n v="0"/>
    <n v="67.8"/>
    <n v="76.675000000000011"/>
    <n v="0"/>
    <n v="6.25"/>
    <n v="26.818750000000001"/>
    <n v="0"/>
    <n v="0"/>
    <n v="0"/>
    <n v="0"/>
    <n v="0"/>
    <n v="26.6"/>
    <n v="0"/>
    <n v="-8.8750000000000142"/>
    <n v="3.2687500000000016"/>
    <n v="798.38124999999991"/>
    <n v="1056.2763671655241"/>
    <n v="1061.3321663930444"/>
    <n v="10.1"/>
    <n v="61.39"/>
    <n v="0"/>
    <n v="0"/>
    <n v="0"/>
    <n v="0"/>
    <n v="0"/>
    <n v="0"/>
    <n v="0"/>
    <n v="0"/>
    <n v="0"/>
    <n v="34.65"/>
    <n v="0"/>
    <n v="0"/>
    <n v="425.74"/>
    <n v="94.06"/>
    <n v="0"/>
    <n v="55.45"/>
    <n v="0"/>
    <n v="0"/>
    <n v="0"/>
    <n v="671.29"/>
    <n v="759.16"/>
    <n v="0"/>
    <n v="61.88"/>
    <n v="265.52999999999997"/>
    <n v="0"/>
    <n v="0"/>
    <n v="0"/>
    <n v="0"/>
    <n v="0"/>
    <n v="263.37"/>
    <n v="0"/>
    <x v="67"/>
    <n v="32.36"/>
    <n v="7904.76"/>
    <n v="10458.18"/>
    <n v="10508.24"/>
    <x v="3"/>
    <n v="0.47"/>
    <m/>
    <m/>
    <s v="No"/>
    <s v="Yes"/>
    <s v="Yes"/>
    <s v="Yes"/>
    <s v="Yes"/>
    <s v="Yes"/>
    <s v="No"/>
    <s v="No"/>
    <s v="N/a"/>
    <s v="Yes"/>
    <s v="No"/>
  </r>
  <r>
    <x v="68"/>
    <n v="8.6"/>
    <n v="0"/>
    <n v="0"/>
    <n v="0"/>
    <n v="0"/>
    <n v="0"/>
    <n v="0"/>
    <n v="0"/>
    <n v="0"/>
    <n v="0"/>
    <n v="3.5"/>
    <n v="0"/>
    <n v="0"/>
    <n v="42"/>
    <n v="9.1999999999999993"/>
    <n v="0"/>
    <n v="7.4999999999999929"/>
    <n v="0"/>
    <n v="0"/>
    <n v="0"/>
    <n v="70.799999999999983"/>
    <n v="105.66249999999999"/>
    <n v="0"/>
    <n v="5.5"/>
    <n v="25.924999999999997"/>
    <n v="0"/>
    <n v="0"/>
    <n v="0"/>
    <n v="0"/>
    <n v="0"/>
    <n v="26.6"/>
    <n v="0"/>
    <n v="-34.862500000000011"/>
    <n v="2.4500000000000002"/>
    <n v="796.91874999999993"/>
    <n v="1069.9012447148866"/>
    <n v="1081.9836021310507"/>
    <n v="10"/>
    <n v="86"/>
    <n v="0"/>
    <n v="0"/>
    <n v="0"/>
    <n v="0"/>
    <n v="0"/>
    <n v="0"/>
    <n v="0"/>
    <n v="0"/>
    <n v="0"/>
    <n v="35"/>
    <n v="0"/>
    <n v="0"/>
    <n v="420"/>
    <n v="92"/>
    <n v="0"/>
    <n v="75"/>
    <n v="0"/>
    <n v="0"/>
    <n v="0"/>
    <n v="708"/>
    <n v="1056.6300000000001"/>
    <n v="0"/>
    <n v="55"/>
    <n v="259.25"/>
    <n v="0"/>
    <n v="0"/>
    <n v="0"/>
    <n v="0"/>
    <n v="0"/>
    <n v="266"/>
    <n v="0"/>
    <x v="68"/>
    <n v="24.5"/>
    <n v="7969.19"/>
    <n v="10699.01"/>
    <n v="10819.84"/>
    <x v="2"/>
    <n v="0.47"/>
    <m/>
    <m/>
    <s v="No"/>
    <s v="Yes"/>
    <s v="Yes"/>
    <s v="Yes"/>
    <s v="Yes"/>
    <s v="Yes"/>
    <s v="No"/>
    <s v="No"/>
    <s v="N/a"/>
    <s v="Yes"/>
    <s v="No"/>
  </r>
  <r>
    <x v="69"/>
    <n v="10"/>
    <n v="0"/>
    <n v="0"/>
    <n v="4.7"/>
    <n v="0"/>
    <n v="0"/>
    <n v="0"/>
    <n v="0"/>
    <n v="0"/>
    <n v="0"/>
    <n v="4.5"/>
    <n v="0"/>
    <n v="0"/>
    <n v="44"/>
    <n v="4"/>
    <n v="0"/>
    <n v="6.5"/>
    <n v="0"/>
    <n v="0"/>
    <n v="0"/>
    <n v="73.7"/>
    <n v="104.88749999999999"/>
    <n v="0"/>
    <n v="5.75"/>
    <n v="22.437500000000004"/>
    <n v="0"/>
    <n v="0"/>
    <n v="0"/>
    <n v="0"/>
    <n v="0"/>
    <n v="27.1"/>
    <n v="0"/>
    <n v="-31.187499999999986"/>
    <n v="3.3187500000000099"/>
    <n v="792.89374999999995"/>
    <n v="1105.9932285283626"/>
    <n v="1141.9301239068227"/>
    <n v="9.5"/>
    <n v="105.26"/>
    <n v="0"/>
    <n v="0"/>
    <n v="49.47"/>
    <n v="0"/>
    <n v="0"/>
    <n v="0"/>
    <n v="0"/>
    <n v="0"/>
    <n v="0"/>
    <n v="47.37"/>
    <n v="0"/>
    <n v="0"/>
    <n v="463.16"/>
    <n v="42.11"/>
    <n v="0"/>
    <n v="68.42"/>
    <n v="0"/>
    <n v="0"/>
    <n v="0"/>
    <n v="775.79"/>
    <n v="1104.08"/>
    <n v="0"/>
    <n v="60.53"/>
    <n v="236.18"/>
    <n v="0"/>
    <n v="0"/>
    <n v="0"/>
    <n v="0"/>
    <n v="0"/>
    <n v="285.26"/>
    <n v="0"/>
    <x v="69"/>
    <n v="34.93"/>
    <n v="8346.25"/>
    <n v="11642.03"/>
    <n v="12020.32"/>
    <x v="2"/>
    <n v="0.47"/>
    <m/>
    <m/>
    <s v="No"/>
    <s v="Yes"/>
    <s v="Yes"/>
    <s v="Yes"/>
    <s v="Yes"/>
    <s v="Yes"/>
    <s v="No"/>
    <s v="No"/>
    <s v="N/a"/>
    <s v="Yes"/>
    <s v="No"/>
  </r>
  <r>
    <x v="70"/>
    <n v="6.4"/>
    <n v="0"/>
    <n v="0"/>
    <n v="4.8"/>
    <n v="0"/>
    <n v="0"/>
    <n v="0"/>
    <n v="0"/>
    <n v="0"/>
    <n v="0"/>
    <n v="2.7"/>
    <n v="0"/>
    <n v="0"/>
    <n v="43"/>
    <n v="3.6"/>
    <n v="0"/>
    <n v="7.7000000000000028"/>
    <n v="0"/>
    <n v="0"/>
    <n v="0"/>
    <n v="68.2"/>
    <n v="98.325000000000003"/>
    <n v="0"/>
    <n v="6.5"/>
    <n v="21.756250000000001"/>
    <n v="0"/>
    <n v="0"/>
    <n v="0"/>
    <n v="0"/>
    <n v="0"/>
    <n v="26.8"/>
    <n v="0"/>
    <n v="-30.125"/>
    <n v="2.0874999999999999"/>
    <n v="787.80624999999998"/>
    <n v="1180.6485715960525"/>
    <n v="1222.1485715960525"/>
    <n v="9.5"/>
    <n v="67.37"/>
    <n v="0"/>
    <n v="0"/>
    <n v="50.53"/>
    <n v="0"/>
    <n v="0"/>
    <n v="0"/>
    <n v="0"/>
    <n v="0"/>
    <n v="0"/>
    <n v="28.42"/>
    <n v="0"/>
    <n v="0"/>
    <n v="452.63"/>
    <n v="37.89"/>
    <n v="0"/>
    <n v="81.05"/>
    <n v="0"/>
    <n v="0"/>
    <n v="0"/>
    <n v="717.89"/>
    <n v="1035"/>
    <n v="0"/>
    <n v="68.42"/>
    <n v="229.01"/>
    <n v="0"/>
    <n v="0"/>
    <n v="0"/>
    <n v="0"/>
    <n v="0"/>
    <n v="282.11"/>
    <n v="0"/>
    <x v="70"/>
    <n v="21.97"/>
    <n v="8292.7000000000007"/>
    <n v="12427.88"/>
    <n v="12864.72"/>
    <x v="2"/>
    <n v="0.47"/>
    <m/>
    <m/>
    <s v="No"/>
    <s v="Yes"/>
    <s v="Yes"/>
    <s v="Yes"/>
    <s v="Yes"/>
    <s v="Yes"/>
    <s v="No"/>
    <s v="No"/>
    <s v="N/a"/>
    <s v="Yes"/>
    <s v="No"/>
  </r>
  <r>
    <x v="71"/>
    <n v="9.1"/>
    <n v="0"/>
    <n v="0"/>
    <n v="5.2"/>
    <n v="0"/>
    <n v="0"/>
    <n v="0"/>
    <n v="0"/>
    <n v="0"/>
    <n v="0"/>
    <n v="2.2999999999999998"/>
    <n v="0"/>
    <n v="0"/>
    <n v="43"/>
    <n v="3.9"/>
    <n v="0"/>
    <n v="9.5999999999999943"/>
    <n v="0"/>
    <n v="0"/>
    <n v="0"/>
    <n v="73.099999999999994"/>
    <n v="101.64999999999999"/>
    <n v="0"/>
    <n v="6.75"/>
    <n v="23.412499999999998"/>
    <n v="0"/>
    <n v="0"/>
    <n v="0"/>
    <n v="0"/>
    <n v="0"/>
    <n v="26.8"/>
    <n v="0"/>
    <n v="-28.549999999999997"/>
    <n v="3.1812499999999999"/>
    <n v="783.52500000000009"/>
    <n v="1260.1485715960525"/>
    <n v="1294.6485715960525"/>
    <n v="9.6"/>
    <n v="94.79"/>
    <n v="0"/>
    <n v="0"/>
    <n v="54.17"/>
    <n v="0"/>
    <n v="0"/>
    <n v="0"/>
    <n v="0"/>
    <n v="0"/>
    <n v="0"/>
    <n v="23.96"/>
    <n v="0"/>
    <n v="0"/>
    <n v="447.92"/>
    <n v="40.630000000000003"/>
    <n v="0"/>
    <n v="100"/>
    <n v="0"/>
    <n v="0"/>
    <n v="0"/>
    <n v="761.46"/>
    <n v="1058.8499999999999"/>
    <n v="0"/>
    <n v="70.31"/>
    <n v="243.88"/>
    <n v="0"/>
    <n v="0"/>
    <n v="0"/>
    <n v="0"/>
    <n v="0"/>
    <n v="279.17"/>
    <n v="0"/>
    <x v="71"/>
    <n v="33.14"/>
    <n v="8161.72"/>
    <n v="13126.55"/>
    <n v="13485.92"/>
    <x v="2"/>
    <n v="0.47"/>
    <m/>
    <m/>
    <s v="No"/>
    <s v="Yes"/>
    <s v="Yes"/>
    <s v="Yes"/>
    <s v="Yes"/>
    <s v="Yes"/>
    <s v="No"/>
    <s v="No"/>
    <s v="N/a"/>
    <s v="Yes"/>
    <s v="No"/>
  </r>
  <r>
    <x v="72"/>
    <n v="7.5"/>
    <n v="0"/>
    <n v="0"/>
    <n v="5.0999999999999996"/>
    <n v="0"/>
    <n v="0"/>
    <n v="0"/>
    <n v="0"/>
    <n v="0"/>
    <n v="0"/>
    <n v="2.2999999999999998"/>
    <n v="0"/>
    <n v="0"/>
    <n v="47"/>
    <n v="4.0999999999999996"/>
    <n v="0"/>
    <n v="8.7000000000000028"/>
    <n v="0"/>
    <n v="0"/>
    <n v="0"/>
    <n v="74.7"/>
    <n v="104.30000000000001"/>
    <n v="0"/>
    <n v="8"/>
    <n v="23.400000000000006"/>
    <n v="0"/>
    <n v="0"/>
    <n v="0"/>
    <n v="0"/>
    <n v="0"/>
    <n v="26.8"/>
    <n v="0"/>
    <n v="-29.600000000000009"/>
    <n v="4.4562499999999998"/>
    <n v="777.57499999999993"/>
    <n v="1326.6485715960525"/>
    <n v="1356.1485715960525"/>
    <n v="10"/>
    <n v="75"/>
    <n v="0"/>
    <n v="0"/>
    <n v="51"/>
    <n v="0"/>
    <n v="0"/>
    <n v="0"/>
    <n v="0"/>
    <n v="0"/>
    <n v="0"/>
    <n v="23"/>
    <n v="0"/>
    <n v="0"/>
    <n v="470"/>
    <n v="41"/>
    <n v="0"/>
    <n v="87"/>
    <n v="0"/>
    <n v="0"/>
    <n v="0"/>
    <n v="747"/>
    <n v="1043"/>
    <n v="0"/>
    <n v="80"/>
    <n v="234"/>
    <n v="0"/>
    <n v="0"/>
    <n v="0"/>
    <n v="0"/>
    <n v="0"/>
    <n v="268"/>
    <n v="0"/>
    <x v="72"/>
    <n v="44.56"/>
    <n v="7775.75"/>
    <n v="13266.49"/>
    <n v="13561.49"/>
    <x v="2"/>
    <n v="0.47"/>
    <m/>
    <m/>
    <s v="Yes"/>
    <s v="Yes"/>
    <s v="Yes"/>
    <s v="Yes"/>
    <s v="Yes"/>
    <s v="Yes"/>
    <s v="No"/>
    <s v="No"/>
    <s v="N/a"/>
    <s v="Yes"/>
    <s v="No"/>
  </r>
  <r>
    <x v="73"/>
    <n v="5.7"/>
    <n v="0"/>
    <n v="0"/>
    <n v="5.5"/>
    <n v="0"/>
    <n v="0"/>
    <n v="0"/>
    <n v="0"/>
    <n v="0"/>
    <n v="0"/>
    <n v="2.2999999999999998"/>
    <n v="0"/>
    <n v="0"/>
    <n v="47"/>
    <n v="4.3"/>
    <n v="0"/>
    <n v="10.700000000000003"/>
    <n v="0"/>
    <n v="0"/>
    <n v="0"/>
    <n v="75.5"/>
    <n v="106.97499999999999"/>
    <n v="0"/>
    <n v="10.25"/>
    <n v="23.675000000000004"/>
    <n v="0"/>
    <n v="0"/>
    <n v="0"/>
    <n v="0"/>
    <n v="0"/>
    <n v="26.7"/>
    <n v="0"/>
    <n v="-31.474999999999994"/>
    <n v="1.78125"/>
    <n v="771.65000000000009"/>
    <n v="1369.8985715960525"/>
    <n v="1367.8985715960525"/>
    <n v="10.4"/>
    <n v="54.81"/>
    <n v="0"/>
    <n v="0"/>
    <n v="52.88"/>
    <n v="0"/>
    <n v="0"/>
    <n v="0"/>
    <n v="0"/>
    <n v="0"/>
    <n v="0"/>
    <n v="22.12"/>
    <n v="0"/>
    <n v="0"/>
    <n v="451.92"/>
    <n v="41.35"/>
    <n v="0"/>
    <n v="102.88"/>
    <n v="0"/>
    <n v="0"/>
    <n v="0"/>
    <n v="725.96"/>
    <n v="1028.6099999999999"/>
    <n v="0"/>
    <n v="98.56"/>
    <n v="227.64"/>
    <n v="0"/>
    <n v="0"/>
    <n v="0"/>
    <n v="0"/>
    <n v="0"/>
    <n v="256.73"/>
    <n v="0"/>
    <x v="73"/>
    <n v="17.13"/>
    <n v="7419.71"/>
    <n v="13172.1"/>
    <n v="13152.87"/>
    <x v="2"/>
    <n v="0.47"/>
    <m/>
    <m/>
    <s v="Yes"/>
    <s v="Yes"/>
    <s v="Yes"/>
    <s v="Yes"/>
    <s v="Yes"/>
    <s v="Yes"/>
    <s v="No"/>
    <s v="No"/>
    <s v="N/a"/>
    <s v="Yes"/>
    <s v="No"/>
  </r>
  <r>
    <x v="74"/>
    <n v="4.3"/>
    <n v="0"/>
    <n v="0"/>
    <n v="5.6"/>
    <n v="0"/>
    <n v="0"/>
    <n v="0"/>
    <n v="0"/>
    <n v="0"/>
    <n v="0"/>
    <n v="2.4"/>
    <n v="0"/>
    <n v="0"/>
    <n v="46"/>
    <n v="4.2"/>
    <n v="0"/>
    <n v="11.099999999999994"/>
    <n v="0"/>
    <n v="0"/>
    <n v="0"/>
    <n v="73.599999999999994"/>
    <n v="114.79999999999998"/>
    <n v="0"/>
    <n v="12.25"/>
    <n v="24.424999999999997"/>
    <n v="0"/>
    <n v="0"/>
    <n v="0"/>
    <n v="0"/>
    <n v="0"/>
    <n v="27.1"/>
    <n v="0"/>
    <n v="-41.199999999999989"/>
    <n v="0.69374999999999698"/>
    <n v="768.42499999999995"/>
    <n v="1359.6485715960525"/>
    <n v="1345.1485715960525"/>
    <n v="10"/>
    <n v="43"/>
    <n v="0"/>
    <n v="0"/>
    <n v="56"/>
    <n v="0"/>
    <n v="0"/>
    <n v="0"/>
    <n v="0"/>
    <n v="0"/>
    <n v="0"/>
    <n v="24"/>
    <n v="0"/>
    <n v="0"/>
    <n v="460"/>
    <n v="42"/>
    <n v="0"/>
    <n v="111"/>
    <n v="0"/>
    <n v="0"/>
    <n v="0"/>
    <n v="736"/>
    <n v="1148"/>
    <n v="0"/>
    <n v="122.5"/>
    <n v="244.25"/>
    <n v="0"/>
    <n v="0"/>
    <n v="0"/>
    <n v="0"/>
    <n v="0"/>
    <n v="271"/>
    <n v="0"/>
    <x v="74"/>
    <n v="6.94"/>
    <n v="7684.25"/>
    <n v="13596.49"/>
    <n v="13451.49"/>
    <x v="2"/>
    <n v="0.47"/>
    <m/>
    <m/>
    <s v="Yes"/>
    <s v="Yes"/>
    <s v="Yes"/>
    <s v="Yes"/>
    <s v="Yes"/>
    <s v="Yes"/>
    <s v="No"/>
    <s v="No"/>
    <s v="N/a"/>
    <s v="Yes"/>
    <s v="No"/>
  </r>
  <r>
    <x v="75"/>
    <n v="4.0999999999999996"/>
    <n v="0"/>
    <n v="0"/>
    <n v="5.8"/>
    <n v="0"/>
    <n v="0"/>
    <n v="0"/>
    <n v="0"/>
    <n v="0"/>
    <n v="0"/>
    <n v="2.5"/>
    <n v="0"/>
    <n v="0"/>
    <n v="48"/>
    <n v="4.4000000000000004"/>
    <n v="0"/>
    <n v="10.700000000000003"/>
    <n v="0"/>
    <n v="0"/>
    <n v="0"/>
    <n v="75.5"/>
    <n v="118.00000000000001"/>
    <n v="0"/>
    <n v="12"/>
    <n v="25"/>
    <n v="0"/>
    <n v="0"/>
    <n v="0"/>
    <n v="0"/>
    <n v="0"/>
    <n v="27.2"/>
    <n v="0"/>
    <n v="-42.500000000000014"/>
    <n v="0.81874999999999598"/>
    <n v="768.875"/>
    <n v="1333.6485715960525"/>
    <n v="1325.1485715960525"/>
    <n v="9.8000000000000007"/>
    <n v="41.84"/>
    <n v="0"/>
    <n v="0"/>
    <n v="59.18"/>
    <n v="0"/>
    <n v="0"/>
    <n v="0"/>
    <n v="0"/>
    <n v="0"/>
    <n v="0"/>
    <n v="25.51"/>
    <n v="0"/>
    <n v="0"/>
    <n v="489.8"/>
    <n v="44.9"/>
    <n v="0"/>
    <n v="109.18"/>
    <n v="0"/>
    <n v="0"/>
    <n v="0"/>
    <n v="770.41"/>
    <n v="1204.08"/>
    <n v="0"/>
    <n v="122.45"/>
    <n v="255.1"/>
    <n v="0"/>
    <n v="0"/>
    <n v="0"/>
    <n v="0"/>
    <n v="0"/>
    <n v="277.55"/>
    <n v="0"/>
    <x v="75"/>
    <n v="8.35"/>
    <n v="7845.66"/>
    <n v="13608.66"/>
    <n v="13521.92"/>
    <x v="2"/>
    <n v="0.47"/>
    <m/>
    <m/>
    <s v="Yes"/>
    <s v="Yes"/>
    <s v="Yes"/>
    <s v="Yes"/>
    <s v="Yes"/>
    <s v="Yes"/>
    <s v="No"/>
    <s v="No"/>
    <s v="N/a"/>
    <s v="Yes"/>
    <s v="No"/>
  </r>
  <r>
    <x v="76"/>
    <n v="5.3"/>
    <n v="0"/>
    <n v="0"/>
    <n v="5.9"/>
    <n v="0"/>
    <n v="0"/>
    <n v="0"/>
    <n v="0"/>
    <n v="0"/>
    <n v="0"/>
    <n v="2.5"/>
    <n v="0"/>
    <n v="0"/>
    <n v="48"/>
    <n v="4.3"/>
    <n v="0"/>
    <n v="10.799999999999997"/>
    <n v="0"/>
    <n v="0"/>
    <n v="0"/>
    <n v="76.8"/>
    <n v="122.85"/>
    <n v="0"/>
    <n v="14.25"/>
    <n v="25.331250000000001"/>
    <n v="0"/>
    <n v="0"/>
    <n v="0"/>
    <n v="0"/>
    <n v="0"/>
    <n v="27.4"/>
    <n v="0"/>
    <n v="-46.05"/>
    <n v="0.48124999999999801"/>
    <n v="769.24374999999998"/>
    <n v="1317.1485715960525"/>
    <n v="1309.6485715960525"/>
    <n v="9.8000000000000007"/>
    <n v="54.08"/>
    <n v="0"/>
    <n v="0"/>
    <n v="60.2"/>
    <n v="0"/>
    <n v="0"/>
    <n v="0"/>
    <n v="0"/>
    <n v="0"/>
    <n v="0"/>
    <n v="25.51"/>
    <n v="0"/>
    <n v="0"/>
    <n v="489.8"/>
    <n v="43.88"/>
    <n v="0"/>
    <n v="110.2"/>
    <n v="0"/>
    <n v="0"/>
    <n v="0"/>
    <n v="783.67"/>
    <n v="1253.57"/>
    <n v="0"/>
    <n v="145.41"/>
    <n v="258.48"/>
    <n v="0"/>
    <n v="0"/>
    <n v="0"/>
    <n v="0"/>
    <n v="0"/>
    <n v="279.58999999999997"/>
    <n v="0"/>
    <x v="76"/>
    <n v="4.91"/>
    <n v="7849.43"/>
    <n v="13440.29"/>
    <n v="13363.76"/>
    <x v="2"/>
    <n v="0.47"/>
    <m/>
    <m/>
    <s v="Yes"/>
    <s v="Yes"/>
    <s v="Yes"/>
    <s v="Yes"/>
    <s v="Yes"/>
    <s v="Yes"/>
    <s v="No"/>
    <s v="No"/>
    <s v="N/a"/>
    <s v="Yes"/>
    <s v="No"/>
  </r>
  <r>
    <x v="77"/>
    <n v="5.8"/>
    <n v="0"/>
    <n v="0"/>
    <n v="6"/>
    <n v="0"/>
    <n v="0"/>
    <n v="0"/>
    <n v="0"/>
    <n v="0"/>
    <n v="0"/>
    <n v="2.7"/>
    <n v="0"/>
    <n v="0"/>
    <n v="47"/>
    <n v="4.2"/>
    <n v="0"/>
    <n v="12"/>
    <n v="0"/>
    <n v="0"/>
    <n v="0"/>
    <n v="77.7"/>
    <n v="128.72499999999999"/>
    <n v="0"/>
    <n v="16.75"/>
    <n v="25.85"/>
    <n v="0"/>
    <n v="0"/>
    <n v="0"/>
    <n v="0"/>
    <n v="0"/>
    <n v="27.6"/>
    <n v="0"/>
    <n v="-51.024999999999991"/>
    <n v="1.2812499999999947"/>
    <n v="770.65625"/>
    <n v="1299.6485715960525"/>
    <n v="1287.1485715960525"/>
    <n v="9.6999999999999993"/>
    <n v="59.79"/>
    <n v="0"/>
    <n v="0"/>
    <n v="61.86"/>
    <n v="0"/>
    <n v="0"/>
    <n v="0"/>
    <n v="0"/>
    <n v="0"/>
    <n v="0"/>
    <n v="27.84"/>
    <n v="0"/>
    <n v="0"/>
    <n v="484.54"/>
    <n v="43.3"/>
    <n v="0"/>
    <n v="123.71"/>
    <n v="0"/>
    <n v="0"/>
    <n v="0"/>
    <n v="801.03"/>
    <n v="1327.06"/>
    <n v="0"/>
    <n v="172.68"/>
    <n v="266.49"/>
    <n v="0"/>
    <n v="0"/>
    <n v="0"/>
    <n v="0"/>
    <n v="0"/>
    <n v="284.54000000000002"/>
    <n v="0"/>
    <x v="77"/>
    <n v="13.21"/>
    <n v="7944.91"/>
    <n v="13398.44"/>
    <n v="13269.57"/>
    <x v="2"/>
    <n v="0.47"/>
    <m/>
    <m/>
    <s v="Yes"/>
    <s v="Yes"/>
    <s v="Yes"/>
    <s v="Yes"/>
    <s v="Yes"/>
    <s v="Yes"/>
    <s v="No"/>
    <s v="No"/>
    <s v="N/a"/>
    <s v="Yes"/>
    <s v="No"/>
  </r>
  <r>
    <x v="78"/>
    <n v="8.6999999999999993"/>
    <n v="0"/>
    <n v="0"/>
    <n v="5.6"/>
    <n v="0"/>
    <n v="0"/>
    <n v="0"/>
    <n v="0"/>
    <n v="0"/>
    <n v="0"/>
    <n v="2.7"/>
    <n v="0"/>
    <n v="0"/>
    <n v="47"/>
    <n v="4.3"/>
    <n v="0"/>
    <n v="12.900000000000006"/>
    <n v="0"/>
    <n v="0"/>
    <n v="0"/>
    <n v="81.2"/>
    <n v="133.95000000000002"/>
    <n v="0"/>
    <n v="17"/>
    <n v="27.368749999999999"/>
    <n v="0"/>
    <n v="0"/>
    <n v="0"/>
    <n v="0"/>
    <n v="0"/>
    <n v="28"/>
    <n v="0"/>
    <n v="-52.750000000000014"/>
    <n v="2.8937499999999954"/>
    <n v="771.40625"/>
    <n v="1268.8985715960525"/>
    <n v="1244.8985715960525"/>
    <n v="9.5"/>
    <n v="91.58"/>
    <n v="0"/>
    <n v="0"/>
    <n v="58.95"/>
    <n v="0"/>
    <n v="0"/>
    <n v="0"/>
    <n v="0"/>
    <n v="0"/>
    <n v="0"/>
    <n v="28.42"/>
    <n v="0"/>
    <n v="0"/>
    <n v="494.74"/>
    <n v="45.26"/>
    <n v="0"/>
    <n v="135.79"/>
    <n v="0"/>
    <n v="0"/>
    <n v="0"/>
    <n v="854.74"/>
    <n v="1410"/>
    <n v="0"/>
    <n v="178.95"/>
    <n v="288.08999999999997"/>
    <n v="0"/>
    <n v="0"/>
    <n v="0"/>
    <n v="0"/>
    <n v="0"/>
    <n v="294.74"/>
    <n v="0"/>
    <x v="78"/>
    <n v="30.46"/>
    <n v="8120.07"/>
    <n v="13356.83"/>
    <n v="13104.2"/>
    <x v="2"/>
    <n v="0.47"/>
    <m/>
    <m/>
    <s v="Yes"/>
    <s v="Yes"/>
    <s v="Yes"/>
    <s v="Yes"/>
    <s v="Yes"/>
    <s v="Yes"/>
    <s v="No"/>
    <s v="No"/>
    <s v="N/a"/>
    <s v="Yes"/>
    <s v="No"/>
  </r>
  <r>
    <x v="79"/>
    <n v="9.1999999999999993"/>
    <n v="0"/>
    <n v="0"/>
    <n v="6.2"/>
    <n v="0"/>
    <n v="0"/>
    <n v="0"/>
    <n v="0"/>
    <n v="0"/>
    <n v="0"/>
    <n v="2.7"/>
    <n v="0"/>
    <n v="0"/>
    <n v="44"/>
    <n v="4.2"/>
    <n v="0"/>
    <n v="7"/>
    <n v="0"/>
    <n v="0"/>
    <n v="0"/>
    <n v="73.3"/>
    <n v="137.83999999999997"/>
    <n v="0"/>
    <n v="15.5"/>
    <n v="25.856249999999999"/>
    <n v="0"/>
    <n v="0"/>
    <n v="0"/>
    <n v="0"/>
    <n v="0"/>
    <n v="28.1"/>
    <n v="0"/>
    <n v="-64.539999999999978"/>
    <n v="5.1812499999999986"/>
    <n v="769.8125"/>
    <n v="1253.6485715960525"/>
    <n v="1295.1485715960525"/>
    <n v="9.1"/>
    <n v="101.1"/>
    <n v="0"/>
    <n v="0"/>
    <n v="68.13"/>
    <n v="0"/>
    <n v="0"/>
    <n v="0"/>
    <n v="0"/>
    <n v="0"/>
    <n v="0"/>
    <n v="29.67"/>
    <n v="0"/>
    <n v="0"/>
    <n v="483.52"/>
    <n v="46.15"/>
    <n v="0"/>
    <n v="76.92"/>
    <n v="0"/>
    <n v="0"/>
    <n v="0"/>
    <n v="805.49"/>
    <n v="1514.73"/>
    <n v="0"/>
    <n v="170.33"/>
    <n v="284.13"/>
    <n v="0"/>
    <n v="0"/>
    <n v="0"/>
    <n v="0"/>
    <n v="0"/>
    <n v="308.79000000000002"/>
    <n v="0"/>
    <x v="79"/>
    <n v="56.94"/>
    <n v="8459.48"/>
    <n v="13776.36"/>
    <n v="14232.4"/>
    <x v="2"/>
    <n v="0.47"/>
    <m/>
    <m/>
    <s v="Yes"/>
    <s v="Yes"/>
    <s v="Yes"/>
    <s v="Yes"/>
    <s v="Yes"/>
    <s v="Yes"/>
    <s v="No"/>
    <s v="No"/>
    <s v="N/a"/>
    <s v="Yes"/>
    <s v="No"/>
  </r>
  <r>
    <x v="80"/>
    <n v="10.7"/>
    <n v="0"/>
    <n v="0"/>
    <n v="6.7"/>
    <n v="0"/>
    <n v="0"/>
    <n v="0"/>
    <n v="0"/>
    <n v="0"/>
    <n v="0"/>
    <n v="2.7"/>
    <n v="0"/>
    <n v="0"/>
    <n v="44"/>
    <n v="4.4000000000000004"/>
    <n v="0"/>
    <n v="13.400000000000006"/>
    <n v="0"/>
    <n v="0"/>
    <n v="0"/>
    <n v="81.900000000000006"/>
    <n v="135.95499999999998"/>
    <n v="0"/>
    <n v="15"/>
    <n v="25.40625"/>
    <n v="0"/>
    <n v="0"/>
    <n v="0"/>
    <n v="0"/>
    <n v="0"/>
    <n v="29.2"/>
    <n v="0"/>
    <n v="-54.054999999999978"/>
    <n v="0.59374999999999289"/>
    <n v="765.21875"/>
    <n v="1320.6485715960525"/>
    <n v="1330.1485715960525"/>
    <n v="9.4"/>
    <n v="113.83"/>
    <n v="0"/>
    <n v="0"/>
    <n v="71.28"/>
    <n v="0"/>
    <n v="0"/>
    <n v="0"/>
    <n v="0"/>
    <n v="0"/>
    <n v="0"/>
    <n v="28.72"/>
    <n v="0"/>
    <n v="0"/>
    <n v="468.09"/>
    <n v="46.81"/>
    <n v="0"/>
    <n v="142.55000000000001"/>
    <n v="0"/>
    <n v="0"/>
    <n v="0"/>
    <n v="871.28"/>
    <n v="1446.33"/>
    <n v="0"/>
    <n v="159.57"/>
    <n v="270.27999999999997"/>
    <n v="0"/>
    <n v="0"/>
    <n v="0"/>
    <n v="0"/>
    <n v="0"/>
    <n v="310.64"/>
    <n v="0"/>
    <x v="80"/>
    <n v="6.32"/>
    <n v="8140.63"/>
    <n v="14049.45"/>
    <n v="14150.52"/>
    <x v="2"/>
    <n v="0.47"/>
    <m/>
    <m/>
    <s v="Yes"/>
    <s v="Yes"/>
    <s v="Yes"/>
    <s v="Yes"/>
    <s v="Yes"/>
    <s v="Yes"/>
    <s v="No"/>
    <s v="No"/>
    <s v="N/a"/>
    <s v="Yes"/>
    <s v="No"/>
  </r>
  <r>
    <x v="81"/>
    <n v="9.9"/>
    <n v="0"/>
    <n v="0"/>
    <n v="7.1"/>
    <n v="0"/>
    <n v="0"/>
    <n v="0"/>
    <n v="0"/>
    <n v="0"/>
    <n v="0"/>
    <n v="2.7"/>
    <n v="0"/>
    <n v="0"/>
    <n v="46"/>
    <n v="4.3"/>
    <n v="0"/>
    <n v="14"/>
    <n v="0"/>
    <n v="0"/>
    <n v="0"/>
    <n v="84"/>
    <n v="138.57249999999999"/>
    <n v="0"/>
    <n v="13"/>
    <n v="25.924999999999997"/>
    <n v="0"/>
    <n v="0"/>
    <n v="0"/>
    <n v="0"/>
    <n v="0"/>
    <n v="29.4"/>
    <n v="0"/>
    <n v="-54.572499999999991"/>
    <n v="0.73750000000000604"/>
    <n v="759.76875000000007"/>
    <n v="1344.6485715960525"/>
    <n v="1364.1485715960525"/>
    <n v="9.3000000000000007"/>
    <n v="106.45"/>
    <n v="0"/>
    <n v="0"/>
    <n v="76.34"/>
    <n v="0"/>
    <n v="0"/>
    <n v="0"/>
    <n v="0"/>
    <n v="0"/>
    <n v="0"/>
    <n v="29.03"/>
    <n v="0"/>
    <n v="0"/>
    <n v="494.62"/>
    <n v="46.24"/>
    <n v="0"/>
    <n v="150.54"/>
    <n v="0"/>
    <n v="0"/>
    <n v="0"/>
    <n v="903.23"/>
    <n v="1490.03"/>
    <n v="0"/>
    <n v="139.78"/>
    <n v="278.76"/>
    <n v="0"/>
    <n v="0"/>
    <n v="0"/>
    <n v="0"/>
    <n v="0"/>
    <n v="316.13"/>
    <n v="0"/>
    <x v="81"/>
    <n v="7.93"/>
    <n v="8169.56"/>
    <n v="14458.59"/>
    <n v="14668.26"/>
    <x v="2"/>
    <n v="0.47"/>
    <m/>
    <m/>
    <s v="Yes"/>
    <s v="Yes"/>
    <s v="Yes"/>
    <s v="Yes"/>
    <s v="Yes"/>
    <s v="Yes"/>
    <s v="No"/>
    <s v="No"/>
    <s v="N/a"/>
    <s v="Yes"/>
    <s v="No"/>
  </r>
  <r>
    <x v="82"/>
    <n v="11.9"/>
    <n v="0"/>
    <n v="0"/>
    <n v="7.3"/>
    <n v="0"/>
    <n v="0"/>
    <n v="0"/>
    <n v="0"/>
    <n v="0"/>
    <n v="0"/>
    <n v="2.8"/>
    <n v="0"/>
    <n v="0"/>
    <n v="47"/>
    <n v="4.5"/>
    <n v="0"/>
    <n v="13.900000000000006"/>
    <n v="0"/>
    <n v="0"/>
    <n v="0"/>
    <n v="87.4"/>
    <n v="143.1925"/>
    <n v="0"/>
    <n v="11.5"/>
    <n v="25.831249999999997"/>
    <n v="0"/>
    <n v="0"/>
    <n v="0"/>
    <n v="0"/>
    <n v="0"/>
    <n v="29.5"/>
    <n v="0"/>
    <n v="-55.79249999999999"/>
    <n v="0.46875000000000699"/>
    <n v="753.46875"/>
    <n v="1375.3985715960525"/>
    <n v="1378.3985715960525"/>
    <n v="9.4"/>
    <n v="126.6"/>
    <n v="0"/>
    <n v="0"/>
    <n v="77.66"/>
    <n v="0"/>
    <n v="0"/>
    <n v="0"/>
    <n v="0"/>
    <n v="0"/>
    <n v="0"/>
    <n v="29.79"/>
    <n v="0"/>
    <n v="0"/>
    <n v="500"/>
    <n v="47.87"/>
    <n v="0"/>
    <n v="147.87"/>
    <n v="0"/>
    <n v="0"/>
    <n v="0"/>
    <n v="929.79"/>
    <n v="1523.32"/>
    <n v="0"/>
    <n v="122.34"/>
    <n v="274.8"/>
    <n v="0"/>
    <n v="0"/>
    <n v="0"/>
    <n v="0"/>
    <n v="0"/>
    <n v="313.83"/>
    <n v="0"/>
    <x v="82"/>
    <n v="4.99"/>
    <n v="8015.63"/>
    <n v="14631.9"/>
    <n v="14663.81"/>
    <x v="2"/>
    <n v="0.47"/>
    <m/>
    <m/>
    <s v="Yes"/>
    <s v="Yes"/>
    <s v="Yes"/>
    <s v="Yes"/>
    <s v="Yes"/>
    <s v="Yes"/>
    <s v="No"/>
    <s v="No"/>
    <s v="N/a"/>
    <s v="Yes"/>
    <s v="No"/>
  </r>
  <r>
    <x v="83"/>
    <n v="10.7"/>
    <n v="0"/>
    <n v="0"/>
    <n v="7.4"/>
    <n v="0"/>
    <n v="0"/>
    <n v="0"/>
    <n v="0"/>
    <n v="0"/>
    <n v="0"/>
    <n v="2.9"/>
    <n v="0"/>
    <n v="0"/>
    <n v="47"/>
    <n v="4.2"/>
    <n v="0"/>
    <n v="14"/>
    <n v="0"/>
    <n v="0"/>
    <n v="0"/>
    <n v="86.2"/>
    <n v="143.595"/>
    <n v="0"/>
    <n v="12"/>
    <n v="27.137500000000003"/>
    <n v="0"/>
    <n v="0"/>
    <n v="0"/>
    <n v="0"/>
    <n v="0"/>
    <n v="29.1"/>
    <n v="0"/>
    <n v="-57.394999999999996"/>
    <n v="0.46250000000000002"/>
    <n v="746.08749999999986"/>
    <n v="1370.1485715960525"/>
    <n v="1350.6485715960525"/>
    <n v="9.3000000000000007"/>
    <n v="115.05"/>
    <n v="0"/>
    <n v="0"/>
    <n v="79.569999999999993"/>
    <n v="0"/>
    <n v="0"/>
    <n v="0"/>
    <n v="0"/>
    <n v="0"/>
    <n v="0"/>
    <n v="31.18"/>
    <n v="0"/>
    <n v="0"/>
    <n v="505.38"/>
    <n v="45.16"/>
    <n v="0"/>
    <n v="150.54"/>
    <n v="0"/>
    <n v="0"/>
    <n v="0"/>
    <n v="926.88"/>
    <n v="1544.03"/>
    <n v="0"/>
    <n v="129.03"/>
    <n v="291.8"/>
    <n v="0"/>
    <n v="0"/>
    <n v="0"/>
    <n v="0"/>
    <n v="0"/>
    <n v="312.89999999999998"/>
    <n v="0"/>
    <x v="83"/>
    <n v="4.97"/>
    <n v="8022.45"/>
    <n v="14732.78"/>
    <n v="14523.1"/>
    <x v="2"/>
    <n v="0.47"/>
    <n v="0.6"/>
    <m/>
    <s v="Yes"/>
    <s v="Yes"/>
    <s v="Yes"/>
    <s v="Yes"/>
    <s v="Yes"/>
    <s v="Yes"/>
    <s v="No"/>
    <s v="No"/>
    <s v="N/a"/>
    <s v="Yes"/>
    <s v="No"/>
  </r>
  <r>
    <x v="84"/>
    <n v="12"/>
    <n v="0"/>
    <n v="0"/>
    <n v="7.7"/>
    <n v="0"/>
    <n v="0"/>
    <n v="0"/>
    <n v="0"/>
    <n v="0"/>
    <n v="0"/>
    <n v="3"/>
    <n v="0"/>
    <n v="0"/>
    <n v="47"/>
    <n v="4.2"/>
    <n v="0"/>
    <n v="14.099999999999994"/>
    <n v="0"/>
    <n v="0"/>
    <n v="0"/>
    <n v="88"/>
    <n v="143.13250000000002"/>
    <n v="0"/>
    <n v="13.25"/>
    <n v="29.34375"/>
    <n v="0"/>
    <n v="0"/>
    <n v="0"/>
    <n v="0"/>
    <n v="0"/>
    <n v="29"/>
    <n v="0"/>
    <n v="-55.132500000000022"/>
    <n v="0.65000000000000213"/>
    <n v="741.36250000000007"/>
    <n v="1333.6485715960525"/>
    <n v="1319.1485715960525"/>
    <n v="9.1"/>
    <n v="131.87"/>
    <n v="0"/>
    <n v="0"/>
    <n v="84.62"/>
    <n v="0"/>
    <n v="0"/>
    <n v="0"/>
    <n v="0"/>
    <n v="0"/>
    <n v="0"/>
    <n v="32.97"/>
    <n v="0"/>
    <n v="0"/>
    <n v="516.48"/>
    <n v="46.15"/>
    <n v="0"/>
    <n v="154.94999999999999"/>
    <n v="0"/>
    <n v="0"/>
    <n v="0"/>
    <n v="967.03"/>
    <n v="1572.88"/>
    <n v="0"/>
    <n v="145.6"/>
    <n v="322.45999999999998"/>
    <n v="0"/>
    <n v="0"/>
    <n v="0"/>
    <n v="0"/>
    <n v="0"/>
    <n v="318.68"/>
    <n v="0"/>
    <x v="84"/>
    <n v="7.14"/>
    <n v="8146.84"/>
    <n v="14655.48"/>
    <n v="14496.14"/>
    <x v="2"/>
    <n v="0.47"/>
    <n v="0.6"/>
    <m/>
    <s v="Yes"/>
    <s v="Yes"/>
    <s v="Yes"/>
    <s v="Yes"/>
    <s v="Yes"/>
    <s v="Yes"/>
    <s v="No"/>
    <s v="Yes"/>
    <s v="N/a"/>
    <s v="Yes"/>
    <s v="No"/>
  </r>
  <r>
    <x v="85"/>
    <n v="15.2"/>
    <n v="0"/>
    <n v="0"/>
    <n v="7.4"/>
    <n v="0"/>
    <n v="0"/>
    <n v="0"/>
    <n v="0"/>
    <n v="0"/>
    <n v="0"/>
    <n v="2.9"/>
    <n v="0"/>
    <n v="0"/>
    <n v="45"/>
    <n v="4.2"/>
    <n v="0"/>
    <n v="14.899999999999991"/>
    <n v="0"/>
    <n v="0"/>
    <n v="0"/>
    <n v="89.6"/>
    <n v="147.70249999999999"/>
    <n v="0"/>
    <n v="12.25"/>
    <n v="30.131249999999998"/>
    <n v="0"/>
    <n v="0"/>
    <n v="0"/>
    <n v="0"/>
    <n v="0"/>
    <n v="23.5"/>
    <n v="0"/>
    <n v="-58.102499999999992"/>
    <n v="1.5687500000000059"/>
    <n v="740.51875000000007"/>
    <n v="1313.8985715960525"/>
    <n v="1317.8985715960525"/>
    <n v="8.8000000000000007"/>
    <n v="172.73"/>
    <n v="0"/>
    <n v="0"/>
    <n v="84.09"/>
    <n v="0"/>
    <n v="0"/>
    <n v="0"/>
    <n v="0"/>
    <n v="0"/>
    <n v="0"/>
    <n v="32.950000000000003"/>
    <n v="0"/>
    <n v="0"/>
    <n v="511.36"/>
    <n v="47.73"/>
    <n v="0"/>
    <n v="169.32"/>
    <n v="0"/>
    <n v="0"/>
    <n v="0"/>
    <n v="1018.18"/>
    <n v="1678.44"/>
    <n v="0"/>
    <n v="139.19999999999999"/>
    <n v="342.4"/>
    <n v="0"/>
    <n v="0"/>
    <n v="0"/>
    <n v="0"/>
    <n v="0"/>
    <n v="267.05"/>
    <n v="0"/>
    <x v="85"/>
    <n v="17.829999999999998"/>
    <n v="8414.99"/>
    <n v="14930.67"/>
    <n v="14976.12"/>
    <x v="2"/>
    <n v="0.47"/>
    <n v="0.6"/>
    <m/>
    <s v="Yes"/>
    <s v="Yes"/>
    <s v="Yes"/>
    <s v="Yes"/>
    <s v="Yes"/>
    <s v="Yes"/>
    <s v="No"/>
    <s v="Yes"/>
    <s v="N/a"/>
    <s v="Yes"/>
    <s v="No"/>
  </r>
  <r>
    <x v="86"/>
    <n v="15.9"/>
    <n v="0"/>
    <n v="0"/>
    <n v="7.4"/>
    <n v="0"/>
    <n v="0"/>
    <n v="0"/>
    <n v="0"/>
    <n v="0"/>
    <n v="0"/>
    <n v="3"/>
    <n v="0"/>
    <n v="0"/>
    <n v="45"/>
    <n v="4.4000000000000004"/>
    <n v="0"/>
    <n v="15.099999999999994"/>
    <n v="0"/>
    <n v="0"/>
    <n v="0"/>
    <n v="90.8"/>
    <n v="149.73750000000001"/>
    <n v="0"/>
    <n v="11.75"/>
    <n v="31.099999999999998"/>
    <n v="0"/>
    <n v="0"/>
    <n v="0"/>
    <n v="0"/>
    <n v="0"/>
    <n v="28"/>
    <n v="0"/>
    <n v="-58.937500000000014"/>
    <n v="0.593749999999996"/>
    <n v="731.36250000000007"/>
    <n v="1332.6485715960525"/>
    <n v="1358.1485715960525"/>
    <n v="8.6999999999999993"/>
    <n v="182.76"/>
    <n v="0"/>
    <n v="0"/>
    <n v="85.06"/>
    <n v="0"/>
    <n v="0"/>
    <n v="0"/>
    <n v="0"/>
    <n v="0"/>
    <n v="0"/>
    <n v="34.479999999999997"/>
    <n v="0"/>
    <n v="0"/>
    <n v="517.24"/>
    <n v="50.57"/>
    <n v="0"/>
    <n v="173.56"/>
    <n v="0"/>
    <n v="0"/>
    <n v="0"/>
    <n v="1043.68"/>
    <n v="1721.12"/>
    <n v="0"/>
    <n v="135.06"/>
    <n v="357.47"/>
    <n v="0"/>
    <n v="0"/>
    <n v="0"/>
    <n v="0"/>
    <n v="0"/>
    <n v="321.83999999999997"/>
    <n v="0"/>
    <x v="86"/>
    <n v="6.82"/>
    <n v="8406.4699999999993"/>
    <n v="15317.8"/>
    <n v="15610.9"/>
    <x v="4"/>
    <n v="0.47"/>
    <n v="0.6"/>
    <m/>
    <s v="Yes"/>
    <s v="Yes"/>
    <s v="Yes"/>
    <s v="Yes"/>
    <s v="Yes"/>
    <s v="Yes"/>
    <s v="No"/>
    <s v="Yes"/>
    <s v="N/a"/>
    <s v="Yes"/>
    <s v="No"/>
  </r>
  <r>
    <x v="87"/>
    <n v="14.4"/>
    <n v="0"/>
    <n v="0"/>
    <n v="8.1999999999999993"/>
    <n v="0"/>
    <n v="0"/>
    <n v="0"/>
    <n v="0"/>
    <n v="0"/>
    <n v="0"/>
    <n v="3"/>
    <n v="0"/>
    <n v="0"/>
    <n v="46"/>
    <n v="4.8"/>
    <n v="0"/>
    <n v="13.399999999999991"/>
    <n v="0"/>
    <n v="0"/>
    <n v="0"/>
    <n v="89.799999999999983"/>
    <n v="147.48500000000001"/>
    <n v="0"/>
    <n v="11.75"/>
    <n v="30.443750000000001"/>
    <n v="0"/>
    <n v="0"/>
    <n v="0"/>
    <n v="0"/>
    <n v="0"/>
    <n v="25.5"/>
    <n v="0"/>
    <n v="-57.685000000000031"/>
    <n v="2.7250000000000001"/>
    <n v="709.21249999999998"/>
    <n v="1383.6485715960525"/>
    <n v="1409.1485715960525"/>
    <n v="8.6"/>
    <n v="167.44"/>
    <n v="0"/>
    <n v="0"/>
    <n v="95.35"/>
    <n v="0"/>
    <n v="0"/>
    <n v="0"/>
    <n v="0"/>
    <n v="0"/>
    <n v="0"/>
    <n v="34.880000000000003"/>
    <n v="0"/>
    <n v="0"/>
    <n v="534.88"/>
    <n v="55.81"/>
    <n v="0"/>
    <n v="155.81"/>
    <n v="0"/>
    <n v="0"/>
    <n v="0"/>
    <n v="1044.19"/>
    <n v="1714.94"/>
    <n v="0"/>
    <n v="136.63"/>
    <n v="354"/>
    <n v="0"/>
    <n v="0"/>
    <n v="0"/>
    <n v="0"/>
    <n v="0"/>
    <n v="296.51"/>
    <n v="0"/>
    <x v="87"/>
    <n v="31.69"/>
    <n v="8246.66"/>
    <n v="16088.94"/>
    <n v="16385.45"/>
    <x v="4"/>
    <n v="0.47"/>
    <n v="0.6"/>
    <m/>
    <s v="Yes"/>
    <s v="Yes"/>
    <s v="Yes"/>
    <s v="Yes"/>
    <s v="Yes"/>
    <s v="Yes"/>
    <s v="No"/>
    <s v="Yes"/>
    <s v="N/a"/>
    <s v="Yes"/>
    <s v="No"/>
  </r>
  <r>
    <x v="88"/>
    <n v="12.7"/>
    <n v="0"/>
    <n v="0"/>
    <n v="8"/>
    <n v="0"/>
    <n v="0"/>
    <n v="0"/>
    <n v="0"/>
    <n v="0"/>
    <n v="0"/>
    <n v="3"/>
    <n v="0"/>
    <n v="0"/>
    <n v="46"/>
    <n v="4.3"/>
    <n v="0"/>
    <n v="15.900000000000006"/>
    <n v="0"/>
    <n v="0"/>
    <n v="0"/>
    <n v="89.9"/>
    <n v="145.72"/>
    <n v="0"/>
    <n v="9.5"/>
    <n v="29.975000000000001"/>
    <n v="0"/>
    <n v="0"/>
    <n v="0"/>
    <n v="0"/>
    <n v="0"/>
    <n v="25.1"/>
    <n v="0"/>
    <n v="-55.819999999999993"/>
    <n v="3.4562499999999998"/>
    <n v="697.31875000000002"/>
    <n v="1440.1485715960525"/>
    <n v="1476.6485715960525"/>
    <n v="8.6999999999999993"/>
    <n v="145.97999999999999"/>
    <n v="0"/>
    <n v="0"/>
    <n v="91.95"/>
    <n v="0"/>
    <n v="0"/>
    <n v="0"/>
    <n v="0"/>
    <n v="0"/>
    <n v="0"/>
    <n v="34.479999999999997"/>
    <n v="0"/>
    <n v="0"/>
    <n v="528.74"/>
    <n v="49.43"/>
    <n v="0"/>
    <n v="182.76"/>
    <n v="0"/>
    <n v="0"/>
    <n v="0"/>
    <n v="1033.33"/>
    <n v="1674.94"/>
    <n v="0"/>
    <n v="109.2"/>
    <n v="344.54"/>
    <n v="0"/>
    <n v="0"/>
    <n v="0"/>
    <n v="0"/>
    <n v="0"/>
    <n v="288.51"/>
    <n v="0"/>
    <x v="88"/>
    <n v="39.729999999999997"/>
    <n v="8015.16"/>
    <n v="16553.43"/>
    <n v="16972.97"/>
    <x v="4"/>
    <n v="0.47"/>
    <n v="0.6"/>
    <m/>
    <s v="Yes"/>
    <s v="Yes"/>
    <s v="Yes"/>
    <s v="Yes"/>
    <s v="Yes"/>
    <s v="Yes"/>
    <s v="No"/>
    <s v="Yes"/>
    <s v="N/a"/>
    <s v="Yes"/>
    <s v="No"/>
  </r>
  <r>
    <x v="89"/>
    <n v="12.8"/>
    <n v="0"/>
    <n v="0"/>
    <n v="9.1"/>
    <n v="0"/>
    <n v="0"/>
    <n v="0"/>
    <n v="0"/>
    <n v="0"/>
    <n v="0"/>
    <n v="3"/>
    <n v="0"/>
    <n v="0"/>
    <n v="47"/>
    <n v="5"/>
    <n v="0"/>
    <n v="17.699999999999989"/>
    <n v="0"/>
    <n v="0"/>
    <n v="0"/>
    <n v="94.6"/>
    <n v="146.32749999999999"/>
    <n v="0"/>
    <n v="9.625"/>
    <n v="32.137500000000003"/>
    <n v="0"/>
    <n v="0"/>
    <n v="0"/>
    <n v="0"/>
    <n v="0"/>
    <n v="24.5"/>
    <n v="0"/>
    <n v="-51.727499999999992"/>
    <n v="3.71875"/>
    <n v="689.64375000000007"/>
    <n v="1503.6485715960525"/>
    <n v="1521.1485715960525"/>
    <n v="8.8000000000000007"/>
    <n v="145.44999999999999"/>
    <n v="0"/>
    <n v="0"/>
    <n v="103.41"/>
    <n v="0"/>
    <n v="0"/>
    <n v="0"/>
    <n v="0"/>
    <n v="0"/>
    <n v="0"/>
    <n v="34.090000000000003"/>
    <n v="0"/>
    <n v="0"/>
    <n v="534.09"/>
    <n v="56.82"/>
    <n v="0"/>
    <n v="201.14"/>
    <n v="0"/>
    <n v="0"/>
    <n v="0"/>
    <n v="1075"/>
    <n v="1662.81"/>
    <n v="0"/>
    <n v="109.38"/>
    <n v="365.2"/>
    <n v="0"/>
    <n v="0"/>
    <n v="0"/>
    <n v="0"/>
    <n v="0"/>
    <n v="278.41000000000003"/>
    <n v="0"/>
    <x v="89"/>
    <n v="42.26"/>
    <n v="7836.86"/>
    <n v="17086.919999999998"/>
    <n v="17285.78"/>
    <x v="4"/>
    <n v="0.47"/>
    <n v="0.6"/>
    <m/>
    <s v="Yes"/>
    <s v="Yes"/>
    <s v="Yes"/>
    <s v="Yes"/>
    <s v="Yes"/>
    <s v="Yes"/>
    <s v="No"/>
    <s v="Yes"/>
    <s v="N/a"/>
    <s v="Yes"/>
    <s v="No"/>
  </r>
  <r>
    <x v="90"/>
    <n v="13.3"/>
    <n v="0"/>
    <n v="0"/>
    <n v="9.9"/>
    <n v="0"/>
    <n v="0"/>
    <n v="0"/>
    <n v="0"/>
    <n v="0"/>
    <n v="0"/>
    <n v="2.6"/>
    <n v="0"/>
    <n v="0"/>
    <n v="49"/>
    <n v="6"/>
    <n v="0"/>
    <n v="15.699999999999989"/>
    <n v="0"/>
    <n v="0"/>
    <n v="0"/>
    <n v="96.5"/>
    <n v="151.70000000000002"/>
    <n v="0"/>
    <n v="11"/>
    <n v="33.231249999999996"/>
    <n v="0"/>
    <n v="0"/>
    <n v="0"/>
    <n v="0"/>
    <n v="0"/>
    <n v="23.9"/>
    <n v="0"/>
    <n v="-55.200000000000017"/>
    <n v="3.1749999999999998"/>
    <n v="683.34999999999991"/>
    <n v="1530.6485715960525"/>
    <n v="1532.1485715960525"/>
    <n v="8.8000000000000007"/>
    <n v="151.13999999999999"/>
    <n v="0"/>
    <n v="0"/>
    <n v="112.5"/>
    <n v="0"/>
    <n v="0"/>
    <n v="0"/>
    <n v="0"/>
    <n v="0"/>
    <n v="0"/>
    <n v="29.55"/>
    <n v="0"/>
    <n v="0"/>
    <n v="556.82000000000005"/>
    <n v="68.180000000000007"/>
    <n v="0"/>
    <n v="178.41"/>
    <n v="0"/>
    <n v="0"/>
    <n v="0"/>
    <n v="1096.5899999999999"/>
    <n v="1723.86"/>
    <n v="0"/>
    <n v="125"/>
    <n v="377.63"/>
    <n v="0"/>
    <n v="0"/>
    <n v="0"/>
    <n v="0"/>
    <n v="0"/>
    <n v="271.58999999999997"/>
    <n v="0"/>
    <x v="90"/>
    <n v="36.08"/>
    <n v="7765.34"/>
    <n v="17393.73"/>
    <n v="17410.78"/>
    <x v="4"/>
    <n v="0.47"/>
    <n v="0.6"/>
    <m/>
    <s v="Yes"/>
    <s v="Yes"/>
    <s v="Yes"/>
    <s v="Yes"/>
    <s v="Yes"/>
    <s v="Yes"/>
    <s v="No"/>
    <s v="Yes"/>
    <s v="N/a"/>
    <s v="Yes"/>
    <s v="No"/>
  </r>
  <r>
    <x v="91"/>
    <n v="13.8"/>
    <n v="0"/>
    <n v="0"/>
    <n v="11.1"/>
    <n v="0"/>
    <n v="0"/>
    <n v="0"/>
    <n v="0"/>
    <n v="0"/>
    <n v="0"/>
    <n v="2.5"/>
    <n v="0"/>
    <n v="0"/>
    <n v="50"/>
    <n v="5.4"/>
    <n v="0"/>
    <n v="15.799999999999997"/>
    <n v="0"/>
    <n v="0"/>
    <n v="0"/>
    <n v="98.600000000000009"/>
    <n v="157.73249999999999"/>
    <n v="0"/>
    <n v="14"/>
    <n v="33.237499999999997"/>
    <n v="0"/>
    <n v="0"/>
    <n v="0"/>
    <n v="0"/>
    <n v="0"/>
    <n v="23.7"/>
    <n v="0"/>
    <n v="-59.132499999999979"/>
    <n v="2.5625"/>
    <n v="677.17500000000007"/>
    <n v="1523.8985715960525"/>
    <n v="1505.8985715960525"/>
    <n v="8.9"/>
    <n v="155.06"/>
    <n v="0"/>
    <n v="0"/>
    <n v="124.72"/>
    <n v="0"/>
    <n v="0"/>
    <n v="0"/>
    <n v="0"/>
    <n v="0"/>
    <n v="0"/>
    <n v="28.09"/>
    <n v="0"/>
    <n v="0"/>
    <n v="561.79999999999995"/>
    <n v="60.67"/>
    <n v="0"/>
    <n v="177.53"/>
    <n v="0"/>
    <n v="0"/>
    <n v="0"/>
    <n v="1107.8699999999999"/>
    <n v="1772.28"/>
    <n v="0"/>
    <n v="157.30000000000001"/>
    <n v="373.46"/>
    <n v="0"/>
    <n v="0"/>
    <n v="0"/>
    <n v="0"/>
    <n v="0"/>
    <n v="266.29000000000002"/>
    <n v="0"/>
    <x v="91"/>
    <n v="28.79"/>
    <n v="7608.71"/>
    <n v="17122.46"/>
    <n v="16920.21"/>
    <x v="4"/>
    <n v="0.47"/>
    <n v="0.6"/>
    <m/>
    <s v="Yes"/>
    <s v="Yes"/>
    <s v="Yes"/>
    <s v="Yes"/>
    <s v="Yes"/>
    <s v="Yes"/>
    <s v="No"/>
    <s v="Yes"/>
    <s v="N/a"/>
    <s v="Yes"/>
    <s v="No"/>
  </r>
  <r>
    <x v="92"/>
    <n v="13.5"/>
    <n v="0"/>
    <n v="0"/>
    <n v="10.7"/>
    <n v="0"/>
    <n v="0"/>
    <n v="0"/>
    <n v="0"/>
    <n v="0"/>
    <n v="0"/>
    <n v="2.5"/>
    <n v="0"/>
    <n v="0"/>
    <n v="50"/>
    <n v="5.5"/>
    <n v="0"/>
    <n v="15.5"/>
    <n v="0"/>
    <n v="0"/>
    <n v="0"/>
    <n v="97.7"/>
    <n v="167.155"/>
    <n v="0"/>
    <n v="15"/>
    <n v="33.237499999999997"/>
    <n v="0"/>
    <n v="0"/>
    <n v="0"/>
    <n v="0"/>
    <n v="0"/>
    <n v="23.5"/>
    <n v="0"/>
    <n v="-69.454999999999998"/>
    <n v="1.65625"/>
    <n v="671.51250000000005"/>
    <n v="1496.6485715960525"/>
    <n v="1496.1485715960525"/>
    <n v="8.9"/>
    <n v="151.69"/>
    <n v="0"/>
    <n v="0"/>
    <n v="120.22"/>
    <n v="0"/>
    <n v="0"/>
    <n v="0"/>
    <n v="0"/>
    <n v="0"/>
    <n v="0"/>
    <n v="28.09"/>
    <n v="0"/>
    <n v="0"/>
    <n v="561.79999999999995"/>
    <n v="61.8"/>
    <n v="0"/>
    <n v="174.16"/>
    <n v="0"/>
    <n v="0"/>
    <n v="0"/>
    <n v="1097.75"/>
    <n v="1878.15"/>
    <n v="0"/>
    <n v="168.54"/>
    <n v="373.46"/>
    <n v="0"/>
    <n v="0"/>
    <n v="0"/>
    <n v="0"/>
    <n v="0"/>
    <n v="264.04000000000002"/>
    <n v="0"/>
    <x v="92"/>
    <n v="18.61"/>
    <n v="7545.08"/>
    <n v="16816.28"/>
    <n v="16810.66"/>
    <x v="4"/>
    <n v="0.47"/>
    <n v="0.6"/>
    <m/>
    <s v="Yes"/>
    <s v="Yes"/>
    <s v="Yes"/>
    <s v="Yes"/>
    <s v="Yes"/>
    <s v="Yes"/>
    <s v="No"/>
    <s v="Yes"/>
    <s v="N/a"/>
    <s v="Yes"/>
    <s v="No"/>
  </r>
  <r>
    <x v="93"/>
    <n v="15.2"/>
    <n v="0"/>
    <n v="0"/>
    <n v="9.9"/>
    <n v="0"/>
    <n v="0"/>
    <n v="0"/>
    <n v="0"/>
    <n v="0"/>
    <n v="0"/>
    <n v="2.5"/>
    <n v="0"/>
    <n v="0"/>
    <n v="50"/>
    <n v="5.3"/>
    <n v="0"/>
    <n v="15.5"/>
    <n v="0"/>
    <n v="0"/>
    <n v="0"/>
    <n v="98.399999999999991"/>
    <n v="178.48999999999998"/>
    <n v="0"/>
    <n v="17.75"/>
    <n v="33.737499999999997"/>
    <n v="0"/>
    <n v="0"/>
    <n v="0"/>
    <n v="0"/>
    <n v="0"/>
    <n v="23.4"/>
    <n v="0"/>
    <n v="-80.089999999999989"/>
    <n v="0.46250000000000302"/>
    <n v="666.45624999999995"/>
    <n v="1515.1485715960525"/>
    <n v="1553.6485715960525"/>
    <n v="8.8000000000000007"/>
    <n v="172.73"/>
    <n v="0"/>
    <n v="0"/>
    <n v="112.5"/>
    <n v="0"/>
    <n v="0"/>
    <n v="0"/>
    <n v="0"/>
    <n v="0"/>
    <n v="0"/>
    <n v="28.41"/>
    <n v="0"/>
    <n v="0"/>
    <n v="568.17999999999995"/>
    <n v="60.23"/>
    <n v="0"/>
    <n v="176.14"/>
    <n v="0"/>
    <n v="0"/>
    <n v="0"/>
    <n v="1118.18"/>
    <n v="2028.3"/>
    <n v="0"/>
    <n v="201.7"/>
    <n v="383.38"/>
    <n v="0"/>
    <n v="0"/>
    <n v="0"/>
    <n v="0"/>
    <n v="0"/>
    <n v="265.91000000000003"/>
    <n v="0"/>
    <x v="93"/>
    <n v="5.26"/>
    <n v="7573.37"/>
    <n v="17217.599999999999"/>
    <n v="17655.099999999999"/>
    <x v="4"/>
    <n v="0.47"/>
    <n v="0.6"/>
    <m/>
    <s v="Yes"/>
    <s v="Yes"/>
    <s v="Yes"/>
    <s v="Yes"/>
    <s v="Yes"/>
    <s v="Yes"/>
    <s v="No"/>
    <s v="Yes"/>
    <s v="N/a"/>
    <s v="Yes"/>
    <s v="No"/>
  </r>
  <r>
    <x v="94"/>
    <n v="15.6"/>
    <n v="0"/>
    <n v="0"/>
    <n v="10.9"/>
    <n v="0"/>
    <n v="0"/>
    <n v="0"/>
    <n v="0"/>
    <n v="0"/>
    <n v="0"/>
    <n v="2.5"/>
    <n v="0"/>
    <n v="0"/>
    <n v="51"/>
    <n v="5.7"/>
    <n v="0"/>
    <n v="16.099999999999994"/>
    <n v="0"/>
    <n v="0"/>
    <n v="0"/>
    <n v="101.8"/>
    <n v="186.54000000000002"/>
    <n v="0"/>
    <n v="17"/>
    <n v="35.549999999999997"/>
    <n v="0"/>
    <n v="0"/>
    <n v="0"/>
    <n v="0"/>
    <n v="0"/>
    <n v="23.3"/>
    <n v="0"/>
    <n v="-84.740000000000023"/>
    <n v="1.35"/>
    <n v="659.3"/>
    <n v="1581.6485715960525"/>
    <n v="1599.1485715960525"/>
    <n v="8.6999999999999993"/>
    <n v="179.31"/>
    <n v="0"/>
    <n v="0"/>
    <n v="125.29"/>
    <n v="0"/>
    <n v="0"/>
    <n v="0"/>
    <n v="0"/>
    <n v="0"/>
    <n v="0"/>
    <n v="28.74"/>
    <n v="0"/>
    <n v="0"/>
    <n v="586.21"/>
    <n v="65.52"/>
    <n v="0"/>
    <n v="185.06"/>
    <n v="0"/>
    <n v="0"/>
    <n v="0"/>
    <n v="1170.1099999999999"/>
    <n v="2144.14"/>
    <n v="0"/>
    <n v="195.4"/>
    <n v="408.62"/>
    <n v="0"/>
    <n v="0"/>
    <n v="0"/>
    <n v="0"/>
    <n v="0"/>
    <n v="267.82"/>
    <n v="0"/>
    <x v="94"/>
    <n v="15.52"/>
    <n v="7578.16"/>
    <n v="18179.87"/>
    <n v="18381.02"/>
    <x v="4"/>
    <n v="0.47"/>
    <n v="0.6"/>
    <m/>
    <s v="Yes"/>
    <s v="Yes"/>
    <s v="Yes"/>
    <s v="Yes"/>
    <s v="Yes"/>
    <s v="Yes"/>
    <s v="No"/>
    <s v="Yes"/>
    <s v="N/a"/>
    <s v="Yes"/>
    <s v="No"/>
  </r>
  <r>
    <x v="95"/>
    <n v="16.100000000000001"/>
    <n v="0"/>
    <n v="0"/>
    <n v="14.1"/>
    <n v="0"/>
    <n v="0"/>
    <n v="0"/>
    <n v="0"/>
    <n v="0"/>
    <n v="0"/>
    <n v="2.5"/>
    <n v="0"/>
    <n v="0"/>
    <n v="53"/>
    <n v="7.4"/>
    <n v="0"/>
    <n v="16.300000000000011"/>
    <n v="0"/>
    <n v="0"/>
    <n v="0"/>
    <n v="109.40000000000002"/>
    <n v="191.98249999999999"/>
    <n v="0"/>
    <n v="17.375"/>
    <n v="38.106250000000003"/>
    <n v="0"/>
    <n v="0"/>
    <n v="0"/>
    <n v="0"/>
    <n v="0"/>
    <n v="22.8"/>
    <n v="0"/>
    <n v="-82.582499999999968"/>
    <n v="3.34375"/>
    <n v="652.22499999999991"/>
    <n v="1620.6485715960525"/>
    <n v="1646.1485715960525"/>
    <n v="8.6"/>
    <n v="187.21"/>
    <n v="0"/>
    <n v="0"/>
    <n v="163.95"/>
    <n v="0"/>
    <n v="0"/>
    <n v="0"/>
    <n v="0"/>
    <n v="0"/>
    <n v="0"/>
    <n v="29.07"/>
    <n v="0"/>
    <n v="0"/>
    <n v="616.28"/>
    <n v="86.05"/>
    <n v="0"/>
    <n v="189.53"/>
    <n v="0"/>
    <n v="0"/>
    <n v="0"/>
    <n v="1272.0899999999999"/>
    <n v="2232.35"/>
    <n v="0"/>
    <n v="202.03"/>
    <n v="443.1"/>
    <n v="0"/>
    <n v="0"/>
    <n v="0"/>
    <n v="0"/>
    <n v="0"/>
    <n v="265.12"/>
    <n v="0"/>
    <x v="95"/>
    <n v="38.880000000000003"/>
    <n v="7584.01"/>
    <n v="18844.75"/>
    <n v="19141.259999999998"/>
    <x v="4"/>
    <n v="0.47"/>
    <n v="0.6"/>
    <m/>
    <s v="Yes"/>
    <s v="Yes"/>
    <s v="Yes"/>
    <s v="Yes"/>
    <s v="Yes"/>
    <s v="Yes"/>
    <s v="No"/>
    <s v="Yes"/>
    <s v="N/a"/>
    <s v="Yes"/>
    <s v="No"/>
  </r>
  <r>
    <x v="96"/>
    <n v="16.7"/>
    <n v="0"/>
    <n v="0"/>
    <n v="14"/>
    <n v="0"/>
    <n v="0"/>
    <n v="0"/>
    <n v="0"/>
    <n v="0"/>
    <n v="0"/>
    <n v="2.4"/>
    <n v="0"/>
    <n v="0"/>
    <n v="53"/>
    <n v="7.4"/>
    <n v="0"/>
    <n v="18.799999999999997"/>
    <n v="0"/>
    <n v="0"/>
    <n v="0"/>
    <n v="112.3"/>
    <n v="199.03749999999999"/>
    <n v="0"/>
    <n v="19.125"/>
    <n v="40.012500000000003"/>
    <n v="0"/>
    <n v="0"/>
    <n v="0"/>
    <n v="0"/>
    <n v="0"/>
    <n v="23.6"/>
    <n v="0"/>
    <n v="-86.737499999999997"/>
    <n v="3.1437499999999998"/>
    <n v="645.33125000000007"/>
    <n v="1669.1485715960525"/>
    <n v="1689.6485715960525"/>
    <n v="8.5"/>
    <n v="196.47"/>
    <n v="0"/>
    <n v="0"/>
    <n v="164.71"/>
    <n v="0"/>
    <n v="0"/>
    <n v="0"/>
    <n v="0"/>
    <n v="0"/>
    <n v="0"/>
    <n v="28.24"/>
    <n v="0"/>
    <n v="0"/>
    <n v="623.53"/>
    <n v="87.06"/>
    <n v="0"/>
    <n v="221.18"/>
    <n v="0"/>
    <n v="0"/>
    <n v="0"/>
    <n v="1321.18"/>
    <n v="2341.62"/>
    <n v="0"/>
    <n v="225"/>
    <n v="470.74"/>
    <n v="0"/>
    <n v="0"/>
    <n v="0"/>
    <n v="0"/>
    <n v="0"/>
    <n v="277.64999999999998"/>
    <n v="0"/>
    <x v="96"/>
    <n v="36.99"/>
    <n v="7592.13"/>
    <n v="19637.04"/>
    <n v="19878.22"/>
    <x v="4"/>
    <n v="0.47"/>
    <n v="0.6"/>
    <m/>
    <s v="Yes"/>
    <s v="Yes"/>
    <s v="Yes"/>
    <s v="Yes"/>
    <s v="Yes"/>
    <s v="Yes"/>
    <s v="No"/>
    <s v="Yes"/>
    <s v="N/a"/>
    <s v="Yes"/>
    <s v="No"/>
  </r>
  <r>
    <x v="97"/>
    <n v="17.3"/>
    <n v="0"/>
    <n v="0"/>
    <n v="15.3"/>
    <n v="0"/>
    <n v="0"/>
    <n v="0"/>
    <n v="0"/>
    <n v="0"/>
    <n v="0"/>
    <n v="2.4"/>
    <n v="0"/>
    <n v="0"/>
    <n v="55"/>
    <n v="7.7"/>
    <n v="0"/>
    <n v="18.399999999999991"/>
    <n v="0"/>
    <n v="0"/>
    <n v="0"/>
    <n v="116.1"/>
    <n v="207.91249999999999"/>
    <n v="0"/>
    <n v="22.25"/>
    <n v="40.987500000000004"/>
    <n v="0"/>
    <n v="0"/>
    <n v="0"/>
    <n v="0"/>
    <n v="0"/>
    <n v="23.6"/>
    <n v="0"/>
    <n v="-91.8125"/>
    <n v="2.9"/>
    <n v="639.36249999999995"/>
    <n v="1722.3985715960525"/>
    <n v="1767.3985715960525"/>
    <n v="8.6999999999999993"/>
    <n v="198.85"/>
    <n v="0"/>
    <n v="0"/>
    <n v="175.86"/>
    <n v="0"/>
    <n v="0"/>
    <n v="0"/>
    <n v="0"/>
    <n v="0"/>
    <n v="0"/>
    <n v="27.59"/>
    <n v="0"/>
    <n v="0"/>
    <n v="632.17999999999995"/>
    <n v="88.51"/>
    <n v="0"/>
    <n v="211.49"/>
    <n v="0"/>
    <n v="0"/>
    <n v="0"/>
    <n v="1334.48"/>
    <n v="2389.8000000000002"/>
    <n v="0"/>
    <n v="255.75"/>
    <n v="471.12"/>
    <n v="0"/>
    <n v="0"/>
    <n v="0"/>
    <n v="0"/>
    <n v="0"/>
    <n v="271.26"/>
    <n v="0"/>
    <x v="97"/>
    <n v="33.33"/>
    <n v="7348.99"/>
    <n v="19797.68"/>
    <n v="20314.93"/>
    <x v="4"/>
    <n v="0.47"/>
    <n v="0.6"/>
    <m/>
    <s v="Yes"/>
    <s v="Yes"/>
    <s v="Yes"/>
    <s v="Yes"/>
    <s v="Yes"/>
    <s v="Yes"/>
    <s v="No"/>
    <s v="Yes"/>
    <s v="N/a"/>
    <s v="Yes"/>
    <s v="No"/>
  </r>
  <r>
    <x v="98"/>
    <n v="18"/>
    <n v="0"/>
    <n v="0"/>
    <n v="15.6"/>
    <n v="0"/>
    <n v="0"/>
    <n v="0"/>
    <n v="0"/>
    <n v="0"/>
    <n v="0"/>
    <n v="2.4"/>
    <n v="0"/>
    <n v="0"/>
    <n v="55"/>
    <n v="7.6"/>
    <n v="0"/>
    <n v="19.300000000000011"/>
    <n v="0"/>
    <n v="0"/>
    <n v="0"/>
    <n v="117.9"/>
    <n v="218.64750000000001"/>
    <n v="0"/>
    <n v="27"/>
    <n v="48.15"/>
    <n v="0"/>
    <n v="0"/>
    <n v="0"/>
    <n v="0"/>
    <n v="0"/>
    <n v="23.6"/>
    <n v="0"/>
    <n v="-100.7475"/>
    <n v="1.7499999999999956"/>
    <n v="636.69375000000002"/>
    <n v="1816.1485715960525"/>
    <n v="1868.6485715960525"/>
    <n v="8.6999999999999993"/>
    <n v="206.9"/>
    <n v="0"/>
    <n v="0"/>
    <n v="179.31"/>
    <n v="0"/>
    <n v="0"/>
    <n v="0"/>
    <n v="0"/>
    <n v="0"/>
    <n v="0"/>
    <n v="27.59"/>
    <n v="0"/>
    <n v="0"/>
    <n v="632.17999999999995"/>
    <n v="87.36"/>
    <n v="0"/>
    <n v="221.84"/>
    <n v="0"/>
    <n v="0"/>
    <n v="0"/>
    <n v="1355.17"/>
    <n v="2513.19"/>
    <n v="0"/>
    <n v="310.33999999999997"/>
    <n v="553.45000000000005"/>
    <n v="0"/>
    <n v="0"/>
    <n v="0"/>
    <n v="0"/>
    <n v="0"/>
    <n v="271.26"/>
    <n v="0"/>
    <x v="98"/>
    <n v="20.11"/>
    <n v="7318.32"/>
    <n v="20875.27"/>
    <n v="21478.720000000001"/>
    <x v="4"/>
    <n v="0.47"/>
    <n v="0.6"/>
    <m/>
    <s v="Yes"/>
    <s v="Yes"/>
    <s v="Yes"/>
    <s v="Yes"/>
    <s v="Yes"/>
    <s v="Yes"/>
    <s v="No"/>
    <s v="Yes"/>
    <s v="N/a"/>
    <s v="Yes"/>
    <s v="No"/>
  </r>
  <r>
    <x v="99"/>
    <n v="18.8"/>
    <n v="0"/>
    <n v="0"/>
    <n v="18.5"/>
    <n v="0"/>
    <n v="0"/>
    <n v="0"/>
    <n v="0"/>
    <n v="0"/>
    <n v="0"/>
    <n v="2.5"/>
    <n v="0"/>
    <n v="0"/>
    <n v="61"/>
    <n v="8.5"/>
    <n v="0"/>
    <n v="20.600000000000009"/>
    <n v="0"/>
    <n v="0"/>
    <n v="0"/>
    <n v="129.9"/>
    <n v="238.19749999999999"/>
    <n v="0"/>
    <n v="31.125"/>
    <n v="74.456249999999997"/>
    <n v="0"/>
    <n v="0"/>
    <n v="0"/>
    <n v="0"/>
    <n v="0"/>
    <n v="23.2"/>
    <n v="0"/>
    <n v="-108.29749999999999"/>
    <n v="18.543749999999992"/>
    <n v="650.76874999999995"/>
    <n v="1913.3985715960525"/>
    <n v="1950.3985715960525"/>
    <n v="8.8000000000000007"/>
    <n v="213.64"/>
    <n v="0"/>
    <n v="0"/>
    <n v="210.23"/>
    <n v="0"/>
    <n v="0"/>
    <n v="0"/>
    <n v="0"/>
    <n v="0"/>
    <n v="0"/>
    <n v="28.41"/>
    <n v="0"/>
    <n v="0"/>
    <n v="693.18"/>
    <n v="96.59"/>
    <n v="0"/>
    <n v="234.09"/>
    <n v="0"/>
    <n v="0"/>
    <n v="0"/>
    <n v="1476.14"/>
    <n v="2706.79"/>
    <n v="0"/>
    <n v="353.69"/>
    <n v="846.09"/>
    <n v="0"/>
    <n v="0"/>
    <n v="0"/>
    <n v="0"/>
    <n v="0"/>
    <n v="263.64"/>
    <n v="0"/>
    <x v="99"/>
    <n v="210.72"/>
    <n v="7395.1"/>
    <n v="21743.17"/>
    <n v="22163.62"/>
    <x v="4"/>
    <n v="0.47"/>
    <n v="0.6"/>
    <m/>
    <s v="Yes"/>
    <s v="Yes"/>
    <s v="Yes"/>
    <s v="Yes"/>
    <s v="Yes"/>
    <s v="Yes"/>
    <s v="No"/>
    <s v="Yes"/>
    <s v="N/a"/>
    <s v="Yes"/>
    <s v="No"/>
  </r>
  <r>
    <x v="100"/>
    <n v="26.9"/>
    <n v="0"/>
    <n v="0"/>
    <n v="17.2"/>
    <n v="0"/>
    <n v="0"/>
    <n v="0"/>
    <n v="0"/>
    <n v="0"/>
    <n v="0"/>
    <n v="2.5"/>
    <n v="0"/>
    <n v="0"/>
    <n v="65"/>
    <n v="7.8"/>
    <n v="0"/>
    <n v="20.799999999999997"/>
    <n v="0"/>
    <n v="53.300000000000011"/>
    <n v="0"/>
    <n v="193.5"/>
    <n v="193.3"/>
    <n v="231.37500000000003"/>
    <n v="36.125"/>
    <n v="111.79375000000002"/>
    <n v="0"/>
    <n v="0"/>
    <n v="0"/>
    <n v="0"/>
    <n v="0"/>
    <n v="19.8"/>
    <n v="135.90624999999997"/>
    <n v="0.19999999999998863"/>
    <n v="78.610716121235384"/>
    <n v="705.7"/>
    <n v="1878.863419625204"/>
    <n v="1886.5286555627199"/>
    <n v="9.1999999999999993"/>
    <n v="292.39"/>
    <n v="0"/>
    <n v="0"/>
    <n v="186.96"/>
    <n v="0"/>
    <n v="0"/>
    <n v="0"/>
    <n v="0"/>
    <n v="0"/>
    <n v="0"/>
    <n v="27.17"/>
    <n v="0"/>
    <n v="0"/>
    <n v="706.52"/>
    <n v="84.78"/>
    <n v="0"/>
    <n v="226.09"/>
    <n v="0"/>
    <n v="579.35"/>
    <n v="0"/>
    <n v="2103.2600000000002"/>
    <n v="2101.09"/>
    <n v="2514.9499999999998"/>
    <n v="392.66"/>
    <n v="1215.1500000000001"/>
    <n v="0"/>
    <n v="0"/>
    <n v="0"/>
    <n v="0"/>
    <n v="0"/>
    <n v="215.22"/>
    <n v="1477.24"/>
    <x v="100"/>
    <n v="854.46"/>
    <n v="7670.65"/>
    <n v="20422.43"/>
    <n v="20505.75"/>
    <x v="4"/>
    <n v="0.28360904174709267"/>
    <m/>
    <m/>
    <s v="Yes"/>
    <s v="Yes"/>
    <s v="Yes"/>
    <s v="Yes"/>
    <s v="Yes"/>
    <s v="Yes"/>
    <s v="No"/>
    <s v="Yes"/>
    <s v="N/a"/>
    <s v="Yes"/>
    <s v="No"/>
  </r>
  <r>
    <x v="101"/>
    <n v="34.799999999999997"/>
    <n v="0"/>
    <n v="0"/>
    <n v="18.5"/>
    <n v="0"/>
    <n v="0"/>
    <n v="0"/>
    <n v="0"/>
    <n v="0"/>
    <n v="0"/>
    <n v="2.5"/>
    <n v="0"/>
    <n v="0"/>
    <n v="68"/>
    <n v="7.8"/>
    <n v="0"/>
    <n v="21.099999999999994"/>
    <n v="0"/>
    <n v="59.050000000000011"/>
    <n v="0"/>
    <n v="211.75"/>
    <n v="205.2"/>
    <n v="247.49999999999997"/>
    <n v="41.5"/>
    <n v="118.61249999999998"/>
    <n v="0"/>
    <n v="0"/>
    <n v="0"/>
    <n v="0"/>
    <n v="0"/>
    <n v="21.7"/>
    <n v="148.6875"/>
    <n v="6.5500000000000114"/>
    <n v="82.04981581116796"/>
    <n v="768.4"/>
    <n v="1892.2686462706774"/>
    <n v="1896.083391749077"/>
    <n v="9.1999999999999993"/>
    <n v="378.26"/>
    <n v="0"/>
    <n v="0"/>
    <n v="201.09"/>
    <n v="0"/>
    <n v="0"/>
    <n v="0"/>
    <n v="0"/>
    <n v="0"/>
    <n v="0"/>
    <n v="27.17"/>
    <n v="0"/>
    <n v="0"/>
    <n v="739.13"/>
    <n v="84.78"/>
    <n v="0"/>
    <n v="229.35"/>
    <n v="0"/>
    <n v="641.85"/>
    <n v="0"/>
    <n v="2301.63"/>
    <n v="2230.4299999999998"/>
    <n v="2690.22"/>
    <n v="451.09"/>
    <n v="1289.27"/>
    <n v="0"/>
    <n v="0"/>
    <n v="0"/>
    <n v="0"/>
    <n v="0"/>
    <n v="235.87"/>
    <n v="1616.17"/>
    <x v="101"/>
    <n v="891.85"/>
    <n v="8352.17"/>
    <n v="20568.14"/>
    <n v="20609.599999999999"/>
    <x v="3"/>
    <n v="0.28363876402728444"/>
    <m/>
    <m/>
    <s v="Yes"/>
    <s v="Yes"/>
    <s v="Yes"/>
    <s v="Yes"/>
    <s v="Yes"/>
    <s v="Yes"/>
    <s v="No"/>
    <s v="Yes"/>
    <s v="N/a"/>
    <s v="Yes"/>
    <s v="No"/>
  </r>
  <r>
    <x v="102"/>
    <n v="38.799999999999997"/>
    <n v="0"/>
    <n v="0"/>
    <n v="18.100000000000001"/>
    <n v="0"/>
    <n v="0"/>
    <n v="0"/>
    <n v="0"/>
    <n v="0"/>
    <n v="0"/>
    <n v="2.6"/>
    <n v="0"/>
    <n v="0"/>
    <n v="72"/>
    <n v="8.1999999999999993"/>
    <n v="0"/>
    <n v="21.600000000000023"/>
    <n v="0"/>
    <n v="65.449999999999989"/>
    <n v="0"/>
    <n v="226.75"/>
    <n v="194.2"/>
    <n v="237"/>
    <n v="41.75"/>
    <n v="99.531250000000014"/>
    <n v="0"/>
    <n v="0"/>
    <n v="0"/>
    <n v="0"/>
    <n v="0"/>
    <n v="27.2"/>
    <n v="152.01874999999998"/>
    <n v="32.550000000000011"/>
    <n v="55.306406929780493"/>
    <n v="798.3"/>
    <n v="1891.113705455231"/>
    <n v="1877.3595873891388"/>
    <n v="9.1999999999999993"/>
    <n v="421.74"/>
    <n v="0"/>
    <n v="0"/>
    <n v="196.74"/>
    <n v="0"/>
    <n v="0"/>
    <n v="0"/>
    <n v="0"/>
    <n v="0"/>
    <n v="0"/>
    <n v="28.26"/>
    <n v="0"/>
    <n v="0"/>
    <n v="782.61"/>
    <n v="89.13"/>
    <n v="0"/>
    <n v="234.78"/>
    <n v="0"/>
    <n v="711.41"/>
    <n v="0"/>
    <n v="2464.67"/>
    <n v="2110.87"/>
    <n v="2576.09"/>
    <n v="453.8"/>
    <n v="1081.8599999999999"/>
    <n v="0"/>
    <n v="0"/>
    <n v="0"/>
    <n v="0"/>
    <n v="0"/>
    <n v="295.64999999999998"/>
    <n v="1652.38"/>
    <x v="102"/>
    <n v="601.16"/>
    <n v="8677.17"/>
    <n v="20555.580000000002"/>
    <n v="20406.080000000002"/>
    <x v="3"/>
    <n v="0.28367341671527457"/>
    <m/>
    <m/>
    <s v="Yes"/>
    <s v="Yes"/>
    <s v="Yes"/>
    <s v="Yes"/>
    <s v="Yes"/>
    <s v="Yes"/>
    <s v="No"/>
    <s v="Yes"/>
    <s v="N/a"/>
    <s v="Yes"/>
    <s v="No"/>
  </r>
  <r>
    <x v="103"/>
    <n v="30.8"/>
    <n v="0"/>
    <n v="0"/>
    <n v="17.2"/>
    <n v="0"/>
    <n v="0"/>
    <n v="0"/>
    <n v="0"/>
    <n v="0"/>
    <n v="0"/>
    <n v="2.7"/>
    <n v="0"/>
    <n v="0"/>
    <n v="71"/>
    <n v="7.5"/>
    <n v="0"/>
    <n v="22.100000000000023"/>
    <n v="0"/>
    <n v="77.699999999999989"/>
    <n v="0"/>
    <n v="229"/>
    <n v="155.30000000000001"/>
    <n v="216.5"/>
    <n v="38"/>
    <n v="76.362500000000011"/>
    <n v="0"/>
    <n v="0"/>
    <n v="0"/>
    <n v="0"/>
    <n v="0"/>
    <n v="25.5"/>
    <n v="152.63750000000002"/>
    <n v="73.699999999999989"/>
    <n v="27.169545657071616"/>
    <n v="794.5"/>
    <n v="1871.3822628440114"/>
    <n v="1873.1817318198489"/>
    <n v="9.3000000000000007"/>
    <n v="331.18"/>
    <n v="0"/>
    <n v="0"/>
    <n v="184.95"/>
    <n v="0"/>
    <n v="0"/>
    <n v="0"/>
    <n v="0"/>
    <n v="0"/>
    <n v="0"/>
    <n v="29.03"/>
    <n v="0"/>
    <n v="0"/>
    <n v="763.44"/>
    <n v="80.650000000000006"/>
    <n v="0"/>
    <n v="237.63"/>
    <n v="0"/>
    <n v="835.48"/>
    <n v="0"/>
    <n v="2462.37"/>
    <n v="1669.89"/>
    <n v="2327.96"/>
    <n v="408.6"/>
    <n v="821.1"/>
    <n v="0"/>
    <n v="0"/>
    <n v="0"/>
    <n v="0"/>
    <n v="0"/>
    <n v="274.19"/>
    <n v="1641.26"/>
    <x v="103"/>
    <n v="292.14999999999998"/>
    <n v="8543.01"/>
    <n v="20122.39"/>
    <n v="20141.740000000002"/>
    <x v="3"/>
    <n v="0.28370066398502608"/>
    <m/>
    <m/>
    <s v="Yes"/>
    <s v="Yes"/>
    <s v="Yes"/>
    <s v="Yes"/>
    <s v="Yes"/>
    <s v="Yes"/>
    <s v="No"/>
    <s v="Yes"/>
    <s v="N/a"/>
    <s v="Yes"/>
    <s v="No"/>
  </r>
  <r>
    <x v="104"/>
    <n v="31.3"/>
    <n v="0"/>
    <n v="0"/>
    <n v="16.7"/>
    <n v="0"/>
    <n v="0"/>
    <n v="0"/>
    <n v="0"/>
    <n v="0"/>
    <n v="0"/>
    <n v="2.8"/>
    <n v="0"/>
    <n v="0"/>
    <n v="72"/>
    <n v="7.7"/>
    <n v="0"/>
    <n v="22.699999999999989"/>
    <n v="0"/>
    <n v="76.800000000000011"/>
    <n v="0"/>
    <n v="230"/>
    <n v="149.5"/>
    <n v="209.25"/>
    <n v="36.75"/>
    <n v="66.449999999999989"/>
    <n v="0"/>
    <n v="0"/>
    <n v="0"/>
    <n v="0"/>
    <n v="0"/>
    <n v="24.8"/>
    <n v="154.75"/>
    <n v="80.5"/>
    <n v="17.028068039796352"/>
    <n v="796.7"/>
    <n v="1891.5877891309819"/>
    <n v="1926.6004347774106"/>
    <n v="9.3000000000000007"/>
    <n v="336.56"/>
    <n v="0"/>
    <n v="0"/>
    <n v="179.57"/>
    <n v="0"/>
    <n v="0"/>
    <n v="0"/>
    <n v="0"/>
    <n v="0"/>
    <n v="0"/>
    <n v="30.11"/>
    <n v="0"/>
    <n v="0"/>
    <n v="774.19"/>
    <n v="82.8"/>
    <n v="0"/>
    <n v="244.09"/>
    <n v="0"/>
    <n v="825.81"/>
    <n v="0"/>
    <n v="2473.12"/>
    <n v="1607.53"/>
    <n v="2250"/>
    <n v="395.16"/>
    <n v="714.52"/>
    <n v="0"/>
    <n v="0"/>
    <n v="0"/>
    <n v="0"/>
    <n v="0"/>
    <n v="266.67"/>
    <n v="1663.98"/>
    <x v="104"/>
    <n v="183.1"/>
    <n v="8566.67"/>
    <n v="20339.650000000001"/>
    <n v="20716.13"/>
    <x v="3"/>
    <n v="0.28373188714519854"/>
    <m/>
    <m/>
    <s v="Yes"/>
    <s v="Yes"/>
    <s v="Yes"/>
    <s v="Yes"/>
    <s v="Yes"/>
    <s v="Yes"/>
    <s v="No"/>
    <s v="Yes"/>
    <s v="N/a"/>
    <s v="Yes"/>
    <s v="No"/>
  </r>
  <r>
    <x v="105"/>
    <n v="31.4"/>
    <n v="0"/>
    <n v="0"/>
    <n v="17.3"/>
    <n v="0"/>
    <n v="0"/>
    <n v="0"/>
    <n v="0"/>
    <n v="0"/>
    <n v="0"/>
    <n v="2.7"/>
    <n v="0"/>
    <n v="0"/>
    <n v="71"/>
    <n v="8.1999999999999993"/>
    <n v="0"/>
    <n v="23.299999999999983"/>
    <n v="0"/>
    <n v="80.099999999999994"/>
    <n v="0"/>
    <n v="233.99999999999997"/>
    <n v="147"/>
    <n v="210"/>
    <n v="32"/>
    <n v="62.349999999999994"/>
    <n v="0"/>
    <n v="0"/>
    <n v="0"/>
    <n v="0"/>
    <n v="0"/>
    <n v="24.6"/>
    <n v="155.04999999999998"/>
    <n v="86.999999999999972"/>
    <n v="8.4898641978799727"/>
    <n v="789"/>
    <n v="1963.4740792299137"/>
    <n v="2002.2087224884908"/>
    <n v="9.3000000000000007"/>
    <n v="337.63"/>
    <n v="0"/>
    <n v="0"/>
    <n v="186.02"/>
    <n v="0"/>
    <n v="0"/>
    <n v="0"/>
    <n v="0"/>
    <n v="0"/>
    <n v="0"/>
    <n v="29.03"/>
    <n v="0"/>
    <n v="0"/>
    <n v="763.44"/>
    <n v="88.17"/>
    <n v="0"/>
    <n v="250.54"/>
    <n v="0"/>
    <n v="861.29"/>
    <n v="0"/>
    <n v="2516.13"/>
    <n v="1580.65"/>
    <n v="2258.06"/>
    <n v="344.09"/>
    <n v="670.43"/>
    <n v="0"/>
    <n v="0"/>
    <n v="0"/>
    <n v="0"/>
    <n v="0"/>
    <n v="264.52"/>
    <n v="1667.2"/>
    <x v="105"/>
    <n v="91.29"/>
    <n v="8483.8700000000008"/>
    <n v="21112.62"/>
    <n v="21529.13"/>
    <x v="3"/>
    <n v="0.28376347857012313"/>
    <m/>
    <m/>
    <s v="Yes"/>
    <s v="Yes"/>
    <s v="Yes"/>
    <s v="Yes"/>
    <s v="Yes"/>
    <s v="Yes"/>
    <s v="No"/>
    <s v="Yes"/>
    <s v="N/a"/>
    <s v="Yes"/>
    <s v="No"/>
  </r>
  <r>
    <x v="106"/>
    <n v="31.6"/>
    <n v="0"/>
    <n v="0"/>
    <n v="19.100000000000001"/>
    <n v="0"/>
    <n v="0"/>
    <n v="0"/>
    <n v="0"/>
    <n v="0"/>
    <n v="0"/>
    <n v="2.6"/>
    <n v="0"/>
    <n v="0"/>
    <n v="69"/>
    <n v="8"/>
    <n v="0"/>
    <n v="24.699999999999989"/>
    <n v="0"/>
    <n v="83.25"/>
    <n v="0"/>
    <n v="238.25"/>
    <n v="143.69999999999999"/>
    <n v="209.87499999999997"/>
    <n v="28.375"/>
    <n v="59.575000000000003"/>
    <n v="0"/>
    <n v="0"/>
    <n v="0"/>
    <n v="0"/>
    <n v="0"/>
    <n v="22.5"/>
    <n v="156.17499999999998"/>
    <n v="94.550000000000011"/>
    <n v="0"/>
    <n v="779.2"/>
    <n v="2039.8026815012058"/>
    <n v="2076.2559562680576"/>
    <n v="9.3000000000000007"/>
    <n v="339.78"/>
    <n v="0"/>
    <n v="0"/>
    <n v="205.38"/>
    <n v="0"/>
    <n v="0"/>
    <n v="0"/>
    <n v="0"/>
    <n v="0"/>
    <n v="0"/>
    <n v="27.96"/>
    <n v="0"/>
    <n v="0"/>
    <n v="741.94"/>
    <n v="86.02"/>
    <n v="0"/>
    <n v="265.58999999999997"/>
    <n v="0"/>
    <n v="895.16"/>
    <n v="0"/>
    <n v="2561.83"/>
    <n v="1545.16"/>
    <n v="2256.7199999999998"/>
    <n v="305.11"/>
    <n v="640.59"/>
    <n v="0"/>
    <n v="0"/>
    <n v="0"/>
    <n v="0"/>
    <n v="0"/>
    <n v="241.94"/>
    <n v="1679.3"/>
    <x v="106"/>
    <n v="0"/>
    <n v="8378.49"/>
    <n v="21933.360000000001"/>
    <n v="22325.33"/>
    <x v="3"/>
    <n v="0.28379084903685603"/>
    <m/>
    <m/>
    <s v="Yes"/>
    <s v="Yes"/>
    <s v="Yes"/>
    <s v="Yes"/>
    <s v="Yes"/>
    <s v="Yes"/>
    <s v="No"/>
    <s v="Yes"/>
    <s v="N/a"/>
    <s v="Yes"/>
    <s v="No"/>
  </r>
  <r>
    <x v="107"/>
    <n v="32.4"/>
    <n v="0"/>
    <n v="0"/>
    <n v="19.100000000000001"/>
    <n v="0"/>
    <n v="0"/>
    <n v="0"/>
    <n v="0"/>
    <n v="0"/>
    <n v="0"/>
    <n v="2.7"/>
    <n v="0"/>
    <n v="0"/>
    <n v="68"/>
    <n v="8"/>
    <n v="0"/>
    <n v="26.300000000000011"/>
    <n v="0"/>
    <n v="84.75"/>
    <n v="0"/>
    <n v="241.25"/>
    <n v="143.4"/>
    <n v="210.5"/>
    <n v="26"/>
    <n v="58.537500000000009"/>
    <n v="0"/>
    <n v="0"/>
    <n v="0"/>
    <n v="0"/>
    <n v="0"/>
    <n v="21.1"/>
    <n v="156.86249999999995"/>
    <n v="97.85"/>
    <n v="5.0425138073973201"/>
    <n v="762.3"/>
    <n v="2069.1004158674164"/>
    <n v="2018.3360602992811"/>
    <n v="9.4"/>
    <n v="344.68"/>
    <n v="0"/>
    <n v="0"/>
    <n v="203.19"/>
    <n v="0"/>
    <n v="0"/>
    <n v="0"/>
    <n v="0"/>
    <n v="0"/>
    <n v="0"/>
    <n v="28.72"/>
    <n v="0"/>
    <n v="0"/>
    <n v="723.4"/>
    <n v="85.11"/>
    <n v="0"/>
    <n v="279.79000000000002"/>
    <n v="0"/>
    <n v="901.6"/>
    <n v="0"/>
    <n v="2566.4899999999998"/>
    <n v="1525.53"/>
    <n v="2239.36"/>
    <n v="276.60000000000002"/>
    <n v="622.74"/>
    <n v="0"/>
    <n v="0"/>
    <n v="0"/>
    <n v="0"/>
    <n v="0"/>
    <n v="224.47"/>
    <n v="1668.75"/>
    <x v="107"/>
    <n v="53.64"/>
    <n v="8109.57"/>
    <n v="22011.71"/>
    <n v="21471.66"/>
    <x v="3"/>
    <n v="0.28382355052179781"/>
    <m/>
    <m/>
    <s v="Yes"/>
    <s v="Yes"/>
    <s v="Yes"/>
    <s v="Yes"/>
    <s v="Yes"/>
    <s v="Yes"/>
    <s v="No"/>
    <s v="Yes"/>
    <s v="N/a"/>
    <s v="Yes"/>
    <s v="No"/>
  </r>
  <r>
    <x v="108"/>
    <n v="33.9"/>
    <n v="0"/>
    <n v="0"/>
    <n v="18.399999999999999"/>
    <n v="0"/>
    <n v="0"/>
    <n v="0"/>
    <n v="0"/>
    <n v="0"/>
    <n v="0"/>
    <n v="2.6"/>
    <n v="0"/>
    <n v="0"/>
    <n v="63"/>
    <n v="7.8"/>
    <n v="0"/>
    <n v="25.900000000000006"/>
    <n v="0"/>
    <n v="88.65"/>
    <n v="0"/>
    <n v="240.25000000000003"/>
    <n v="144.80000000000001"/>
    <n v="217.12499999999997"/>
    <n v="24.375"/>
    <n v="59.599999999999994"/>
    <n v="0"/>
    <n v="0"/>
    <n v="0"/>
    <n v="0"/>
    <n v="0"/>
    <n v="21.5"/>
    <n v="160.4"/>
    <n v="95.450000000000017"/>
    <n v="1.3312917644728393"/>
    <n v="754.1"/>
    <n v="2003.4937031196482"/>
    <n v="2024.5733443285176"/>
    <n v="9.4"/>
    <n v="360.64"/>
    <n v="0"/>
    <n v="0"/>
    <n v="195.74"/>
    <n v="0"/>
    <n v="0"/>
    <n v="0"/>
    <n v="0"/>
    <n v="0"/>
    <n v="0"/>
    <n v="27.66"/>
    <n v="0"/>
    <n v="0"/>
    <n v="670.21"/>
    <n v="82.98"/>
    <n v="0"/>
    <n v="275.52999999999997"/>
    <n v="0"/>
    <n v="943.09"/>
    <n v="0"/>
    <n v="2555.85"/>
    <n v="1540.43"/>
    <n v="2309.84"/>
    <n v="259.31"/>
    <n v="634.04"/>
    <n v="0"/>
    <n v="0"/>
    <n v="0"/>
    <n v="0"/>
    <n v="0"/>
    <n v="228.72"/>
    <n v="1706.38"/>
    <x v="108"/>
    <n v="14.16"/>
    <n v="8022.34"/>
    <n v="21313.759999999998"/>
    <n v="21538.01"/>
    <x v="3"/>
    <n v="0.28385299667535269"/>
    <m/>
    <m/>
    <s v="Yes"/>
    <s v="Yes"/>
    <s v="Yes"/>
    <s v="Yes"/>
    <s v="Yes"/>
    <s v="Yes"/>
    <s v="No"/>
    <s v="Yes"/>
    <s v="N/a"/>
    <s v="Yes"/>
    <s v="No"/>
  </r>
  <r>
    <x v="109"/>
    <n v="13.3"/>
    <n v="0"/>
    <n v="0"/>
    <n v="21.8"/>
    <n v="0"/>
    <n v="0"/>
    <n v="0"/>
    <n v="0"/>
    <n v="0"/>
    <n v="0"/>
    <n v="0.7"/>
    <n v="0"/>
    <n v="0"/>
    <n v="60.999999999999993"/>
    <n v="8.1"/>
    <n v="0"/>
    <n v="26.799999999999983"/>
    <n v="0"/>
    <n v="118.30000000000001"/>
    <n v="0"/>
    <n v="250"/>
    <n v="156.9"/>
    <n v="230.5"/>
    <n v="24"/>
    <n v="63.15"/>
    <n v="0"/>
    <n v="0"/>
    <n v="0"/>
    <n v="0"/>
    <n v="0"/>
    <n v="20.8"/>
    <n v="170.55000000000004"/>
    <n v="93.1"/>
    <n v="4.7818437158315392"/>
    <n v="762.5"/>
    <n v="2056.8199665214788"/>
    <n v="2100.2335696985315"/>
    <n v="9.5"/>
    <n v="140"/>
    <n v="0"/>
    <n v="0"/>
    <n v="229.47"/>
    <n v="0"/>
    <n v="0"/>
    <n v="0"/>
    <n v="0"/>
    <n v="0"/>
    <n v="0"/>
    <n v="7.37"/>
    <n v="0"/>
    <n v="0"/>
    <n v="642.11"/>
    <n v="85.26"/>
    <n v="0"/>
    <n v="282.11"/>
    <n v="0"/>
    <n v="1245.26"/>
    <n v="0"/>
    <n v="2631.58"/>
    <n v="1651.58"/>
    <n v="2426.3200000000002"/>
    <n v="252.63"/>
    <n v="664.74"/>
    <n v="0"/>
    <n v="0"/>
    <n v="0"/>
    <n v="0"/>
    <n v="0"/>
    <n v="218.95"/>
    <n v="1795.26"/>
    <x v="109"/>
    <n v="50.34"/>
    <n v="8026.32"/>
    <n v="21650.74"/>
    <n v="22107.72"/>
    <x v="3"/>
    <n v="0.28387929869052225"/>
    <m/>
    <m/>
    <s v="Yes"/>
    <s v="Yes"/>
    <s v="Yes"/>
    <s v="Yes"/>
    <s v="Yes"/>
    <s v="Yes"/>
    <s v="No"/>
    <s v="Yes"/>
    <s v="N/a"/>
    <s v="Yes"/>
    <s v="No"/>
  </r>
  <r>
    <x v="110"/>
    <n v="61.9"/>
    <n v="0"/>
    <n v="0"/>
    <n v="25.5"/>
    <n v="0"/>
    <n v="0"/>
    <n v="0"/>
    <n v="0"/>
    <n v="0"/>
    <n v="0"/>
    <n v="4.3"/>
    <n v="0"/>
    <n v="0"/>
    <n v="73"/>
    <n v="9.8000000000000007"/>
    <n v="0"/>
    <n v="29.400000000000006"/>
    <n v="0"/>
    <n v="66.099999999999994"/>
    <n v="0"/>
    <n v="270"/>
    <n v="167.9"/>
    <n v="240"/>
    <n v="23.75"/>
    <n v="67.40625"/>
    <n v="0"/>
    <n v="0"/>
    <n v="0"/>
    <n v="0"/>
    <n v="0"/>
    <n v="20.399999999999999"/>
    <n v="175.94374999999999"/>
    <n v="102.1"/>
    <n v="6.6256479801115704"/>
    <n v="733.1"/>
    <n v="2143.568269387164"/>
    <n v="2186.8240655873765"/>
    <n v="9.6"/>
    <n v="644.79"/>
    <n v="0"/>
    <n v="0"/>
    <n v="265.63"/>
    <n v="0"/>
    <n v="0"/>
    <n v="0"/>
    <n v="0"/>
    <n v="0"/>
    <n v="0"/>
    <n v="44.79"/>
    <n v="0"/>
    <n v="0"/>
    <n v="760.42"/>
    <n v="102.08"/>
    <n v="0"/>
    <n v="306.25"/>
    <n v="0"/>
    <n v="688.54"/>
    <n v="0"/>
    <n v="2812.5"/>
    <n v="1748.96"/>
    <n v="2500"/>
    <n v="247.4"/>
    <n v="702.15"/>
    <n v="0"/>
    <n v="0"/>
    <n v="0"/>
    <n v="0"/>
    <n v="0"/>
    <n v="212.5"/>
    <n v="1832.75"/>
    <x v="110"/>
    <n v="69.02"/>
    <n v="7636.46"/>
    <n v="22328.84"/>
    <n v="22779.42"/>
    <x v="3"/>
    <n v="0.28417849898580122"/>
    <m/>
    <m/>
    <s v="Yes"/>
    <s v="Yes"/>
    <s v="Yes"/>
    <s v="Yes"/>
    <s v="Yes"/>
    <s v="Yes"/>
    <s v="No"/>
    <s v="Yes"/>
    <s v="N/a"/>
    <s v="Yes"/>
    <s v="No"/>
  </r>
  <r>
    <x v="111"/>
    <n v="44.8"/>
    <n v="2.5"/>
    <n v="0"/>
    <n v="25.4"/>
    <n v="0"/>
    <n v="0"/>
    <n v="0"/>
    <n v="0"/>
    <n v="0"/>
    <n v="0"/>
    <n v="2.9"/>
    <n v="0"/>
    <n v="0"/>
    <n v="72"/>
    <n v="9.5"/>
    <n v="0"/>
    <n v="28"/>
    <n v="0"/>
    <n v="96.15"/>
    <n v="0"/>
    <n v="281.25"/>
    <n v="174.1"/>
    <n v="249.125"/>
    <n v="23.375"/>
    <n v="70.368750000000006"/>
    <n v="0"/>
    <n v="0"/>
    <n v="0"/>
    <n v="0"/>
    <n v="0"/>
    <n v="20.100000000000001"/>
    <n v="182.03125"/>
    <n v="107.15"/>
    <n v="9.2633699543006092"/>
    <n v="718.4"/>
    <n v="2232.2460532447058"/>
    <n v="2279.834232359151"/>
    <n v="9.6"/>
    <n v="466.67"/>
    <n v="26.04"/>
    <n v="0"/>
    <n v="264.58"/>
    <n v="0"/>
    <n v="0"/>
    <n v="0"/>
    <n v="0"/>
    <n v="0"/>
    <n v="0"/>
    <n v="30.21"/>
    <n v="0"/>
    <n v="0"/>
    <n v="750"/>
    <n v="98.96"/>
    <n v="0"/>
    <n v="291.67"/>
    <n v="0"/>
    <n v="1001.56"/>
    <n v="0"/>
    <n v="2929.69"/>
    <n v="1813.54"/>
    <n v="2595.0500000000002"/>
    <n v="243.49"/>
    <n v="733.01"/>
    <n v="0"/>
    <n v="0"/>
    <n v="0"/>
    <n v="0"/>
    <n v="0"/>
    <n v="209.38"/>
    <n v="1896.16"/>
    <x v="111"/>
    <n v="96.49"/>
    <n v="7483.33"/>
    <n v="23252.560000000001"/>
    <n v="23748.27"/>
    <x v="3"/>
    <n v="0.28434746884557449"/>
    <m/>
    <m/>
    <s v="Yes"/>
    <s v="Yes"/>
    <s v="Yes"/>
    <s v="Yes"/>
    <s v="Yes"/>
    <s v="Yes"/>
    <s v="No"/>
    <s v="Yes"/>
    <s v="N/a"/>
    <s v="Yes"/>
    <s v="No"/>
  </r>
  <r>
    <x v="112"/>
    <n v="44.8"/>
    <n v="12.25"/>
    <n v="0"/>
    <n v="25.2"/>
    <n v="0"/>
    <n v="0"/>
    <n v="0"/>
    <n v="0"/>
    <n v="0"/>
    <n v="0"/>
    <n v="2.7"/>
    <n v="0"/>
    <n v="0"/>
    <n v="71"/>
    <n v="10.1"/>
    <n v="0"/>
    <n v="22.75"/>
    <n v="0"/>
    <n v="111.69999999999999"/>
    <n v="0"/>
    <n v="300.5"/>
    <n v="184"/>
    <n v="261.375"/>
    <n v="25.875"/>
    <n v="72.987499999999997"/>
    <n v="0"/>
    <n v="0"/>
    <n v="0"/>
    <n v="0"/>
    <n v="0"/>
    <n v="19.899999999999999"/>
    <n v="194.36250000000001"/>
    <n v="116.5"/>
    <n v="13.993800511207899"/>
    <n v="711.3"/>
    <n v="2328.8555928410888"/>
    <n v="2379.3101346905191"/>
    <n v="9.9"/>
    <n v="452.53"/>
    <n v="123.74"/>
    <n v="0"/>
    <n v="254.55"/>
    <n v="0"/>
    <n v="0"/>
    <n v="0"/>
    <n v="0"/>
    <n v="0"/>
    <n v="0"/>
    <n v="27.27"/>
    <n v="0"/>
    <n v="0"/>
    <n v="717.17"/>
    <n v="102.02"/>
    <n v="0"/>
    <n v="229.8"/>
    <n v="0"/>
    <n v="1128.28"/>
    <n v="0"/>
    <n v="3035.35"/>
    <n v="1858.59"/>
    <n v="2640.15"/>
    <n v="261.36"/>
    <n v="737.25"/>
    <n v="0"/>
    <n v="0"/>
    <n v="0"/>
    <n v="0"/>
    <n v="0"/>
    <n v="201.01"/>
    <n v="1963.26"/>
    <x v="112"/>
    <n v="141.35"/>
    <n v="7184.85"/>
    <n v="23523.79"/>
    <n v="24033.439999999999"/>
    <x v="3"/>
    <n v="0.28427616121453098"/>
    <m/>
    <m/>
    <s v="Yes"/>
    <s v="Yes"/>
    <s v="Yes"/>
    <s v="Yes"/>
    <s v="Yes"/>
    <s v="Yes"/>
    <s v="No"/>
    <s v="Yes"/>
    <s v="N/a"/>
    <s v="Yes"/>
    <s v="No"/>
  </r>
  <r>
    <x v="113"/>
    <n v="47.2"/>
    <n v="19.25"/>
    <n v="0"/>
    <n v="27.4"/>
    <n v="0"/>
    <n v="0"/>
    <n v="0"/>
    <n v="0"/>
    <n v="0"/>
    <n v="0"/>
    <n v="2.7"/>
    <n v="0"/>
    <n v="0"/>
    <n v="73"/>
    <n v="10"/>
    <n v="0"/>
    <n v="18.649999999999977"/>
    <n v="0"/>
    <n v="114.80000000000001"/>
    <n v="0"/>
    <n v="313"/>
    <n v="192.3"/>
    <n v="303.5"/>
    <n v="30"/>
    <n v="143.8125"/>
    <n v="0"/>
    <n v="0"/>
    <n v="0"/>
    <n v="0"/>
    <n v="0"/>
    <n v="19.3"/>
    <n v="170.38749999999999"/>
    <n v="120.69999999999999"/>
    <n v="21.588727836049959"/>
    <n v="706.2"/>
    <n v="2411.8662199620899"/>
    <n v="2426.523848655801"/>
    <n v="9.8000000000000007"/>
    <n v="481.63"/>
    <n v="196.43"/>
    <n v="0"/>
    <n v="279.58999999999997"/>
    <n v="0"/>
    <n v="0"/>
    <n v="0"/>
    <n v="0"/>
    <n v="0"/>
    <n v="0"/>
    <n v="27.55"/>
    <n v="0"/>
    <n v="0"/>
    <n v="744.9"/>
    <n v="102.04"/>
    <n v="0"/>
    <n v="190.31"/>
    <n v="0"/>
    <n v="1171.43"/>
    <n v="0"/>
    <n v="3193.88"/>
    <n v="1962.24"/>
    <n v="3096.94"/>
    <n v="306.12"/>
    <n v="1467.47"/>
    <n v="0"/>
    <n v="0"/>
    <n v="0"/>
    <n v="0"/>
    <n v="0"/>
    <n v="196.94"/>
    <n v="1738.65"/>
    <x v="113"/>
    <n v="220.29"/>
    <n v="7206.12"/>
    <n v="24610.880000000001"/>
    <n v="24760.45"/>
    <x v="3"/>
    <n v="0.28443692389900699"/>
    <m/>
    <m/>
    <s v="Yes"/>
    <s v="Yes"/>
    <s v="Yes"/>
    <s v="Yes"/>
    <s v="Yes"/>
    <s v="Yes"/>
    <s v="No"/>
    <s v="Yes"/>
    <s v="N/a"/>
    <s v="Yes"/>
    <s v="No"/>
  </r>
  <r>
    <x v="114"/>
    <n v="69.400000000000006"/>
    <n v="20.25"/>
    <n v="0"/>
    <n v="28.4"/>
    <n v="0"/>
    <n v="0"/>
    <n v="0"/>
    <n v="0"/>
    <n v="0"/>
    <n v="0"/>
    <n v="2.6"/>
    <n v="0"/>
    <n v="0"/>
    <n v="81"/>
    <n v="7.6"/>
    <n v="0"/>
    <n v="17.449999999999989"/>
    <n v="0"/>
    <n v="112.80000000000001"/>
    <n v="0"/>
    <n v="339.5"/>
    <n v="559.5"/>
    <n v="592"/>
    <n v="26.75"/>
    <n v="550.33749999999998"/>
    <n v="0"/>
    <n v="0"/>
    <n v="0"/>
    <n v="0"/>
    <n v="0"/>
    <n v="21.7"/>
    <n v="46.712500000000098"/>
    <n v="-220"/>
    <n v="293.98618130235252"/>
    <n v="1162"/>
    <n v="2554.5036345354956"/>
    <n v="2795.8055776011743"/>
    <n v="9.8000000000000007"/>
    <n v="708.16"/>
    <n v="206.63"/>
    <n v="0"/>
    <n v="289.8"/>
    <n v="0"/>
    <n v="0"/>
    <n v="0"/>
    <n v="0"/>
    <n v="0"/>
    <n v="0"/>
    <n v="26.53"/>
    <n v="0"/>
    <n v="0"/>
    <n v="826.53"/>
    <n v="77.55"/>
    <n v="0"/>
    <n v="178.06"/>
    <n v="0"/>
    <n v="1151.02"/>
    <n v="0"/>
    <n v="3464.29"/>
    <n v="5709.18"/>
    <n v="6040.82"/>
    <n v="272.95999999999998"/>
    <n v="5615.69"/>
    <n v="0"/>
    <n v="0"/>
    <n v="0"/>
    <n v="0"/>
    <n v="0"/>
    <n v="221.43"/>
    <n v="476.66"/>
    <x v="114"/>
    <n v="2999.86"/>
    <n v="11857.14"/>
    <n v="26066.36"/>
    <n v="28528.63"/>
    <x v="3"/>
    <n v="0.25720411663807891"/>
    <m/>
    <m/>
    <s v="Yes"/>
    <s v="Yes"/>
    <s v="Yes"/>
    <s v="Yes"/>
    <s v="Yes"/>
    <s v="Yes"/>
    <s v="No"/>
    <s v="Yes"/>
    <s v="N/a"/>
    <s v="Yes"/>
    <s v="No"/>
  </r>
  <r>
    <x v="115"/>
    <n v="128.30000000000001"/>
    <n v="21"/>
    <n v="0"/>
    <n v="31"/>
    <n v="0"/>
    <n v="0"/>
    <n v="0"/>
    <n v="0"/>
    <n v="0"/>
    <n v="0"/>
    <n v="2.7"/>
    <n v="0"/>
    <n v="0"/>
    <n v="121"/>
    <n v="6.8"/>
    <n v="0"/>
    <n v="26"/>
    <n v="0"/>
    <n v="110.44999999999999"/>
    <n v="0"/>
    <n v="447.25"/>
    <n v="1559.2"/>
    <n v="1544.2000000000003"/>
    <n v="15"/>
    <n v="1326.9125000000001"/>
    <n v="0"/>
    <n v="0"/>
    <n v="0"/>
    <n v="0"/>
    <n v="0"/>
    <n v="60.2"/>
    <n v="172.08749999999998"/>
    <n v="-1111.95"/>
    <n v="853.79636126785829"/>
    <n v="2189.8000000000002"/>
    <n v="3032.6073305003429"/>
    <n v="3264.9088932330023"/>
    <n v="11"/>
    <n v="1166.3599999999999"/>
    <n v="190.91"/>
    <n v="0"/>
    <n v="281.82"/>
    <n v="0"/>
    <n v="0"/>
    <n v="0"/>
    <n v="0"/>
    <n v="0"/>
    <n v="0"/>
    <n v="24.55"/>
    <n v="0"/>
    <n v="0"/>
    <n v="1100"/>
    <n v="61.82"/>
    <n v="0"/>
    <n v="236.36"/>
    <n v="0"/>
    <n v="1004.09"/>
    <n v="0"/>
    <n v="4065.91"/>
    <n v="14174.55"/>
    <n v="14038.18"/>
    <n v="136.36000000000001"/>
    <n v="12062.84"/>
    <n v="0"/>
    <n v="0"/>
    <n v="0"/>
    <n v="0"/>
    <n v="0"/>
    <n v="547.27"/>
    <n v="1564.43"/>
    <x v="115"/>
    <n v="7761.79"/>
    <n v="19907.27"/>
    <n v="27569.16"/>
    <n v="29680.99"/>
    <x v="3"/>
    <n v="0.24312420475677793"/>
    <m/>
    <m/>
    <s v="Yes"/>
    <s v="Yes"/>
    <s v="Yes"/>
    <s v="Yes"/>
    <s v="Yes"/>
    <s v="Yes"/>
    <s v="No"/>
    <s v="Yes"/>
    <s v="N/a"/>
    <s v="Yes"/>
    <s v="No"/>
  </r>
  <r>
    <x v="116"/>
    <n v="205"/>
    <n v="21.25"/>
    <n v="0"/>
    <n v="31.2"/>
    <n v="0"/>
    <n v="139.9"/>
    <n v="0"/>
    <n v="0"/>
    <n v="0"/>
    <n v="0"/>
    <n v="2.6"/>
    <n v="0"/>
    <n v="0"/>
    <n v="127"/>
    <n v="7.9"/>
    <n v="0"/>
    <n v="38.549999999999955"/>
    <n v="0"/>
    <n v="70.850000000000023"/>
    <n v="0"/>
    <n v="644.25"/>
    <n v="2198.1"/>
    <n v="2189.85"/>
    <n v="8.25"/>
    <n v="1946.53125"/>
    <n v="0"/>
    <n v="0"/>
    <n v="0"/>
    <n v="0"/>
    <n v="0"/>
    <n v="127.3"/>
    <n v="124.26874999999968"/>
    <n v="-1553.85"/>
    <n v="1033.7016977858302"/>
    <n v="4063.6"/>
    <n v="3581.8950219721078"/>
    <n v="3983.5657167176587"/>
    <n v="13"/>
    <n v="1576.92"/>
    <n v="163.46"/>
    <n v="0"/>
    <n v="240"/>
    <n v="0"/>
    <n v="1076.1500000000001"/>
    <n v="0"/>
    <n v="0"/>
    <n v="0"/>
    <n v="0"/>
    <n v="20"/>
    <n v="0"/>
    <n v="0"/>
    <n v="976.92"/>
    <n v="60.77"/>
    <n v="0"/>
    <n v="296.54000000000002"/>
    <n v="0"/>
    <n v="545"/>
    <n v="0"/>
    <n v="4955.7700000000004"/>
    <n v="16908.46"/>
    <n v="16845"/>
    <n v="63.46"/>
    <n v="14973.32"/>
    <n v="0"/>
    <n v="0"/>
    <n v="0"/>
    <n v="0"/>
    <n v="0"/>
    <n v="979.23"/>
    <n v="955.91"/>
    <x v="116"/>
    <n v="7951.55"/>
    <n v="31258.46"/>
    <n v="27553.040000000001"/>
    <n v="30642.81"/>
    <x v="3"/>
    <n v="0.23275039745627982"/>
    <m/>
    <m/>
    <s v="Yes"/>
    <s v="Yes"/>
    <s v="Yes"/>
    <s v="Yes"/>
    <s v="Yes"/>
    <s v="Yes"/>
    <s v="No"/>
    <s v="Yes"/>
    <s v="N/a"/>
    <s v="Yes"/>
    <s v="No"/>
  </r>
  <r>
    <x v="117"/>
    <n v="239.5"/>
    <n v="22"/>
    <n v="0"/>
    <n v="31.7"/>
    <n v="0"/>
    <n v="220.2"/>
    <n v="0"/>
    <n v="0"/>
    <n v="0"/>
    <n v="0"/>
    <n v="2.6"/>
    <n v="0"/>
    <n v="0"/>
    <n v="110"/>
    <n v="8.3000000000000007"/>
    <n v="0"/>
    <n v="72.900000000000091"/>
    <n v="0"/>
    <n v="156.79999999999995"/>
    <n v="0"/>
    <n v="864"/>
    <n v="2696.2"/>
    <n v="2689.7"/>
    <n v="6.5"/>
    <n v="2283.9437500000004"/>
    <n v="0"/>
    <n v="0"/>
    <n v="0"/>
    <n v="0"/>
    <n v="0"/>
    <n v="189.9"/>
    <n v="222.35624999999953"/>
    <n v="-1832.1999999999998"/>
    <n v="1240.3222018926078"/>
    <n v="5921.1"/>
    <n v="4380.3601951093651"/>
    <n v="4772.2784571472257"/>
    <n v="16.3"/>
    <n v="1469.33"/>
    <n v="134.97"/>
    <n v="0"/>
    <n v="194.48"/>
    <n v="0"/>
    <n v="1350.92"/>
    <n v="0"/>
    <n v="0"/>
    <n v="0"/>
    <n v="0"/>
    <n v="15.95"/>
    <n v="0"/>
    <n v="0"/>
    <n v="674.85"/>
    <n v="50.92"/>
    <n v="0"/>
    <n v="447.24"/>
    <n v="0"/>
    <n v="961.96"/>
    <n v="0"/>
    <n v="5300.61"/>
    <n v="16541.099999999999"/>
    <n v="16501.23"/>
    <n v="39.880000000000003"/>
    <n v="14011.92"/>
    <n v="0"/>
    <n v="0"/>
    <n v="0"/>
    <n v="0"/>
    <n v="0"/>
    <n v="1165.03"/>
    <n v="1364.15"/>
    <x v="117"/>
    <n v="7609.34"/>
    <n v="36325.769999999997"/>
    <n v="26873.38"/>
    <n v="29277.78"/>
    <x v="3"/>
    <n v="0.22754604280736684"/>
    <m/>
    <m/>
    <s v="Yes"/>
    <s v="No"/>
    <s v="No"/>
    <s v="No"/>
    <s v="No"/>
    <s v="Yes"/>
    <s v="No"/>
    <s v="Yes"/>
    <s v="Yes"/>
    <s v="Yes"/>
    <s v="No"/>
  </r>
  <r>
    <x v="118"/>
    <n v="291.2"/>
    <n v="22"/>
    <n v="0"/>
    <n v="30.3"/>
    <n v="0"/>
    <n v="285"/>
    <n v="0"/>
    <n v="0"/>
    <n v="0"/>
    <n v="0"/>
    <n v="2.5"/>
    <n v="0"/>
    <n v="0"/>
    <n v="162"/>
    <n v="12.4"/>
    <n v="0"/>
    <n v="83.600000000000023"/>
    <n v="0"/>
    <n v="155.25"/>
    <n v="0"/>
    <n v="1044.25"/>
    <n v="2579.3000000000002"/>
    <n v="2565.0500000000002"/>
    <n v="14.25"/>
    <n v="1824.2749999999999"/>
    <n v="0"/>
    <n v="0"/>
    <n v="0"/>
    <n v="0"/>
    <n v="0"/>
    <n v="270"/>
    <n v="485.02500000000049"/>
    <n v="-1535.0500000000002"/>
    <n v="1123.7564443910946"/>
    <n v="7481.1"/>
    <n v="5060.4799598886357"/>
    <n v="5244.9647033335941"/>
    <n v="19.899999999999999"/>
    <n v="1463.32"/>
    <n v="110.55"/>
    <n v="0"/>
    <n v="152.26"/>
    <n v="0"/>
    <n v="1432.16"/>
    <n v="0"/>
    <n v="0"/>
    <n v="0"/>
    <n v="0"/>
    <n v="12.56"/>
    <n v="0"/>
    <n v="0"/>
    <n v="814.07"/>
    <n v="62.31"/>
    <n v="0"/>
    <n v="420.1"/>
    <n v="0"/>
    <n v="780.15"/>
    <n v="0"/>
    <n v="5247.49"/>
    <n v="12961.31"/>
    <n v="12889.7"/>
    <n v="71.61"/>
    <n v="9167.2099999999991"/>
    <n v="0"/>
    <n v="0"/>
    <n v="0"/>
    <n v="0"/>
    <n v="0"/>
    <n v="1356.78"/>
    <n v="2437.31"/>
    <x v="118"/>
    <n v="5647.02"/>
    <n v="37593.47"/>
    <n v="25429.55"/>
    <n v="26356.61"/>
    <x v="2"/>
    <m/>
    <m/>
    <m/>
    <s v="Yes"/>
    <s v="No"/>
    <s v="No"/>
    <s v="No"/>
    <s v="No"/>
    <s v="Yes"/>
    <s v="No"/>
    <s v="Yes"/>
    <s v="Yes"/>
    <s v="Yes"/>
    <s v="No"/>
  </r>
  <r>
    <x v="119"/>
    <n v="359.1"/>
    <n v="23.5"/>
    <n v="0"/>
    <n v="40.9"/>
    <n v="0"/>
    <n v="290"/>
    <n v="0"/>
    <n v="0"/>
    <n v="0"/>
    <n v="0"/>
    <n v="2.6"/>
    <n v="0"/>
    <n v="0"/>
    <n v="283"/>
    <n v="22.6"/>
    <n v="0"/>
    <n v="20.549999999999955"/>
    <n v="0"/>
    <n v="155.25"/>
    <n v="0"/>
    <n v="1197.5"/>
    <n v="1665.8"/>
    <n v="1615.3"/>
    <n v="50.5"/>
    <n v="458.625"/>
    <n v="0"/>
    <n v="0"/>
    <n v="0"/>
    <n v="0"/>
    <n v="0"/>
    <n v="332"/>
    <n v="875.17499999999984"/>
    <n v="-468.29999999999995"/>
    <n v="319.20877819971906"/>
    <n v="7875.6"/>
    <n v="5463.5860519606667"/>
    <n v="5716.3440057698554"/>
    <n v="21.9"/>
    <n v="1639.73"/>
    <n v="107.31"/>
    <n v="0"/>
    <n v="186.76"/>
    <n v="0"/>
    <n v="1324.2"/>
    <n v="0"/>
    <n v="0"/>
    <n v="0"/>
    <n v="0"/>
    <n v="11.87"/>
    <n v="0"/>
    <n v="0"/>
    <n v="1292.24"/>
    <n v="103.2"/>
    <n v="0"/>
    <n v="93.84"/>
    <n v="0"/>
    <n v="708.9"/>
    <n v="0"/>
    <n v="5468.04"/>
    <n v="7606.39"/>
    <n v="7375.8"/>
    <n v="230.59"/>
    <n v="2094.1799999999998"/>
    <n v="0"/>
    <n v="0"/>
    <n v="0"/>
    <n v="0"/>
    <n v="0"/>
    <n v="1515.98"/>
    <n v="3996.23"/>
    <x v="119"/>
    <n v="1457.57"/>
    <n v="35961.64"/>
    <n v="24947.88"/>
    <n v="26102.03"/>
    <x v="2"/>
    <m/>
    <m/>
    <m/>
    <s v="Yes"/>
    <s v="No"/>
    <s v="No"/>
    <s v="No"/>
    <s v="No"/>
    <s v="Yes"/>
    <s v="No"/>
    <s v="Yes"/>
    <s v="Yes"/>
    <s v="Yes"/>
    <s v="No"/>
  </r>
  <r>
    <x v="120"/>
    <n v="394.1"/>
    <n v="32.75"/>
    <n v="0"/>
    <n v="47.7"/>
    <n v="0"/>
    <n v="219.2"/>
    <n v="0"/>
    <n v="0"/>
    <n v="0"/>
    <n v="0"/>
    <n v="2.6"/>
    <n v="0"/>
    <n v="0"/>
    <n v="334"/>
    <n v="26.6"/>
    <n v="0"/>
    <n v="38.549999999999955"/>
    <n v="0"/>
    <n v="155.25"/>
    <n v="0"/>
    <n v="1250.7499999999998"/>
    <n v="1188.0999999999999"/>
    <n v="1135.75"/>
    <n v="117"/>
    <n v="181"/>
    <n v="39.735628105039005"/>
    <n v="0"/>
    <n v="0"/>
    <n v="0"/>
    <n v="119.5945945945946"/>
    <n v="342.3"/>
    <n v="570.11977730036631"/>
    <n v="62.649999999999864"/>
    <n v="2.0988208283762004"/>
    <n v="7623.1"/>
    <n v="5581.9189001627237"/>
    <n v="5060.3107351392719"/>
    <n v="25.3"/>
    <n v="1557.71"/>
    <n v="129.44999999999999"/>
    <n v="0"/>
    <n v="188.54"/>
    <n v="0"/>
    <n v="866.4"/>
    <n v="0"/>
    <n v="0"/>
    <n v="0"/>
    <n v="0"/>
    <n v="10.28"/>
    <n v="0"/>
    <n v="0"/>
    <n v="1320.16"/>
    <n v="105.14"/>
    <n v="0"/>
    <n v="152.37"/>
    <n v="0"/>
    <n v="613.64"/>
    <n v="0"/>
    <n v="4943.68"/>
    <n v="4696.05"/>
    <n v="4489.13"/>
    <n v="462.45"/>
    <n v="715.42"/>
    <n v="157.06"/>
    <n v="0"/>
    <n v="0"/>
    <n v="0"/>
    <n v="472.71"/>
    <n v="1352.96"/>
    <n v="2253.44"/>
    <x v="120"/>
    <n v="8.3000000000000007"/>
    <n v="30130.83"/>
    <n v="22062.92"/>
    <n v="20001.23"/>
    <x v="2"/>
    <m/>
    <m/>
    <m/>
    <s v="Yes"/>
    <s v="No"/>
    <s v="No"/>
    <s v="No"/>
    <s v="No"/>
    <s v="Yes"/>
    <s v="No"/>
    <s v="Yes"/>
    <s v="Yes"/>
    <s v="Yes"/>
    <s v="No"/>
  </r>
  <r>
    <x v="121"/>
    <n v="398.8"/>
    <n v="50"/>
    <n v="0"/>
    <n v="52.2"/>
    <n v="0"/>
    <n v="48.1"/>
    <n v="0"/>
    <n v="0"/>
    <n v="0"/>
    <n v="0"/>
    <n v="2.6"/>
    <n v="0"/>
    <n v="0"/>
    <n v="324"/>
    <n v="19.600000000000001"/>
    <n v="0"/>
    <n v="229.60000000000002"/>
    <n v="0"/>
    <n v="108.34999999999991"/>
    <n v="0"/>
    <n v="1233.25"/>
    <n v="1070.0999999999999"/>
    <n v="1136.7500000000002"/>
    <n v="149.25"/>
    <n v="154.75"/>
    <n v="41.669428672817567"/>
    <n v="0"/>
    <n v="0"/>
    <n v="0"/>
    <n v="123.31081081081081"/>
    <n v="323.2"/>
    <n v="643.06976051637173"/>
    <n v="163.15000000000009"/>
    <n v="53.372554028508652"/>
    <n v="7720.5"/>
    <n v="4689.9983488082689"/>
    <n v="4470.9817411697122"/>
    <n v="23.1"/>
    <n v="1726.41"/>
    <n v="216.45"/>
    <n v="0"/>
    <n v="225.97"/>
    <n v="0"/>
    <n v="208.23"/>
    <n v="0"/>
    <n v="0"/>
    <n v="0"/>
    <n v="0"/>
    <n v="11.26"/>
    <n v="0"/>
    <n v="0"/>
    <n v="1402.6"/>
    <n v="84.85"/>
    <n v="0"/>
    <n v="993.94"/>
    <n v="0"/>
    <n v="469.05"/>
    <n v="0"/>
    <n v="5338.74"/>
    <n v="4632.47"/>
    <n v="4921"/>
    <n v="646.1"/>
    <n v="669.91"/>
    <n v="180.39"/>
    <n v="0"/>
    <n v="0"/>
    <n v="0"/>
    <n v="533.80999999999995"/>
    <n v="1399.13"/>
    <n v="2783.85"/>
    <x v="121"/>
    <n v="231.05"/>
    <n v="33422.080000000002"/>
    <n v="20303.02"/>
    <n v="19354.900000000001"/>
    <x v="2"/>
    <m/>
    <m/>
    <m/>
    <s v="Yes"/>
    <s v="No"/>
    <s v="No"/>
    <s v="No"/>
    <s v="No"/>
    <s v="Yes"/>
    <s v="No"/>
    <s v="Yes"/>
    <s v="Yes"/>
    <s v="Yes"/>
    <s v="No"/>
  </r>
  <r>
    <x v="122"/>
    <n v="379"/>
    <n v="59.75"/>
    <n v="0"/>
    <n v="56.9"/>
    <n v="0"/>
    <n v="19"/>
    <n v="0"/>
    <n v="0"/>
    <n v="0"/>
    <n v="0"/>
    <n v="2.8"/>
    <n v="0"/>
    <n v="0"/>
    <n v="280"/>
    <n v="22.2"/>
    <n v="0"/>
    <n v="94.350000000000136"/>
    <n v="0"/>
    <n v="239"/>
    <n v="0"/>
    <n v="1153"/>
    <n v="812.5"/>
    <n v="1029"/>
    <n v="112"/>
    <n v="116.75"/>
    <n v="38.358126330730983"/>
    <n v="0"/>
    <n v="0"/>
    <n v="0"/>
    <n v="114.52702702702703"/>
    <n v="324"/>
    <n v="547.36484664224201"/>
    <n v="340.5"/>
    <n v="12.141623665253301"/>
    <n v="7812.6"/>
    <n v="4311.761175457068"/>
    <n v="4212.3366516703354"/>
    <n v="19.899999999999999"/>
    <n v="1904.52"/>
    <n v="300.25"/>
    <n v="0"/>
    <n v="285.93"/>
    <n v="0"/>
    <n v="95.48"/>
    <n v="0"/>
    <n v="0"/>
    <n v="0"/>
    <n v="0"/>
    <n v="14.07"/>
    <n v="0"/>
    <n v="0"/>
    <n v="1407.04"/>
    <n v="111.56"/>
    <n v="0"/>
    <n v="474.12"/>
    <n v="0"/>
    <n v="1201.01"/>
    <n v="0"/>
    <n v="5793.97"/>
    <n v="4082.91"/>
    <n v="5170.8500000000004"/>
    <n v="562.80999999999995"/>
    <n v="586.67999999999995"/>
    <n v="192.75"/>
    <n v="0"/>
    <n v="0"/>
    <n v="0"/>
    <n v="575.51"/>
    <n v="1628.14"/>
    <n v="2750.58"/>
    <x v="122"/>
    <n v="61.01"/>
    <n v="39259.300000000003"/>
    <n v="21667.14"/>
    <n v="21167.52"/>
    <x v="2"/>
    <m/>
    <m/>
    <m/>
    <s v="Yes"/>
    <s v="No"/>
    <s v="No"/>
    <s v="No"/>
    <s v="No"/>
    <s v="Yes"/>
    <s v="No"/>
    <s v="Yes"/>
    <s v="Yes"/>
    <s v="Yes"/>
    <s v="No"/>
  </r>
  <r>
    <x v="123"/>
    <n v="330"/>
    <n v="62.5"/>
    <n v="0"/>
    <n v="57.8"/>
    <n v="0"/>
    <n v="23.3"/>
    <n v="0"/>
    <n v="0"/>
    <n v="0"/>
    <n v="0"/>
    <n v="2.5"/>
    <n v="0"/>
    <n v="0"/>
    <n v="268"/>
    <n v="21.6"/>
    <n v="0"/>
    <n v="71.5"/>
    <n v="0"/>
    <n v="237.29999999999995"/>
    <n v="0"/>
    <n v="1074.5"/>
    <n v="748.8"/>
    <n v="956"/>
    <n v="90.25"/>
    <n v="104"/>
    <n v="36.848172462739498"/>
    <n v="0"/>
    <n v="0"/>
    <n v="0"/>
    <n v="109.79729729729728"/>
    <n v="307.3"/>
    <n v="488.30453023996313"/>
    <n v="325.70000000000005"/>
    <n v="28.5834057119501"/>
    <n v="7707.5"/>
    <n v="4189.8793433521569"/>
    <n v="4244.3892505025351"/>
    <n v="18.7"/>
    <n v="1764.71"/>
    <n v="334.22"/>
    <n v="0"/>
    <n v="309.08999999999997"/>
    <n v="0"/>
    <n v="124.6"/>
    <n v="0"/>
    <n v="0"/>
    <n v="0"/>
    <n v="0"/>
    <n v="13.37"/>
    <n v="0"/>
    <n v="0"/>
    <n v="1433.16"/>
    <n v="115.51"/>
    <n v="0"/>
    <n v="382.35"/>
    <n v="0"/>
    <n v="1268.98"/>
    <n v="0"/>
    <n v="5745.99"/>
    <n v="4004.28"/>
    <n v="5112.3"/>
    <n v="482.62"/>
    <n v="556.15"/>
    <n v="197.05"/>
    <n v="0"/>
    <n v="0"/>
    <n v="0"/>
    <n v="587.15"/>
    <n v="1643.32"/>
    <n v="2611.25"/>
    <x v="123"/>
    <n v="152.85"/>
    <n v="41216.58"/>
    <n v="22405.77"/>
    <n v="22697.27"/>
    <x v="2"/>
    <m/>
    <m/>
    <m/>
    <s v="Yes"/>
    <s v="No"/>
    <s v="No"/>
    <s v="No"/>
    <s v="No"/>
    <s v="Yes"/>
    <s v="No"/>
    <s v="Yes"/>
    <s v="Yes"/>
    <s v="Yes"/>
    <s v="No"/>
  </r>
  <r>
    <x v="124"/>
    <n v="336.5"/>
    <n v="64.25"/>
    <n v="0"/>
    <n v="59.5"/>
    <n v="0"/>
    <n v="18.100000000000001"/>
    <n v="0"/>
    <n v="0"/>
    <n v="0"/>
    <n v="0"/>
    <n v="1.2"/>
    <n v="0"/>
    <n v="0"/>
    <n v="233.99999999999997"/>
    <n v="22.9"/>
    <n v="0"/>
    <n v="62.949999999999932"/>
    <n v="0"/>
    <n v="233.60000000000002"/>
    <n v="0"/>
    <n v="1033"/>
    <n v="750.8"/>
    <n v="951.50000000000011"/>
    <n v="103.25"/>
    <n v="105.75"/>
    <n v="37.536923349893506"/>
    <n v="0"/>
    <n v="0"/>
    <n v="0"/>
    <n v="111.48648648648647"/>
    <n v="312.2"/>
    <n v="487.77659016362014"/>
    <n v="282.20000000000005"/>
    <n v="22.006692893271381"/>
    <n v="7665.9"/>
    <n v="4306.3847037426995"/>
    <n v="4375.8657030726508"/>
    <n v="18.600000000000001"/>
    <n v="1809.14"/>
    <n v="345.43"/>
    <n v="0"/>
    <n v="319.89"/>
    <n v="0"/>
    <n v="97.31"/>
    <n v="0"/>
    <n v="0"/>
    <n v="0"/>
    <n v="0"/>
    <n v="6.45"/>
    <n v="0"/>
    <n v="0"/>
    <n v="1258.06"/>
    <n v="123.12"/>
    <n v="0"/>
    <n v="338.44"/>
    <n v="0"/>
    <n v="1255.9100000000001"/>
    <n v="0"/>
    <n v="5553.76"/>
    <n v="4036.56"/>
    <n v="5115.59"/>
    <n v="555.11"/>
    <n v="568.54999999999995"/>
    <n v="201.81"/>
    <n v="0"/>
    <n v="0"/>
    <n v="0"/>
    <n v="599.39"/>
    <n v="1678.49"/>
    <n v="2622.45"/>
    <x v="124"/>
    <n v="118.32"/>
    <n v="41214.519999999997"/>
    <n v="23152.61"/>
    <n v="23526.16"/>
    <x v="2"/>
    <m/>
    <m/>
    <m/>
    <s v="Yes"/>
    <s v="No"/>
    <s v="No"/>
    <s v="No"/>
    <s v="No"/>
    <s v="Yes"/>
    <s v="No"/>
    <s v="Yes"/>
    <s v="Yes"/>
    <s v="Yes"/>
    <s v="No"/>
  </r>
  <r>
    <x v="125"/>
    <n v="327.9"/>
    <n v="67.5"/>
    <n v="0"/>
    <n v="61.2"/>
    <n v="0"/>
    <n v="11.7"/>
    <n v="0"/>
    <n v="0"/>
    <n v="0"/>
    <n v="0"/>
    <n v="0.7"/>
    <n v="0"/>
    <n v="0"/>
    <n v="238"/>
    <n v="24.7"/>
    <n v="0"/>
    <n v="80.400000000000091"/>
    <n v="0"/>
    <n v="238.14999999999998"/>
    <n v="0"/>
    <n v="1050.25"/>
    <n v="776.1"/>
    <n v="984.99999999999989"/>
    <n v="125.75"/>
    <n v="112.25"/>
    <n v="39.232310149041844"/>
    <n v="0"/>
    <n v="0"/>
    <n v="0"/>
    <n v="114.18918918918916"/>
    <n v="308.2"/>
    <n v="536.87850066176895"/>
    <n v="274.14999999999998"/>
    <n v="61.214019312317888"/>
    <n v="7633.7"/>
    <n v="4371.749401742125"/>
    <n v="4294.0357997511237"/>
    <n v="18.600000000000001"/>
    <n v="1762.9"/>
    <n v="362.9"/>
    <n v="0"/>
    <n v="329.03"/>
    <n v="0"/>
    <n v="62.9"/>
    <n v="0"/>
    <n v="0"/>
    <n v="0"/>
    <n v="0"/>
    <n v="3.76"/>
    <n v="0"/>
    <n v="0"/>
    <n v="1279.57"/>
    <n v="132.80000000000001"/>
    <n v="0"/>
    <n v="432.26"/>
    <n v="0"/>
    <n v="1280.3800000000001"/>
    <n v="0"/>
    <n v="5646.51"/>
    <n v="4172.58"/>
    <n v="5295.7"/>
    <n v="676.08"/>
    <n v="603.49"/>
    <n v="210.93"/>
    <n v="0"/>
    <n v="0"/>
    <n v="0"/>
    <n v="613.91999999999996"/>
    <n v="1656.99"/>
    <n v="2886.44"/>
    <x v="125"/>
    <n v="329.11"/>
    <n v="41041.4"/>
    <n v="23504.03"/>
    <n v="23086.21"/>
    <x v="2"/>
    <m/>
    <m/>
    <m/>
    <s v="Yes"/>
    <s v="No"/>
    <s v="No"/>
    <s v="No"/>
    <s v="No"/>
    <s v="Yes"/>
    <s v="No"/>
    <s v="Yes"/>
    <s v="Yes"/>
    <s v="Yes"/>
    <s v="No"/>
  </r>
  <r>
    <x v="126"/>
    <n v="300.60000000000002"/>
    <n v="76.25"/>
    <n v="0"/>
    <n v="67.3"/>
    <n v="0"/>
    <n v="4"/>
    <n v="0"/>
    <n v="0"/>
    <n v="0"/>
    <n v="0"/>
    <n v="0.7"/>
    <n v="0"/>
    <n v="0"/>
    <n v="241"/>
    <n v="24.8"/>
    <n v="0"/>
    <n v="91.049999999999955"/>
    <n v="0"/>
    <n v="263.29999999999995"/>
    <n v="0"/>
    <n v="1069"/>
    <n v="782.4"/>
    <n v="1010.75"/>
    <n v="138.5"/>
    <n v="115.5"/>
    <n v="40.636302342086552"/>
    <n v="0"/>
    <n v="0"/>
    <n v="0"/>
    <n v="116.55405405405402"/>
    <n v="318.60000000000002"/>
    <n v="557.95964360385938"/>
    <n v="286.60000000000002"/>
    <n v="81.19710826138062"/>
    <n v="7652.7"/>
    <n v="4316.3912606489885"/>
    <n v="4438.815784435722"/>
    <n v="18.5"/>
    <n v="1624.86"/>
    <n v="412.16"/>
    <n v="0"/>
    <n v="363.78"/>
    <n v="0"/>
    <n v="21.62"/>
    <n v="0"/>
    <n v="0"/>
    <n v="0"/>
    <n v="0"/>
    <n v="3.78"/>
    <n v="0"/>
    <n v="0"/>
    <n v="1302.7"/>
    <n v="134.05000000000001"/>
    <n v="0"/>
    <n v="492.16"/>
    <n v="0"/>
    <n v="1423.24"/>
    <n v="0"/>
    <n v="5778.38"/>
    <n v="4229.1899999999996"/>
    <n v="5463.51"/>
    <n v="748.65"/>
    <n v="624.32000000000005"/>
    <n v="219.66"/>
    <n v="0"/>
    <n v="0"/>
    <n v="0"/>
    <n v="630.02"/>
    <n v="1722.16"/>
    <n v="3016"/>
    <x v="126"/>
    <n v="438.9"/>
    <n v="41365.949999999997"/>
    <n v="23331.84"/>
    <n v="23993.599999999999"/>
    <x v="2"/>
    <m/>
    <m/>
    <m/>
    <s v="Yes"/>
    <s v="No"/>
    <s v="No"/>
    <s v="No"/>
    <s v="No"/>
    <s v="Yes"/>
    <s v="No"/>
    <s v="Yes"/>
    <s v="Yes"/>
    <s v="Yes"/>
    <s v="No"/>
  </r>
  <r>
    <x v="127"/>
    <n v="311.2"/>
    <n v="80.5"/>
    <n v="0"/>
    <n v="77.3"/>
    <n v="0"/>
    <n v="0"/>
    <n v="0"/>
    <n v="0"/>
    <n v="0"/>
    <n v="0"/>
    <n v="0.6"/>
    <n v="0"/>
    <n v="0"/>
    <n v="251"/>
    <n v="27"/>
    <n v="0"/>
    <n v="95.199999999999932"/>
    <n v="0"/>
    <n v="267.95000000000005"/>
    <n v="0"/>
    <n v="1110.75"/>
    <n v="773.6"/>
    <n v="994"/>
    <n v="138.5"/>
    <n v="113.25"/>
    <n v="41.801880766501029"/>
    <n v="0"/>
    <n v="0"/>
    <n v="0"/>
    <n v="117.90540540540538"/>
    <n v="313.8"/>
    <n v="545.74271382809343"/>
    <n v="337.15"/>
    <n v="22.006692893271619"/>
    <n v="7631"/>
    <n v="4500.0786350148355"/>
    <n v="4500.1798123863291"/>
    <n v="18"/>
    <n v="1728.89"/>
    <n v="447.22"/>
    <n v="0"/>
    <n v="429.44"/>
    <n v="0"/>
    <n v="0"/>
    <n v="0"/>
    <n v="0"/>
    <n v="0"/>
    <n v="0"/>
    <n v="3.33"/>
    <n v="0"/>
    <n v="0"/>
    <n v="1394.44"/>
    <n v="150"/>
    <n v="0"/>
    <n v="528.89"/>
    <n v="0"/>
    <n v="1488.61"/>
    <n v="0"/>
    <n v="6170.83"/>
    <n v="4297.78"/>
    <n v="5522.22"/>
    <n v="769.44"/>
    <n v="629.16999999999996"/>
    <n v="232.23"/>
    <n v="0"/>
    <n v="0"/>
    <n v="0"/>
    <n v="655.03"/>
    <n v="1743.33"/>
    <n v="3031.9"/>
    <x v="127"/>
    <n v="122.26"/>
    <n v="42394.44"/>
    <n v="25000.44"/>
    <n v="25001"/>
    <x v="2"/>
    <m/>
    <m/>
    <m/>
    <s v="Yes"/>
    <s v="No"/>
    <s v="No"/>
    <s v="No"/>
    <s v="No"/>
    <s v="Yes"/>
    <s v="Yes"/>
    <s v="Yes"/>
    <s v="Yes"/>
    <s v="Yes"/>
    <s v="No"/>
  </r>
  <r>
    <x v="128"/>
    <n v="293.8"/>
    <n v="82"/>
    <n v="0"/>
    <n v="80.599999999999994"/>
    <n v="0"/>
    <n v="0"/>
    <n v="0"/>
    <n v="0"/>
    <n v="0"/>
    <n v="0"/>
    <n v="0.6"/>
    <n v="0"/>
    <n v="0"/>
    <n v="253.00000000000003"/>
    <n v="30.1"/>
    <n v="0"/>
    <n v="96.299999999999955"/>
    <n v="0"/>
    <n v="291.35000000000002"/>
    <n v="0"/>
    <n v="1127.75"/>
    <n v="760.5"/>
    <n v="1015.7499999999999"/>
    <n v="124.5"/>
    <n v="110.75"/>
    <n v="42.278708303761498"/>
    <n v="0"/>
    <n v="0"/>
    <n v="0"/>
    <n v="120.27027027027023"/>
    <n v="311.5"/>
    <n v="555.45102142596841"/>
    <n v="367.25"/>
    <n v="12.647524651305254"/>
    <n v="7620.9"/>
    <n v="4522.8365320187595"/>
    <n v="4568.0487939121267"/>
    <n v="18"/>
    <n v="1632.22"/>
    <n v="455.56"/>
    <n v="0"/>
    <n v="447.78"/>
    <n v="0"/>
    <n v="0"/>
    <n v="0"/>
    <n v="0"/>
    <n v="0"/>
    <n v="0"/>
    <n v="3.33"/>
    <n v="0"/>
    <n v="0"/>
    <n v="1405.56"/>
    <n v="167.22"/>
    <n v="0"/>
    <n v="535"/>
    <n v="0"/>
    <n v="1618.61"/>
    <n v="0"/>
    <n v="6265.28"/>
    <n v="4225"/>
    <n v="5643.06"/>
    <n v="691.67"/>
    <n v="615.28"/>
    <n v="234.88"/>
    <n v="0"/>
    <n v="0"/>
    <n v="0"/>
    <n v="668.17"/>
    <n v="1730.56"/>
    <n v="3085.84"/>
    <x v="128"/>
    <n v="70.260000000000005"/>
    <n v="42338.33"/>
    <n v="25126.87"/>
    <n v="25378.05"/>
    <x v="2"/>
    <m/>
    <m/>
    <m/>
    <s v="Yes"/>
    <s v="No"/>
    <s v="No"/>
    <s v="No"/>
    <s v="No"/>
    <s v="Yes"/>
    <s v="Yes"/>
    <s v="Yes"/>
    <s v="Yes"/>
    <s v="Yes"/>
    <s v="No"/>
  </r>
  <r>
    <x v="129"/>
    <n v="293.8"/>
    <n v="81.75"/>
    <n v="0"/>
    <n v="79.8"/>
    <n v="0"/>
    <n v="0"/>
    <n v="0"/>
    <n v="0"/>
    <n v="0"/>
    <n v="0"/>
    <n v="0.7"/>
    <n v="0"/>
    <n v="0"/>
    <n v="248"/>
    <n v="25.7"/>
    <n v="0"/>
    <n v="85.25"/>
    <n v="0"/>
    <n v="313"/>
    <n v="0"/>
    <n v="1128"/>
    <n v="781.7"/>
    <n v="1043.25"/>
    <n v="125.25"/>
    <n v="109.25"/>
    <n v="44.133037615329989"/>
    <n v="0"/>
    <n v="0"/>
    <n v="0"/>
    <n v="125.33783783783781"/>
    <n v="307.3"/>
    <n v="582.47912454683228"/>
    <n v="346.29999999999995"/>
    <n v="40.977979870229404"/>
    <n v="7596.2"/>
    <n v="4571.8608930793516"/>
    <n v="4534.2728295204352"/>
    <n v="17.8"/>
    <n v="1650.56"/>
    <n v="459.27"/>
    <n v="0"/>
    <n v="448.31"/>
    <n v="0"/>
    <n v="0"/>
    <n v="0"/>
    <n v="0"/>
    <n v="0"/>
    <n v="0"/>
    <n v="3.93"/>
    <n v="0"/>
    <n v="0"/>
    <n v="1393.26"/>
    <n v="144.38"/>
    <n v="0"/>
    <n v="478.93"/>
    <n v="0"/>
    <n v="1758.43"/>
    <n v="0"/>
    <n v="6337.08"/>
    <n v="4391.57"/>
    <n v="5860.96"/>
    <n v="703.65"/>
    <n v="613.76"/>
    <n v="247.94"/>
    <n v="0"/>
    <n v="0"/>
    <n v="0"/>
    <n v="704.15"/>
    <n v="1726.4"/>
    <n v="3272.35"/>
    <x v="129"/>
    <n v="230.21"/>
    <n v="42675.28"/>
    <n v="25684.61"/>
    <n v="25473.439999999999"/>
    <x v="5"/>
    <m/>
    <m/>
    <m/>
    <s v="Yes"/>
    <s v="No"/>
    <s v="No"/>
    <s v="No"/>
    <s v="No"/>
    <s v="Yes"/>
    <s v="Yes"/>
    <s v="Yes"/>
    <s v="Yes"/>
    <s v="Yes"/>
    <s v="No"/>
  </r>
  <r>
    <x v="130"/>
    <n v="323.89999999999998"/>
    <n v="81.25"/>
    <n v="0"/>
    <n v="82.6"/>
    <n v="0"/>
    <n v="0"/>
    <n v="0"/>
    <n v="0"/>
    <n v="0"/>
    <n v="0"/>
    <n v="0.6"/>
    <n v="0"/>
    <n v="0"/>
    <n v="245"/>
    <n v="20.7"/>
    <n v="0"/>
    <n v="103.75"/>
    <n v="0"/>
    <n v="272.95000000000005"/>
    <n v="0"/>
    <n v="1130.75"/>
    <n v="814.2"/>
    <n v="1070.25"/>
    <n v="134.5"/>
    <n v="106.75"/>
    <n v="47.470830376153266"/>
    <n v="0"/>
    <n v="0"/>
    <n v="0"/>
    <n v="128.37837837837836"/>
    <n v="293.2"/>
    <n v="628.95079124546851"/>
    <n v="316.54999999999995"/>
    <n v="74.873345935727926"/>
    <n v="7582.9"/>
    <n v="4442.5556140518802"/>
    <n v="4296.7092466736849"/>
    <n v="17.3"/>
    <n v="1872.25"/>
    <n v="469.65"/>
    <n v="0"/>
    <n v="477.46"/>
    <n v="0"/>
    <n v="0"/>
    <n v="0"/>
    <n v="0"/>
    <n v="0"/>
    <n v="0"/>
    <n v="3.47"/>
    <n v="0"/>
    <n v="0"/>
    <n v="1416.18"/>
    <n v="119.65"/>
    <n v="0"/>
    <n v="599.71"/>
    <n v="0"/>
    <n v="1577.75"/>
    <n v="0"/>
    <n v="6536.13"/>
    <n v="4706.3599999999997"/>
    <n v="6186.42"/>
    <n v="777.46"/>
    <n v="617.04999999999995"/>
    <n v="274.39999999999998"/>
    <n v="0"/>
    <n v="0"/>
    <n v="0"/>
    <n v="742.07"/>
    <n v="1694.8"/>
    <n v="3635.55"/>
    <x v="130"/>
    <n v="432.79"/>
    <n v="43831.79"/>
    <n v="25679.51"/>
    <n v="24836.47"/>
    <x v="5"/>
    <m/>
    <m/>
    <m/>
    <s v="Yes"/>
    <s v="No"/>
    <s v="No"/>
    <s v="No"/>
    <s v="No"/>
    <s v="Yes"/>
    <s v="Yes"/>
    <s v="Yes"/>
    <s v="Yes"/>
    <s v="Yes"/>
    <s v="No"/>
  </r>
  <r>
    <x v="131"/>
    <n v="364.1"/>
    <n v="83.75"/>
    <n v="0"/>
    <n v="65"/>
    <n v="0"/>
    <n v="0"/>
    <n v="0"/>
    <n v="0"/>
    <n v="0"/>
    <n v="0"/>
    <n v="0.7"/>
    <n v="0"/>
    <n v="0"/>
    <n v="256"/>
    <n v="17.100000000000001"/>
    <n v="0"/>
    <n v="64.849999999999909"/>
    <n v="0"/>
    <n v="289"/>
    <n v="0"/>
    <n v="1140.5"/>
    <n v="818.6"/>
    <n v="1083.5"/>
    <n v="136.25"/>
    <n v="105"/>
    <n v="49.749006387508835"/>
    <n v="0"/>
    <n v="0"/>
    <n v="0"/>
    <n v="127.36486486486487"/>
    <n v="289.5"/>
    <n v="648.13612874762623"/>
    <n v="321.89999999999998"/>
    <n v="80.1853062892759"/>
    <n v="7648"/>
    <n v="4200.9877476787578"/>
    <n v="4155.391117067099"/>
    <n v="16.600000000000001"/>
    <n v="2193.37"/>
    <n v="504.52"/>
    <n v="0"/>
    <n v="391.57"/>
    <n v="0"/>
    <n v="0"/>
    <n v="0"/>
    <n v="0"/>
    <n v="0"/>
    <n v="0"/>
    <n v="4.22"/>
    <n v="0"/>
    <n v="0"/>
    <n v="1542.17"/>
    <n v="103.01"/>
    <n v="0"/>
    <n v="390.66"/>
    <n v="0"/>
    <n v="1740.96"/>
    <n v="0"/>
    <n v="6870.48"/>
    <n v="4931.33"/>
    <n v="6527.11"/>
    <n v="820.78"/>
    <n v="632.53"/>
    <n v="299.69"/>
    <n v="0"/>
    <n v="0"/>
    <n v="0"/>
    <n v="767.26"/>
    <n v="1743.98"/>
    <n v="3904.43"/>
    <x v="131"/>
    <n v="483.04"/>
    <n v="46072.29"/>
    <n v="25307.16"/>
    <n v="25032.48"/>
    <x v="6"/>
    <m/>
    <m/>
    <m/>
    <s v="Yes"/>
    <s v="No"/>
    <s v="No"/>
    <s v="No"/>
    <s v="No"/>
    <s v="Yes"/>
    <s v="Yes"/>
    <s v="Yes"/>
    <s v="Yes"/>
    <s v="Yes"/>
    <s v="No"/>
  </r>
  <r>
    <x v="132"/>
    <n v="312.2"/>
    <n v="89.25"/>
    <n v="0"/>
    <n v="77.099999999999994"/>
    <n v="0"/>
    <n v="0"/>
    <n v="0"/>
    <n v="0"/>
    <n v="0"/>
    <n v="0"/>
    <n v="0.6"/>
    <n v="0"/>
    <n v="0"/>
    <n v="283"/>
    <n v="19.2"/>
    <n v="0"/>
    <n v="45.650000000000091"/>
    <n v="0"/>
    <n v="338.75"/>
    <n v="0"/>
    <n v="1165.75"/>
    <n v="833"/>
    <n v="1065.5"/>
    <n v="112.75"/>
    <n v="102"/>
    <n v="51.126508161816858"/>
    <n v="0"/>
    <n v="0"/>
    <n v="0"/>
    <n v="124.32432432432431"/>
    <n v="282.2"/>
    <n v="618.59916751385879"/>
    <n v="332.75"/>
    <n v="12.647524651305462"/>
    <n v="7859.7"/>
    <n v="4151.0537235570009"/>
    <n v="4187.9755671484618"/>
    <n v="16.2"/>
    <n v="1927.16"/>
    <n v="550.92999999999995"/>
    <n v="0"/>
    <n v="475.93"/>
    <n v="0"/>
    <n v="0"/>
    <n v="0"/>
    <n v="0"/>
    <n v="0"/>
    <n v="0"/>
    <n v="3.7"/>
    <n v="0"/>
    <n v="0"/>
    <n v="1746.91"/>
    <n v="118.52"/>
    <n v="0"/>
    <n v="281.79000000000002"/>
    <n v="0"/>
    <n v="2091.0500000000002"/>
    <n v="0"/>
    <n v="7195.99"/>
    <n v="5141.9799999999996"/>
    <n v="6577.16"/>
    <n v="695.99"/>
    <n v="629.63"/>
    <n v="315.60000000000002"/>
    <n v="0"/>
    <n v="0"/>
    <n v="0"/>
    <n v="767.43"/>
    <n v="1741.98"/>
    <n v="3818.51"/>
    <x v="132"/>
    <n v="78.069999999999993"/>
    <n v="48516.67"/>
    <n v="25623.79"/>
    <n v="25851.7"/>
    <x v="6"/>
    <m/>
    <m/>
    <m/>
    <s v="Yes"/>
    <s v="No"/>
    <s v="No"/>
    <s v="No"/>
    <s v="No"/>
    <s v="Yes"/>
    <s v="Yes"/>
    <s v="Yes"/>
    <s v="Yes"/>
    <s v="Yes"/>
    <s v="No"/>
  </r>
  <r>
    <x v="133"/>
    <n v="281.5"/>
    <n v="91"/>
    <n v="0"/>
    <n v="85.3"/>
    <n v="0"/>
    <n v="0"/>
    <n v="0"/>
    <n v="0"/>
    <n v="0"/>
    <n v="0"/>
    <n v="0.6"/>
    <n v="0"/>
    <n v="0"/>
    <n v="286"/>
    <n v="22.7"/>
    <n v="0"/>
    <n v="42.299999999999955"/>
    <n v="0"/>
    <n v="339.6"/>
    <n v="0"/>
    <n v="1149"/>
    <n v="770.5"/>
    <n v="1034.25"/>
    <n v="94.75"/>
    <n v="104"/>
    <n v="52.34506742370472"/>
    <n v="0"/>
    <n v="0"/>
    <n v="0"/>
    <n v="126.01351351351347"/>
    <n v="216.3"/>
    <n v="630.34141906278171"/>
    <n v="378.5"/>
    <n v="20.2360394420886"/>
    <n v="8030.4"/>
    <n v="4259.9782473437335"/>
    <n v="4367.0617641428144"/>
    <n v="15.8"/>
    <n v="1781.65"/>
    <n v="575.95000000000005"/>
    <n v="0"/>
    <n v="539.87"/>
    <n v="0"/>
    <n v="0"/>
    <n v="0"/>
    <n v="0"/>
    <n v="0"/>
    <n v="0"/>
    <n v="3.8"/>
    <n v="0"/>
    <n v="0"/>
    <n v="1810.13"/>
    <n v="143.66999999999999"/>
    <n v="0"/>
    <n v="267.72000000000003"/>
    <n v="0"/>
    <n v="2149.37"/>
    <n v="0"/>
    <n v="7272.15"/>
    <n v="4876.58"/>
    <n v="6545.89"/>
    <n v="599.67999999999995"/>
    <n v="658.23"/>
    <n v="331.3"/>
    <n v="0"/>
    <n v="0"/>
    <n v="0"/>
    <n v="797.55"/>
    <n v="1368.99"/>
    <n v="3989.5"/>
    <x v="133"/>
    <n v="128.08000000000001"/>
    <n v="50825.32"/>
    <n v="26961.89"/>
    <n v="27639.63"/>
    <x v="6"/>
    <m/>
    <m/>
    <m/>
    <s v="Yes"/>
    <s v="No"/>
    <s v="No"/>
    <s v="No"/>
    <s v="No"/>
    <s v="Yes"/>
    <s v="Yes"/>
    <s v="Yes"/>
    <s v="Yes"/>
    <s v="Yes"/>
    <s v="No"/>
  </r>
  <r>
    <x v="134"/>
    <n v="280"/>
    <n v="95"/>
    <n v="0"/>
    <n v="81.400000000000006"/>
    <n v="0"/>
    <n v="0"/>
    <n v="0"/>
    <n v="0"/>
    <n v="0"/>
    <n v="0"/>
    <n v="0.6"/>
    <n v="0"/>
    <n v="0"/>
    <n v="290"/>
    <n v="24.1"/>
    <n v="0"/>
    <n v="33.5"/>
    <n v="0"/>
    <n v="356.9"/>
    <n v="0"/>
    <n v="1161.5"/>
    <n v="784.7"/>
    <n v="1046.5"/>
    <n v="101.5"/>
    <n v="115"/>
    <n v="54.199396735273211"/>
    <n v="0"/>
    <n v="0"/>
    <n v="0"/>
    <n v="133.1081081081081"/>
    <n v="211.7"/>
    <n v="633.99249515661859"/>
    <n v="376.79999999999995"/>
    <n v="13.6593266234096"/>
    <n v="7902.4"/>
    <n v="4470.1814157174285"/>
    <n v="4569.3372020675779"/>
    <n v="15.8"/>
    <n v="1772.15"/>
    <n v="601.27"/>
    <n v="0"/>
    <n v="515.19000000000005"/>
    <n v="0"/>
    <n v="0"/>
    <n v="0"/>
    <n v="0"/>
    <n v="0"/>
    <n v="0"/>
    <n v="3.8"/>
    <n v="0"/>
    <n v="0"/>
    <n v="1835.44"/>
    <n v="152.53"/>
    <n v="0"/>
    <n v="212.03"/>
    <n v="0"/>
    <n v="2258.86"/>
    <n v="0"/>
    <n v="7351.27"/>
    <n v="4966.46"/>
    <n v="6623.42"/>
    <n v="642.41"/>
    <n v="727.85"/>
    <n v="343.03"/>
    <n v="0"/>
    <n v="0"/>
    <n v="0"/>
    <n v="842.46"/>
    <n v="1339.87"/>
    <n v="4012.61"/>
    <x v="134"/>
    <n v="86.45"/>
    <n v="50015.19"/>
    <n v="28292.29"/>
    <n v="28919.86"/>
    <x v="6"/>
    <m/>
    <m/>
    <m/>
    <s v="Yes"/>
    <s v="No"/>
    <s v="No"/>
    <s v="No"/>
    <s v="No"/>
    <s v="Yes"/>
    <s v="Yes"/>
    <s v="Yes"/>
    <s v="Yes"/>
    <s v="Yes"/>
    <s v="No"/>
  </r>
  <r>
    <x v="135"/>
    <n v="289.10000000000002"/>
    <n v="99.5"/>
    <n v="0"/>
    <n v="87.9"/>
    <n v="0"/>
    <n v="0"/>
    <n v="0"/>
    <n v="0"/>
    <n v="0"/>
    <n v="0"/>
    <n v="0.6"/>
    <n v="0"/>
    <n v="0"/>
    <n v="304"/>
    <n v="25.8"/>
    <n v="0"/>
    <n v="37.899999999999864"/>
    <n v="0"/>
    <n v="346.95000000000005"/>
    <n v="0"/>
    <n v="1191.75"/>
    <n v="829.4"/>
    <n v="1090.75"/>
    <n v="121.25"/>
    <n v="140.5"/>
    <n v="56.848438608942473"/>
    <n v="0"/>
    <n v="0"/>
    <n v="0"/>
    <n v="140.54054054054052"/>
    <n v="211.5"/>
    <n v="662.61102085051687"/>
    <n v="362.35"/>
    <n v="20.48898993511483"/>
    <n v="7901.6"/>
    <n v="4684.3303819278244"/>
    <n v="4815.1609552981699"/>
    <n v="15.9"/>
    <n v="1818.24"/>
    <n v="625.79"/>
    <n v="0"/>
    <n v="552.83000000000004"/>
    <n v="0"/>
    <n v="0"/>
    <n v="0"/>
    <n v="0"/>
    <n v="0"/>
    <n v="0"/>
    <n v="3.77"/>
    <n v="0"/>
    <n v="0"/>
    <n v="1911.95"/>
    <n v="162.26"/>
    <n v="0"/>
    <n v="238.36"/>
    <n v="0"/>
    <n v="2182.08"/>
    <n v="0"/>
    <n v="7495.28"/>
    <n v="5216.3500000000004"/>
    <n v="6860.06"/>
    <n v="762.58"/>
    <n v="883.65"/>
    <n v="357.54"/>
    <n v="0"/>
    <n v="0"/>
    <n v="0"/>
    <n v="883.9"/>
    <n v="1330.19"/>
    <n v="4167.3599999999997"/>
    <x v="135"/>
    <n v="128.86000000000001"/>
    <n v="49695.6"/>
    <n v="29461.200000000001"/>
    <n v="30284.03"/>
    <x v="6"/>
    <m/>
    <m/>
    <m/>
    <s v="Yes"/>
    <s v="No"/>
    <s v="No"/>
    <s v="No"/>
    <s v="No"/>
    <s v="Yes"/>
    <s v="Yes"/>
    <s v="Yes"/>
    <s v="Yes"/>
    <s v="Yes"/>
    <s v="No"/>
  </r>
  <r>
    <x v="136"/>
    <n v="310.8"/>
    <n v="104.75"/>
    <n v="0"/>
    <n v="88"/>
    <n v="0"/>
    <n v="0"/>
    <n v="0"/>
    <n v="0"/>
    <n v="0"/>
    <n v="0"/>
    <n v="0.5"/>
    <n v="0"/>
    <n v="0"/>
    <n v="321"/>
    <n v="29.1"/>
    <n v="0"/>
    <n v="42.449999999999932"/>
    <n v="0"/>
    <n v="345.9"/>
    <n v="0"/>
    <n v="1242.5"/>
    <n v="889.1"/>
    <n v="1140.75"/>
    <n v="148.5"/>
    <n v="189.5"/>
    <n v="60.636568488289527"/>
    <n v="0"/>
    <n v="0"/>
    <n v="0"/>
    <n v="145.6081081081081"/>
    <n v="210.9"/>
    <n v="682.60532340360248"/>
    <n v="353.4"/>
    <n v="47.301742195882127"/>
    <n v="7909.9"/>
    <n v="4965.4271561213727"/>
    <n v="5135.1289843974328"/>
    <n v="16"/>
    <n v="1942.5"/>
    <n v="654.69000000000005"/>
    <n v="0"/>
    <n v="550"/>
    <n v="0"/>
    <n v="0"/>
    <n v="0"/>
    <n v="0"/>
    <n v="0"/>
    <n v="0"/>
    <n v="3.13"/>
    <n v="0"/>
    <n v="0"/>
    <n v="2006.25"/>
    <n v="181.88"/>
    <n v="0"/>
    <n v="265.31"/>
    <n v="0"/>
    <n v="2161.88"/>
    <n v="0"/>
    <n v="7765.63"/>
    <n v="5556.88"/>
    <n v="7129.69"/>
    <n v="928.13"/>
    <n v="1184.3800000000001"/>
    <n v="378.98"/>
    <n v="0"/>
    <n v="0"/>
    <n v="0"/>
    <n v="910.05"/>
    <n v="1318.13"/>
    <n v="4266.28"/>
    <x v="136"/>
    <n v="295.64"/>
    <n v="49436.88"/>
    <n v="31033.919999999998"/>
    <n v="32094.560000000001"/>
    <x v="2"/>
    <m/>
    <m/>
    <m/>
    <s v="Yes"/>
    <s v="No"/>
    <s v="No"/>
    <s v="No"/>
    <s v="No"/>
    <s v="Yes"/>
    <s v="Yes"/>
    <s v="Yes"/>
    <s v="Yes"/>
    <s v="Yes"/>
    <s v="No"/>
  </r>
  <r>
    <x v="137"/>
    <n v="354"/>
    <n v="107.5"/>
    <n v="0"/>
    <n v="89"/>
    <n v="0"/>
    <n v="1.4"/>
    <n v="0"/>
    <n v="0"/>
    <n v="0"/>
    <n v="0"/>
    <n v="0"/>
    <n v="0"/>
    <n v="0"/>
    <n v="336"/>
    <n v="24.2"/>
    <n v="0"/>
    <n v="36.600000000000136"/>
    <n v="0"/>
    <n v="365.29999999999995"/>
    <n v="0"/>
    <n v="1314"/>
    <n v="909.3"/>
    <n v="1244.25"/>
    <n v="180"/>
    <n v="269.5"/>
    <n v="65.007487579843826"/>
    <n v="0"/>
    <n v="0"/>
    <n v="0"/>
    <n v="149.66216216216216"/>
    <n v="216.2"/>
    <n v="723.880350257994"/>
    <n v="404.70000000000005"/>
    <n v="111.55116742451312"/>
    <n v="8149"/>
    <n v="5260.8981286493708"/>
    <n v="5342.734588877187"/>
    <n v="16.600000000000001"/>
    <n v="2132.5300000000002"/>
    <n v="647.59"/>
    <n v="0"/>
    <n v="536.14"/>
    <n v="0"/>
    <n v="8.43"/>
    <n v="0"/>
    <n v="0"/>
    <n v="0"/>
    <n v="0"/>
    <n v="0"/>
    <n v="0"/>
    <n v="0"/>
    <n v="2024.1"/>
    <n v="145.78"/>
    <n v="0"/>
    <n v="220.48"/>
    <n v="0"/>
    <n v="2200.6"/>
    <n v="0"/>
    <n v="7915.66"/>
    <n v="5477.71"/>
    <n v="7495.48"/>
    <n v="1084.3399999999999"/>
    <n v="1623.49"/>
    <n v="391.61"/>
    <n v="0"/>
    <n v="0"/>
    <n v="0"/>
    <n v="901.58"/>
    <n v="1302.4100000000001"/>
    <n v="4360.7299999999996"/>
    <x v="137"/>
    <n v="671.99"/>
    <n v="49090.36"/>
    <n v="31692.16"/>
    <n v="32185.15"/>
    <x v="2"/>
    <m/>
    <m/>
    <m/>
    <s v="Yes"/>
    <s v="No"/>
    <s v="No"/>
    <s v="No"/>
    <s v="No"/>
    <s v="Yes"/>
    <s v="Yes"/>
    <s v="Yes"/>
    <s v="Yes"/>
    <s v="Yes"/>
    <s v="No"/>
  </r>
  <r>
    <x v="138"/>
    <n v="398.4"/>
    <n v="109.25"/>
    <n v="0"/>
    <n v="77.400000000000006"/>
    <n v="0"/>
    <n v="21.9"/>
    <n v="0"/>
    <n v="0"/>
    <n v="0"/>
    <n v="0"/>
    <n v="0"/>
    <n v="0"/>
    <n v="0"/>
    <n v="340"/>
    <n v="21"/>
    <n v="0"/>
    <n v="38.250000000000114"/>
    <n v="0"/>
    <n v="386.04999999999995"/>
    <n v="0"/>
    <n v="1392.25"/>
    <n v="1005.7"/>
    <n v="1520"/>
    <n v="148.5"/>
    <n v="397.35"/>
    <n v="51.258960255500327"/>
    <n v="0"/>
    <n v="0"/>
    <n v="0"/>
    <n v="114.52702702702703"/>
    <n v="216.8"/>
    <n v="888.56401271747268"/>
    <n v="386.54999999999995"/>
    <n v="279.51029479384869"/>
    <n v="8301.1"/>
    <n v="5485.6091940269907"/>
    <n v="5689.5219440987821"/>
    <n v="16.8"/>
    <n v="2371.4299999999998"/>
    <n v="650.29999999999995"/>
    <n v="0"/>
    <n v="460.71"/>
    <n v="0"/>
    <n v="130.36000000000001"/>
    <n v="0"/>
    <n v="0"/>
    <n v="0"/>
    <n v="0"/>
    <n v="0"/>
    <n v="0"/>
    <n v="0"/>
    <n v="2023.81"/>
    <n v="125"/>
    <n v="0"/>
    <n v="227.68"/>
    <n v="0"/>
    <n v="2297.92"/>
    <n v="0"/>
    <n v="8287.2000000000007"/>
    <n v="5986.31"/>
    <n v="9047.6200000000008"/>
    <n v="883.93"/>
    <n v="2365.1799999999998"/>
    <n v="305.11"/>
    <n v="0"/>
    <n v="0"/>
    <n v="0"/>
    <n v="681.71"/>
    <n v="1290.48"/>
    <n v="5289.07"/>
    <x v="138"/>
    <n v="1663.75"/>
    <n v="49411.31"/>
    <n v="32652.44"/>
    <n v="33866.199999999997"/>
    <x v="2"/>
    <m/>
    <m/>
    <m/>
    <s v="Yes"/>
    <s v="No"/>
    <s v="No"/>
    <s v="No"/>
    <s v="No"/>
    <s v="Yes"/>
    <s v="Yes"/>
    <s v="Yes"/>
    <s v="Yes"/>
    <s v="Yes"/>
    <s v="No"/>
  </r>
  <r>
    <x v="139"/>
    <n v="459.9"/>
    <n v="112.5"/>
    <n v="0"/>
    <n v="77.7"/>
    <n v="0"/>
    <n v="26.9"/>
    <n v="0"/>
    <n v="0"/>
    <n v="0"/>
    <n v="0"/>
    <n v="0"/>
    <n v="0"/>
    <n v="0"/>
    <n v="400"/>
    <n v="17.100000000000001"/>
    <n v="0"/>
    <n v="38.100000000000136"/>
    <n v="0"/>
    <n v="455.29999999999995"/>
    <n v="0"/>
    <n v="1587.5"/>
    <n v="1401"/>
    <n v="2419.75"/>
    <n v="0"/>
    <n v="1042.9499999999998"/>
    <n v="0"/>
    <n v="0"/>
    <n v="0"/>
    <n v="0"/>
    <n v="0"/>
    <n v="228.6"/>
    <n v="1148.2000000000003"/>
    <n v="186.5"/>
    <n v="842.07219128391114"/>
    <n v="9083.2000000000007"/>
    <n v="6101.0576959892769"/>
    <n v="6720.2164496984742"/>
    <n v="17.3"/>
    <n v="2658.38"/>
    <n v="650.29"/>
    <n v="0"/>
    <n v="449.13"/>
    <n v="0"/>
    <n v="155.49"/>
    <n v="0"/>
    <n v="0"/>
    <n v="0"/>
    <n v="0"/>
    <n v="0"/>
    <n v="0"/>
    <n v="0"/>
    <n v="2312.14"/>
    <n v="98.84"/>
    <n v="0"/>
    <n v="220.23"/>
    <n v="0"/>
    <n v="2631.79"/>
    <n v="0"/>
    <n v="9176.2999999999993"/>
    <n v="8098.27"/>
    <n v="13986.99"/>
    <n v="0"/>
    <n v="6028.61"/>
    <n v="0"/>
    <n v="0"/>
    <n v="0"/>
    <n v="0"/>
    <n v="0"/>
    <n v="1321.39"/>
    <n v="6636.99"/>
    <x v="139"/>
    <n v="4867.47"/>
    <n v="52504.05"/>
    <n v="35266.230000000003"/>
    <n v="38845.18"/>
    <x v="2"/>
    <m/>
    <m/>
    <m/>
    <s v="Yes"/>
    <s v="No"/>
    <s v="No"/>
    <s v="No"/>
    <s v="No"/>
    <s v="Yes"/>
    <s v="Yes"/>
    <s v="Yes"/>
    <s v="Yes"/>
    <s v="Yes"/>
    <s v="No"/>
  </r>
  <r>
    <x v="140"/>
    <n v="600"/>
    <n v="121.25"/>
    <n v="0"/>
    <n v="80.8"/>
    <n v="0"/>
    <n v="96.2"/>
    <n v="0"/>
    <n v="0"/>
    <n v="0"/>
    <n v="0"/>
    <n v="0"/>
    <n v="0"/>
    <n v="0"/>
    <n v="529"/>
    <n v="13.7"/>
    <n v="0"/>
    <n v="54.349999999999909"/>
    <n v="0"/>
    <n v="599.70000000000005"/>
    <n v="0"/>
    <n v="2095"/>
    <n v="3953.7"/>
    <n v="4056"/>
    <n v="0"/>
    <n v="2895.8874999999998"/>
    <n v="0"/>
    <n v="0"/>
    <n v="0"/>
    <n v="0"/>
    <n v="0"/>
    <n v="233.6"/>
    <n v="926.51250000000027"/>
    <n v="-1858.6999999999998"/>
    <n v="1984.1436672967855"/>
    <n v="11552.7"/>
    <n v="7389.9271321910564"/>
    <n v="8110.1897434670209"/>
    <n v="20.2"/>
    <n v="2970.3"/>
    <n v="600.25"/>
    <n v="0"/>
    <n v="400"/>
    <n v="0"/>
    <n v="476.24"/>
    <n v="0"/>
    <n v="0"/>
    <n v="0"/>
    <n v="0"/>
    <n v="0"/>
    <n v="0"/>
    <n v="0"/>
    <n v="2618.81"/>
    <n v="67.819999999999993"/>
    <n v="0"/>
    <n v="269.06"/>
    <n v="0"/>
    <n v="2968.81"/>
    <n v="0"/>
    <n v="10371.290000000001"/>
    <n v="19572.77"/>
    <n v="20079.21"/>
    <n v="0"/>
    <n v="14336.08"/>
    <n v="0"/>
    <n v="0"/>
    <n v="0"/>
    <n v="0"/>
    <n v="0"/>
    <n v="1156.44"/>
    <n v="4586.7"/>
    <x v="140"/>
    <n v="9822.49"/>
    <n v="57191.58"/>
    <n v="36583.800000000003"/>
    <n v="40149.449999999997"/>
    <x v="2"/>
    <m/>
    <m/>
    <m/>
    <s v="Yes"/>
    <s v="No"/>
    <s v="No"/>
    <s v="No"/>
    <s v="No"/>
    <s v="Yes"/>
    <s v="Yes"/>
    <s v="Yes"/>
    <s v="Yes"/>
    <s v="Yes"/>
    <s v="No"/>
  </r>
  <r>
    <x v="141"/>
    <n v="844.6"/>
    <n v="129.5"/>
    <n v="0"/>
    <n v="90.9"/>
    <n v="0"/>
    <n v="269.10000000000002"/>
    <n v="0"/>
    <n v="0"/>
    <n v="0"/>
    <n v="0"/>
    <n v="0"/>
    <n v="0"/>
    <n v="0"/>
    <n v="704"/>
    <n v="14.1"/>
    <n v="0"/>
    <n v="122.40000000000009"/>
    <n v="0"/>
    <n v="623.15000000000009"/>
    <n v="0"/>
    <n v="2797.75"/>
    <n v="4876.3"/>
    <n v="5117.5"/>
    <n v="0"/>
    <n v="4064.375"/>
    <n v="0"/>
    <n v="0"/>
    <n v="0"/>
    <n v="0"/>
    <n v="0"/>
    <n v="278"/>
    <n v="775.12499999999966"/>
    <n v="-2078.5500000000002"/>
    <n v="2347.1276247892501"/>
    <n v="14226.3"/>
    <n v="8672.9621183114723"/>
    <n v="9078.2442567244143"/>
    <n v="22.4"/>
    <n v="3770.54"/>
    <n v="578.13"/>
    <n v="0"/>
    <n v="405.8"/>
    <n v="0"/>
    <n v="1201.3399999999999"/>
    <n v="0"/>
    <n v="0"/>
    <n v="0"/>
    <n v="0"/>
    <n v="0"/>
    <n v="0"/>
    <n v="0"/>
    <n v="3142.86"/>
    <n v="62.95"/>
    <n v="0"/>
    <n v="546.42999999999995"/>
    <n v="0"/>
    <n v="2781.92"/>
    <n v="0"/>
    <n v="12489.96"/>
    <n v="21769.200000000001"/>
    <n v="22845.98"/>
    <n v="0"/>
    <n v="18144.53"/>
    <n v="0"/>
    <n v="0"/>
    <n v="0"/>
    <n v="0"/>
    <n v="0"/>
    <n v="1241.07"/>
    <n v="3460.38"/>
    <x v="141"/>
    <n v="10478.25"/>
    <n v="63510.27"/>
    <n v="38718.58"/>
    <n v="40527.879999999997"/>
    <x v="2"/>
    <m/>
    <m/>
    <m/>
    <s v="Yes"/>
    <s v="No"/>
    <s v="No"/>
    <s v="No"/>
    <s v="No"/>
    <s v="Yes"/>
    <s v="Yes"/>
    <s v="Yes"/>
    <s v="Yes"/>
    <s v="Yes"/>
    <s v="No"/>
  </r>
  <r>
    <x v="142"/>
    <n v="1082.2"/>
    <n v="143.25"/>
    <n v="0"/>
    <n v="93.3"/>
    <n v="0"/>
    <n v="377.5"/>
    <n v="0"/>
    <n v="0"/>
    <n v="0"/>
    <n v="0"/>
    <n v="0"/>
    <n v="0"/>
    <n v="0"/>
    <n v="885"/>
    <n v="15.3"/>
    <n v="0"/>
    <n v="325.84999999999991"/>
    <n v="0"/>
    <n v="364.34999999999991"/>
    <n v="0"/>
    <n v="3286.75"/>
    <n v="5725.7"/>
    <n v="5725.7"/>
    <n v="0"/>
    <n v="4719.0625"/>
    <n v="0"/>
    <n v="0"/>
    <n v="0"/>
    <n v="0"/>
    <n v="0"/>
    <n v="331.6"/>
    <n v="675.03750000000002"/>
    <n v="-2438.9499999999998"/>
    <n v="2422.2539212180027"/>
    <n v="17006.099999999999"/>
    <n v="9430.1876615296223"/>
    <n v="9728.7923327270946"/>
    <n v="24"/>
    <n v="4509.17"/>
    <n v="596.88"/>
    <n v="0"/>
    <n v="388.75"/>
    <n v="0"/>
    <n v="1572.92"/>
    <n v="0"/>
    <n v="0"/>
    <n v="0"/>
    <n v="0"/>
    <n v="0"/>
    <n v="0"/>
    <n v="0"/>
    <n v="3687.5"/>
    <n v="63.75"/>
    <n v="0"/>
    <n v="1357.71"/>
    <n v="0"/>
    <n v="1518.13"/>
    <n v="0"/>
    <n v="13694.79"/>
    <n v="23857.08"/>
    <n v="23857.08"/>
    <n v="0"/>
    <n v="19662.759999999998"/>
    <n v="0"/>
    <n v="0"/>
    <n v="0"/>
    <n v="0"/>
    <n v="0"/>
    <n v="1381.67"/>
    <n v="2812.66"/>
    <x v="142"/>
    <n v="10092.719999999999"/>
    <n v="70858.75"/>
    <n v="39292.449999999997"/>
    <n v="40536.629999999997"/>
    <x v="2"/>
    <m/>
    <m/>
    <m/>
    <s v="Yes"/>
    <s v="No"/>
    <s v="No"/>
    <s v="No"/>
    <s v="No"/>
    <s v="Yes"/>
    <s v="Yes"/>
    <s v="Yes"/>
    <s v="Yes"/>
    <s v="Yes"/>
    <s v="No"/>
  </r>
  <r>
    <x v="143"/>
    <n v="1259.5999999999999"/>
    <n v="143.25"/>
    <n v="0"/>
    <n v="99.5"/>
    <n v="0"/>
    <n v="500.1"/>
    <n v="0"/>
    <n v="0"/>
    <n v="0"/>
    <n v="0"/>
    <n v="0"/>
    <n v="0"/>
    <n v="0"/>
    <n v="1043"/>
    <n v="17.7"/>
    <n v="0"/>
    <n v="86.050000000000182"/>
    <n v="0"/>
    <n v="566.80000000000018"/>
    <n v="0"/>
    <n v="3716"/>
    <n v="5899"/>
    <n v="6090.25"/>
    <n v="0"/>
    <n v="4962.1875"/>
    <n v="0"/>
    <n v="0"/>
    <n v="0"/>
    <n v="0"/>
    <n v="0"/>
    <n v="385.1"/>
    <n v="742.96250000000043"/>
    <n v="-2183"/>
    <n v="2402.2708322689414"/>
    <n v="19742.900000000001"/>
    <n v="9899.4977744807093"/>
    <n v="9942.3039867904627"/>
    <n v="24.8"/>
    <n v="5079.03"/>
    <n v="577.62"/>
    <n v="0"/>
    <n v="401.21"/>
    <n v="0"/>
    <n v="2016.53"/>
    <n v="0"/>
    <n v="0"/>
    <n v="0"/>
    <n v="0"/>
    <n v="0"/>
    <n v="0"/>
    <n v="0"/>
    <n v="4205.6499999999996"/>
    <n v="71.37"/>
    <n v="0"/>
    <n v="346.98"/>
    <n v="0"/>
    <n v="2285.48"/>
    <n v="0"/>
    <n v="14983.87"/>
    <n v="23786.29"/>
    <n v="24557.46"/>
    <n v="0"/>
    <n v="20008.82"/>
    <n v="0"/>
    <n v="0"/>
    <n v="0"/>
    <n v="0"/>
    <n v="0"/>
    <n v="1552.82"/>
    <n v="2995.82"/>
    <x v="143"/>
    <n v="9686.58"/>
    <n v="79608.47"/>
    <n v="39917.33"/>
    <n v="40089.94"/>
    <x v="2"/>
    <m/>
    <m/>
    <m/>
    <s v="Yes"/>
    <s v="No"/>
    <s v="No"/>
    <s v="No"/>
    <s v="No"/>
    <s v="Yes"/>
    <s v="Yes"/>
    <s v="Yes"/>
    <s v="Yes"/>
    <s v="Yes"/>
    <s v="No"/>
  </r>
  <r>
    <x v="144"/>
    <n v="1390.4"/>
    <n v="140"/>
    <n v="0"/>
    <n v="110.9"/>
    <n v="0"/>
    <n v="510.4"/>
    <n v="0"/>
    <n v="0"/>
    <n v="0"/>
    <n v="0"/>
    <n v="0"/>
    <n v="0"/>
    <n v="0"/>
    <n v="1076"/>
    <n v="17"/>
    <n v="0"/>
    <n v="109.99999999999955"/>
    <n v="0"/>
    <n v="499.30000000000018"/>
    <n v="0"/>
    <n v="3854"/>
    <n v="6174.4"/>
    <n v="6174.4"/>
    <n v="0"/>
    <n v="4958.125"/>
    <n v="0"/>
    <n v="0"/>
    <n v="0"/>
    <n v="0"/>
    <n v="0"/>
    <n v="434.9"/>
    <n v="781.37499999999955"/>
    <n v="-2320.3999999999996"/>
    <n v="2216.3522198947526"/>
    <n v="22541.3"/>
    <n v="9896.9623097539934"/>
    <n v="9763.4727433713015"/>
    <n v="25.5"/>
    <n v="5452.55"/>
    <n v="549.02"/>
    <n v="0"/>
    <n v="434.9"/>
    <n v="0"/>
    <n v="2001.57"/>
    <n v="0"/>
    <n v="0"/>
    <n v="0"/>
    <n v="0"/>
    <n v="0"/>
    <n v="0"/>
    <n v="0"/>
    <n v="4219.6099999999997"/>
    <n v="66.67"/>
    <n v="0"/>
    <n v="431.37"/>
    <n v="0"/>
    <n v="1958.04"/>
    <n v="0"/>
    <n v="15113.73"/>
    <n v="24213.33"/>
    <n v="24213.33"/>
    <n v="0"/>
    <n v="19443.63"/>
    <n v="0"/>
    <n v="0"/>
    <n v="0"/>
    <n v="0"/>
    <n v="0"/>
    <n v="1705.49"/>
    <n v="3064.22"/>
    <x v="144"/>
    <n v="8691.58"/>
    <n v="88397.25"/>
    <n v="38811.620000000003"/>
    <n v="38288.129999999997"/>
    <x v="2"/>
    <m/>
    <m/>
    <m/>
    <s v="Yes"/>
    <s v="No"/>
    <s v="No"/>
    <s v="No"/>
    <s v="No"/>
    <s v="Yes"/>
    <s v="Yes"/>
    <s v="Yes"/>
    <s v="Yes"/>
    <s v="Yes"/>
    <s v="No"/>
  </r>
  <r>
    <x v="145"/>
    <n v="1430.4"/>
    <n v="145.25"/>
    <n v="0"/>
    <n v="120.3"/>
    <n v="0"/>
    <n v="466.4"/>
    <n v="0"/>
    <n v="0"/>
    <n v="0"/>
    <n v="0"/>
    <n v="0"/>
    <n v="0"/>
    <n v="0"/>
    <n v="1111"/>
    <n v="25.1"/>
    <n v="0"/>
    <n v="102.75"/>
    <n v="0"/>
    <n v="432.55000000000018"/>
    <n v="0"/>
    <n v="3833.75"/>
    <n v="5591.5"/>
    <n v="5591.5"/>
    <n v="0"/>
    <n v="3949.5749999999998"/>
    <n v="0"/>
    <n v="0"/>
    <n v="0"/>
    <n v="0"/>
    <n v="0"/>
    <n v="474.9"/>
    <n v="1167.0250000000001"/>
    <n v="-1757.75"/>
    <n v="1474.954324835232"/>
    <n v="23773.9"/>
    <n v="9711.6087154206944"/>
    <n v="9741.370225902172"/>
    <n v="26.2"/>
    <n v="5459.54"/>
    <n v="554.39"/>
    <n v="0"/>
    <n v="459.16"/>
    <n v="0"/>
    <n v="1780.15"/>
    <n v="0"/>
    <n v="0"/>
    <n v="0"/>
    <n v="0"/>
    <n v="0"/>
    <n v="0"/>
    <n v="0"/>
    <n v="4240.46"/>
    <n v="95.8"/>
    <n v="0"/>
    <n v="392.18"/>
    <n v="0"/>
    <n v="1650.95"/>
    <n v="0"/>
    <n v="14632.63"/>
    <n v="21341.599999999999"/>
    <n v="21341.599999999999"/>
    <n v="0"/>
    <n v="15074.71"/>
    <n v="0"/>
    <n v="0"/>
    <n v="0"/>
    <n v="0"/>
    <n v="0"/>
    <n v="1812.6"/>
    <n v="4454.29"/>
    <x v="145"/>
    <n v="5629.6"/>
    <n v="90740.08"/>
    <n v="37067.21"/>
    <n v="37180.800000000003"/>
    <x v="5"/>
    <m/>
    <m/>
    <m/>
    <s v="Yes"/>
    <s v="No"/>
    <s v="No"/>
    <s v="No"/>
    <s v="No"/>
    <s v="Yes"/>
    <s v="Yes"/>
    <s v="Yes"/>
    <s v="Yes"/>
    <s v="Yes"/>
    <s v="No"/>
  </r>
  <r>
    <x v="146"/>
    <n v="1210.5"/>
    <n v="185.5"/>
    <n v="0"/>
    <n v="148"/>
    <n v="0"/>
    <n v="357.5"/>
    <n v="0"/>
    <n v="0"/>
    <n v="0"/>
    <n v="0"/>
    <n v="0"/>
    <n v="0"/>
    <n v="464"/>
    <n v="643"/>
    <n v="39"/>
    <n v="11"/>
    <n v="308.5"/>
    <n v="120"/>
    <n v="172"/>
    <n v="3547"/>
    <n v="3659"/>
    <n v="3890"/>
    <n v="4010.4999999999995"/>
    <n v="356.25"/>
    <n v="1743.9625000000001"/>
    <n v="0"/>
    <n v="0"/>
    <n v="0"/>
    <n v="0"/>
    <n v="0"/>
    <n v="504"/>
    <n v="2118.7874999999995"/>
    <n v="-231"/>
    <n v="629"/>
    <n v="25770.6"/>
    <n v="9953.1955824638644"/>
    <n v="10347.084785105773"/>
    <n v="27"/>
    <n v="4483.33"/>
    <n v="687.04"/>
    <n v="0"/>
    <n v="548.15"/>
    <n v="0"/>
    <n v="1324.07"/>
    <n v="0"/>
    <n v="0"/>
    <n v="0"/>
    <n v="0"/>
    <n v="0"/>
    <n v="0"/>
    <n v="1718.52"/>
    <n v="2381.48"/>
    <n v="144.44"/>
    <n v="40.74"/>
    <n v="1142.5899999999999"/>
    <n v="444.44"/>
    <n v="637.04"/>
    <n v="13137.04"/>
    <n v="13551.85"/>
    <n v="14407.41"/>
    <n v="14853.7"/>
    <n v="1319.44"/>
    <n v="6459.12"/>
    <n v="0"/>
    <n v="0"/>
    <n v="0"/>
    <n v="0"/>
    <n v="0"/>
    <n v="1866.67"/>
    <n v="7847.36"/>
    <x v="146"/>
    <n v="2329.63"/>
    <n v="95446.67"/>
    <n v="36863.69"/>
    <n v="38322.54"/>
    <x v="5"/>
    <m/>
    <m/>
    <m/>
    <s v="Yes"/>
    <s v="No"/>
    <s v="No"/>
    <s v="No"/>
    <s v="No"/>
    <s v="Yes"/>
    <s v="Yes"/>
    <s v="Yes"/>
    <s v="Yes"/>
    <s v="Yes"/>
    <s v="No"/>
  </r>
  <r>
    <x v="147"/>
    <n v="1139.3"/>
    <n v="257"/>
    <n v="0"/>
    <n v="172"/>
    <n v="0"/>
    <n v="288.7"/>
    <n v="0"/>
    <n v="0"/>
    <n v="0"/>
    <n v="0"/>
    <n v="0"/>
    <n v="0"/>
    <n v="555"/>
    <n v="753"/>
    <n v="52"/>
    <n v="11"/>
    <n v="347"/>
    <n v="128"/>
    <n v="257"/>
    <n v="3717"/>
    <n v="3960"/>
    <n v="3447"/>
    <n v="3602.0000000000005"/>
    <n v="532.5"/>
    <n v="860.04516266044072"/>
    <n v="0"/>
    <n v="0"/>
    <n v="0"/>
    <n v="0"/>
    <n v="0"/>
    <n v="527"/>
    <n v="2747.4548373395592"/>
    <n v="513"/>
    <n v="79"/>
    <n v="25772.7"/>
    <n v="10803.272039820044"/>
    <n v="11321.757346606682"/>
    <n v="28.9"/>
    <n v="3942.21"/>
    <n v="889.27"/>
    <n v="0"/>
    <n v="595.16"/>
    <n v="0"/>
    <n v="998.96"/>
    <n v="0"/>
    <n v="0"/>
    <n v="0"/>
    <n v="0"/>
    <n v="0"/>
    <n v="0"/>
    <n v="1920.42"/>
    <n v="2605.54"/>
    <n v="179.93"/>
    <n v="38.06"/>
    <n v="1200.69"/>
    <n v="442.91"/>
    <n v="889.27"/>
    <n v="12861.59"/>
    <n v="13702.42"/>
    <n v="11927.34"/>
    <n v="12463.67"/>
    <n v="1842.56"/>
    <n v="2975.93"/>
    <n v="0"/>
    <n v="0"/>
    <n v="0"/>
    <n v="0"/>
    <n v="0"/>
    <n v="1823.53"/>
    <n v="9506.76"/>
    <x v="147"/>
    <n v="273.36"/>
    <n v="89178.89"/>
    <n v="37381.56"/>
    <n v="39175.629999999997"/>
    <x v="5"/>
    <m/>
    <m/>
    <m/>
    <s v="Yes"/>
    <s v="No"/>
    <s v="No"/>
    <s v="No"/>
    <s v="No"/>
    <s v="Yes"/>
    <s v="Yes"/>
    <s v="Yes"/>
    <s v="Yes"/>
    <s v="Yes"/>
    <s v="No"/>
  </r>
  <r>
    <x v="148"/>
    <n v="1347.1"/>
    <n v="361"/>
    <n v="0"/>
    <n v="177.1"/>
    <n v="0"/>
    <n v="278.89999999999998"/>
    <n v="0"/>
    <n v="0"/>
    <n v="0"/>
    <n v="0"/>
    <n v="0"/>
    <n v="0"/>
    <n v="598"/>
    <n v="895"/>
    <n v="58"/>
    <n v="12"/>
    <n v="477.90000000000009"/>
    <n v="151"/>
    <n v="562"/>
    <n v="4251"/>
    <n v="4918"/>
    <n v="3595"/>
    <n v="3780.9999999999995"/>
    <n v="732.75"/>
    <n v="809.41438953010356"/>
    <n v="252.71859474804808"/>
    <n v="0"/>
    <n v="0"/>
    <n v="0"/>
    <n v="314.18918918918922"/>
    <n v="520"/>
    <n v="2617.4278265326593"/>
    <n v="1323"/>
    <n v="496"/>
    <n v="25331.8"/>
    <n v="11425"/>
    <n v="12152.5"/>
    <n v="31.1"/>
    <n v="4331.51"/>
    <n v="1160.77"/>
    <n v="0"/>
    <n v="569.45000000000005"/>
    <n v="0"/>
    <n v="896.78"/>
    <n v="0"/>
    <n v="0"/>
    <n v="0"/>
    <n v="0"/>
    <n v="0"/>
    <n v="0"/>
    <n v="1922.83"/>
    <n v="2877.81"/>
    <n v="186.5"/>
    <n v="38.590000000000003"/>
    <n v="1536.66"/>
    <n v="485.53"/>
    <n v="1807.07"/>
    <n v="13668.81"/>
    <n v="15813.5"/>
    <n v="11559.49"/>
    <n v="12157.56"/>
    <n v="2356.11"/>
    <n v="2602.62"/>
    <n v="812.6"/>
    <n v="0"/>
    <n v="0"/>
    <n v="0"/>
    <n v="1010.25"/>
    <n v="1672.03"/>
    <n v="8416.17"/>
    <x v="148"/>
    <n v="1594.86"/>
    <n v="81452.73"/>
    <n v="36736.33"/>
    <n v="39075.56"/>
    <x v="5"/>
    <m/>
    <m/>
    <m/>
    <s v="Yes"/>
    <s v="No"/>
    <s v="No"/>
    <s v="No"/>
    <s v="No"/>
    <s v="No"/>
    <s v="Yes"/>
    <s v="Yes"/>
    <s v="Yes"/>
    <s v="Yes"/>
    <s v="No"/>
  </r>
  <r>
    <x v="149"/>
    <n v="1510"/>
    <n v="437"/>
    <n v="0"/>
    <n v="189.6"/>
    <n v="0"/>
    <n v="297"/>
    <n v="0"/>
    <n v="0"/>
    <n v="0"/>
    <n v="0"/>
    <n v="0"/>
    <n v="0"/>
    <n v="600"/>
    <n v="871"/>
    <n v="53"/>
    <n v="13"/>
    <n v="535.40000000000009"/>
    <n v="123"/>
    <n v="653"/>
    <n v="4494"/>
    <n v="5282"/>
    <n v="3780"/>
    <n v="3971.75"/>
    <n v="822"/>
    <n v="837.80118761851452"/>
    <n v="418.54861603974427"/>
    <n v="0"/>
    <n v="0"/>
    <n v="0"/>
    <n v="331.75675675675677"/>
    <n v="519"/>
    <n v="2686.6434395849851"/>
    <n v="1502"/>
    <n v="587"/>
    <n v="25899.8"/>
    <n v="12169"/>
    <n v="12775.75"/>
    <n v="32"/>
    <n v="4718.75"/>
    <n v="1365.63"/>
    <n v="0"/>
    <n v="592.5"/>
    <n v="0"/>
    <n v="928.13"/>
    <n v="0"/>
    <n v="0"/>
    <n v="0"/>
    <n v="0"/>
    <n v="0"/>
    <n v="0"/>
    <n v="1875"/>
    <n v="2721.88"/>
    <n v="165.63"/>
    <n v="40.630000000000003"/>
    <n v="1673.13"/>
    <n v="384.38"/>
    <n v="2040.63"/>
    <n v="14043.75"/>
    <n v="16506.25"/>
    <n v="11812.5"/>
    <n v="12411.72"/>
    <n v="2568.75"/>
    <n v="2618.13"/>
    <n v="1307.96"/>
    <n v="0"/>
    <n v="0"/>
    <n v="0"/>
    <n v="1036.74"/>
    <n v="1621.88"/>
    <n v="8395.76"/>
    <x v="149"/>
    <n v="1834.38"/>
    <n v="80936.88"/>
    <n v="38028.129999999997"/>
    <n v="39924.22"/>
    <x v="5"/>
    <m/>
    <m/>
    <m/>
    <s v="Yes"/>
    <s v="No"/>
    <s v="No"/>
    <s v="No"/>
    <s v="No"/>
    <s v="No"/>
    <s v="Yes"/>
    <s v="Yes"/>
    <s v="Yes"/>
    <s v="Yes"/>
    <s v="No"/>
  </r>
  <r>
    <x v="150"/>
    <n v="1570.3"/>
    <n v="443"/>
    <n v="0"/>
    <n v="185.2"/>
    <n v="0"/>
    <n v="267.7"/>
    <n v="0"/>
    <n v="0"/>
    <n v="0"/>
    <n v="0"/>
    <n v="0"/>
    <n v="0"/>
    <n v="606"/>
    <n v="941"/>
    <n v="55"/>
    <n v="13"/>
    <n v="540.80000000000018"/>
    <n v="137"/>
    <n v="712"/>
    <n v="4596"/>
    <n v="5471"/>
    <n v="3946"/>
    <n v="4193.75"/>
    <n v="911.5"/>
    <n v="917.4925657382737"/>
    <n v="457.22462739531557"/>
    <n v="0"/>
    <n v="0"/>
    <n v="0"/>
    <n v="342.22972972972974"/>
    <n v="520"/>
    <n v="2868.3030771366816"/>
    <n v="1525"/>
    <n v="466"/>
    <n v="25921.599999999999"/>
    <n v="12740"/>
    <n v="14111"/>
    <n v="33"/>
    <n v="4758.4799999999996"/>
    <n v="1342.42"/>
    <n v="0"/>
    <n v="561.21"/>
    <n v="0"/>
    <n v="811.21"/>
    <n v="0"/>
    <n v="0"/>
    <n v="0"/>
    <n v="0"/>
    <n v="0"/>
    <n v="0"/>
    <n v="1836.36"/>
    <n v="2851.52"/>
    <n v="166.67"/>
    <n v="39.39"/>
    <n v="1638.79"/>
    <n v="415.15"/>
    <n v="2157.58"/>
    <n v="13927.27"/>
    <n v="16578.79"/>
    <n v="11957.58"/>
    <n v="12708.33"/>
    <n v="2762.12"/>
    <n v="2780.28"/>
    <n v="1385.53"/>
    <n v="0"/>
    <n v="0"/>
    <n v="0"/>
    <n v="1037.06"/>
    <n v="1575.76"/>
    <n v="8691.83"/>
    <x v="150"/>
    <n v="1412.12"/>
    <n v="78550.3"/>
    <n v="38606.06"/>
    <n v="42760.61"/>
    <x v="5"/>
    <m/>
    <m/>
    <m/>
    <s v="Yes"/>
    <s v="No"/>
    <s v="No"/>
    <s v="No"/>
    <s v="No"/>
    <s v="No"/>
    <s v="Yes"/>
    <s v="Yes"/>
    <s v="Yes"/>
    <s v="Yes"/>
    <s v="No"/>
  </r>
  <r>
    <x v="151"/>
    <n v="1732.6"/>
    <n v="458"/>
    <n v="0"/>
    <n v="183"/>
    <n v="0"/>
    <n v="315.39999999999998"/>
    <n v="0"/>
    <n v="0"/>
    <n v="0"/>
    <n v="0"/>
    <n v="0"/>
    <n v="0"/>
    <n v="618"/>
    <n v="1031"/>
    <n v="61"/>
    <n v="14"/>
    <n v="578"/>
    <n v="149"/>
    <n v="757"/>
    <n v="4975"/>
    <n v="5897"/>
    <n v="4687"/>
    <n v="4850.0000000000009"/>
    <n v="1094.25"/>
    <n v="1221.6740351627143"/>
    <n v="470.99964513839586"/>
    <n v="0"/>
    <n v="0"/>
    <n v="0"/>
    <n v="388.51351351351349"/>
    <n v="564"/>
    <n v="3299.0628061853768"/>
    <n v="1210"/>
    <n v="69"/>
    <n v="25891"/>
    <n v="14303"/>
    <n v="15446.25"/>
    <n v="36"/>
    <n v="4812.78"/>
    <n v="1272.22"/>
    <n v="0"/>
    <n v="508.33"/>
    <n v="0"/>
    <n v="876.11"/>
    <n v="0"/>
    <n v="0"/>
    <n v="0"/>
    <n v="0"/>
    <n v="0"/>
    <n v="0"/>
    <n v="1716.67"/>
    <n v="2863.89"/>
    <n v="169.44"/>
    <n v="38.89"/>
    <n v="1605.56"/>
    <n v="413.89"/>
    <n v="2102.7800000000002"/>
    <n v="13819.44"/>
    <n v="16380.56"/>
    <n v="13019.44"/>
    <n v="13472.22"/>
    <n v="3039.58"/>
    <n v="3393.54"/>
    <n v="1308.33"/>
    <n v="0"/>
    <n v="0"/>
    <n v="0"/>
    <n v="1079.2"/>
    <n v="1566.67"/>
    <n v="9164.06"/>
    <x v="151"/>
    <n v="191.67"/>
    <n v="71919.44"/>
    <n v="39730.559999999998"/>
    <n v="42906.25"/>
    <x v="2"/>
    <m/>
    <m/>
    <m/>
    <s v="Yes"/>
    <s v="No"/>
    <s v="No"/>
    <s v="No"/>
    <s v="No"/>
    <s v="No"/>
    <s v="Yes"/>
    <s v="Yes"/>
    <s v="Yes"/>
    <s v="Yes"/>
    <s v="No"/>
  </r>
  <r>
    <x v="152"/>
    <n v="1933.9"/>
    <n v="488"/>
    <n v="0"/>
    <n v="151.80000000000001"/>
    <n v="0"/>
    <n v="379.1"/>
    <n v="0"/>
    <n v="0"/>
    <n v="0"/>
    <n v="0"/>
    <n v="0"/>
    <n v="0"/>
    <n v="616"/>
    <n v="1066"/>
    <n v="53"/>
    <n v="14"/>
    <n v="544.19999999999982"/>
    <n v="158"/>
    <n v="813"/>
    <n v="5275"/>
    <n v="6217"/>
    <n v="5031"/>
    <n v="5262"/>
    <n v="1279.25"/>
    <n v="1531.3245207326286"/>
    <n v="483.18523775727454"/>
    <n v="0"/>
    <n v="0"/>
    <n v="0"/>
    <n v="423.98648648648646"/>
    <n v="625"/>
    <n v="3477.7537550236107"/>
    <n v="1186"/>
    <n v="209"/>
    <n v="26051"/>
    <n v="15536"/>
    <n v="16617"/>
    <n v="39.299999999999997"/>
    <n v="4920.87"/>
    <n v="1241.73"/>
    <n v="0"/>
    <n v="386.26"/>
    <n v="0"/>
    <n v="964.63"/>
    <n v="0"/>
    <n v="0"/>
    <n v="0"/>
    <n v="0"/>
    <n v="0"/>
    <n v="0"/>
    <n v="1567.43"/>
    <n v="2712.47"/>
    <n v="134.86000000000001"/>
    <n v="35.619999999999997"/>
    <n v="1384.73"/>
    <n v="402.04"/>
    <n v="2068.6999999999998"/>
    <n v="13422.39"/>
    <n v="15819.34"/>
    <n v="12801.53"/>
    <n v="13389.31"/>
    <n v="3255.09"/>
    <n v="3896.5"/>
    <n v="1229.48"/>
    <n v="0"/>
    <n v="0"/>
    <n v="0"/>
    <n v="1078.8499999999999"/>
    <n v="1590.33"/>
    <n v="8849.25"/>
    <x v="152"/>
    <n v="531.80999999999995"/>
    <n v="66287.53"/>
    <n v="39531.81"/>
    <n v="42282.44"/>
    <x v="2"/>
    <m/>
    <m/>
    <m/>
    <s v="Yes"/>
    <s v="No"/>
    <s v="No"/>
    <s v="No"/>
    <s v="No"/>
    <s v="No"/>
    <s v="Yes"/>
    <s v="Yes"/>
    <s v="Yes"/>
    <s v="Yes"/>
    <s v="No"/>
  </r>
  <r>
    <x v="153"/>
    <n v="1924.7"/>
    <n v="527"/>
    <n v="0"/>
    <n v="164.5"/>
    <n v="0"/>
    <n v="254.3"/>
    <n v="0"/>
    <n v="0"/>
    <n v="0"/>
    <n v="0"/>
    <n v="0"/>
    <n v="0"/>
    <n v="633"/>
    <n v="1101"/>
    <n v="60"/>
    <n v="17"/>
    <n v="583.5"/>
    <n v="180"/>
    <n v="912"/>
    <n v="5290"/>
    <n v="6357"/>
    <n v="5181"/>
    <n v="5497.75"/>
    <n v="1387"/>
    <n v="1599.8174372211797"/>
    <n v="499.07948899929005"/>
    <n v="0"/>
    <n v="0"/>
    <n v="0"/>
    <n v="463.51351351351354"/>
    <n v="658"/>
    <n v="3664.3395602660171"/>
    <n v="1176"/>
    <n v="418"/>
    <n v="26583"/>
    <n v="16685"/>
    <n v="17600.5"/>
    <n v="40.5"/>
    <n v="4752.3500000000004"/>
    <n v="1301.23"/>
    <n v="0"/>
    <n v="406.17"/>
    <n v="0"/>
    <n v="627.9"/>
    <n v="0"/>
    <n v="0"/>
    <n v="0"/>
    <n v="0"/>
    <n v="0"/>
    <n v="0"/>
    <n v="1562.96"/>
    <n v="2718.52"/>
    <n v="148.15"/>
    <n v="41.98"/>
    <n v="1440.74"/>
    <n v="444.44"/>
    <n v="2251.85"/>
    <n v="13061.73"/>
    <n v="15696.3"/>
    <n v="12792.59"/>
    <n v="13574.69"/>
    <n v="3424.69"/>
    <n v="3950.17"/>
    <n v="1232.3"/>
    <n v="0"/>
    <n v="0"/>
    <n v="0"/>
    <n v="1144.48"/>
    <n v="1624.69"/>
    <n v="9047.75"/>
    <x v="153"/>
    <n v="1032.0999999999999"/>
    <n v="65637.039999999994"/>
    <n v="41197.53"/>
    <n v="43458.02"/>
    <x v="2"/>
    <m/>
    <m/>
    <m/>
    <s v="Yes"/>
    <s v="No"/>
    <s v="No"/>
    <s v="No"/>
    <s v="No"/>
    <s v="No"/>
    <s v="Yes"/>
    <s v="Yes"/>
    <s v="Yes"/>
    <s v="Yes"/>
    <s v="No"/>
  </r>
  <r>
    <x v="154"/>
    <n v="1950.7"/>
    <n v="531"/>
    <n v="0"/>
    <n v="187.9"/>
    <n v="0"/>
    <n v="249.3"/>
    <n v="0"/>
    <n v="0"/>
    <n v="0"/>
    <n v="0"/>
    <n v="0"/>
    <n v="0"/>
    <n v="654"/>
    <n v="1110"/>
    <n v="73"/>
    <n v="23"/>
    <n v="676.10000000000036"/>
    <n v="193"/>
    <n v="969"/>
    <n v="5441"/>
    <n v="6617"/>
    <n v="5225"/>
    <n v="5587"/>
    <n v="1381.5"/>
    <n v="1586.0146821873655"/>
    <n v="517.62278211497505"/>
    <n v="0"/>
    <n v="0"/>
    <n v="0"/>
    <n v="518.75"/>
    <n v="656"/>
    <n v="3690.112535697659"/>
    <n v="1392"/>
    <n v="257"/>
    <n v="26934"/>
    <n v="17601"/>
    <n v="18999.25"/>
    <n v="41.3"/>
    <n v="4723.24"/>
    <n v="1285.71"/>
    <n v="0"/>
    <n v="454.96"/>
    <n v="0"/>
    <n v="603.63"/>
    <n v="0"/>
    <n v="0"/>
    <n v="0"/>
    <n v="0"/>
    <n v="0"/>
    <n v="0"/>
    <n v="1583.54"/>
    <n v="2687.65"/>
    <n v="176.76"/>
    <n v="55.69"/>
    <n v="1637.05"/>
    <n v="467.31"/>
    <n v="2346.25"/>
    <n v="13174.33"/>
    <n v="16021.79"/>
    <n v="12651.33"/>
    <n v="13527.85"/>
    <n v="3345.04"/>
    <n v="3840.23"/>
    <n v="1253.32"/>
    <n v="0"/>
    <n v="0"/>
    <n v="0"/>
    <n v="1256.05"/>
    <n v="1588.38"/>
    <n v="8934.9"/>
    <x v="154"/>
    <n v="622.28"/>
    <n v="65215.5"/>
    <n v="42617.43"/>
    <n v="46003.03"/>
    <x v="2"/>
    <m/>
    <m/>
    <m/>
    <s v="Yes"/>
    <s v="No"/>
    <s v="No"/>
    <s v="No"/>
    <s v="No"/>
    <s v="No"/>
    <s v="Yes"/>
    <s v="Yes"/>
    <s v="Yes"/>
    <s v="Yes"/>
    <s v="No"/>
  </r>
  <r>
    <x v="155"/>
    <n v="2083"/>
    <n v="621"/>
    <n v="0"/>
    <n v="180"/>
    <n v="0"/>
    <n v="211"/>
    <n v="0"/>
    <n v="0"/>
    <n v="0"/>
    <n v="0"/>
    <n v="0"/>
    <n v="0"/>
    <n v="667"/>
    <n v="1256"/>
    <n v="72"/>
    <n v="26"/>
    <n v="735"/>
    <n v="211"/>
    <n v="1004"/>
    <n v="5803"/>
    <n v="7066"/>
    <n v="5373"/>
    <n v="5754"/>
    <n v="1391"/>
    <n v="1492.6647979591191"/>
    <n v="548.92512508934954"/>
    <n v="972.17708170871435"/>
    <n v="0"/>
    <n v="0"/>
    <n v="548.57301704966642"/>
    <n v="726"/>
    <n v="2856.6599781931504"/>
    <n v="1693"/>
    <n v="38"/>
    <n v="27039"/>
    <n v="19573"/>
    <n v="20636"/>
    <n v="43.1"/>
    <n v="4832.95"/>
    <n v="1440.84"/>
    <n v="0"/>
    <n v="417.63"/>
    <n v="0"/>
    <n v="489.56"/>
    <n v="0"/>
    <n v="0"/>
    <n v="0"/>
    <n v="0"/>
    <n v="0"/>
    <n v="0"/>
    <n v="1547.56"/>
    <n v="2914.15"/>
    <n v="167.05"/>
    <n v="60.32"/>
    <n v="1705.34"/>
    <n v="489.56"/>
    <n v="2329.4699999999998"/>
    <n v="13464.04"/>
    <n v="16394.43"/>
    <n v="12466.36"/>
    <n v="13350.35"/>
    <n v="3227.38"/>
    <n v="3463.26"/>
    <n v="1273.6099999999999"/>
    <n v="2255.63"/>
    <n v="0"/>
    <n v="0"/>
    <n v="1272.79"/>
    <n v="1684.45"/>
    <n v="6627.98"/>
    <x v="155"/>
    <n v="88.17"/>
    <n v="62735.5"/>
    <n v="45412.99"/>
    <n v="47879.35"/>
    <x v="2"/>
    <m/>
    <m/>
    <m/>
    <s v="Yes"/>
    <s v="No"/>
    <s v="No"/>
    <s v="No"/>
    <s v="No"/>
    <s v="No"/>
    <s v="Yes"/>
    <s v="Yes"/>
    <s v="Yes"/>
    <s v="Yes"/>
    <s v="No"/>
  </r>
  <r>
    <x v="156"/>
    <n v="2288"/>
    <n v="644"/>
    <n v="0"/>
    <n v="168"/>
    <n v="0"/>
    <n v="200"/>
    <n v="0"/>
    <n v="0"/>
    <n v="0"/>
    <n v="0"/>
    <n v="0"/>
    <n v="0"/>
    <n v="693"/>
    <n v="1326"/>
    <n v="64"/>
    <n v="28"/>
    <n v="767"/>
    <n v="255"/>
    <n v="1123"/>
    <n v="6190"/>
    <n v="7556"/>
    <n v="5882"/>
    <n v="6269"/>
    <n v="1497"/>
    <n v="1552.505432899751"/>
    <n v="597.89738205861329"/>
    <n v="1011.8977838691571"/>
    <n v="0"/>
    <n v="0"/>
    <n v="634.82209043736088"/>
    <n v="743"/>
    <n v="3225.877310735118"/>
    <n v="1674"/>
    <n v="82"/>
    <n v="27008"/>
    <n v="21162"/>
    <n v="22005.25"/>
    <n v="45.3"/>
    <n v="5050.7700000000004"/>
    <n v="1421.63"/>
    <n v="0"/>
    <n v="370.86"/>
    <n v="0"/>
    <n v="441.5"/>
    <n v="0"/>
    <n v="0"/>
    <n v="0"/>
    <n v="0"/>
    <n v="0"/>
    <n v="0"/>
    <n v="1529.8"/>
    <n v="2927.15"/>
    <n v="141.28"/>
    <n v="61.81"/>
    <n v="1693.16"/>
    <n v="562.91"/>
    <n v="2479.0300000000002"/>
    <n v="13664.46"/>
    <n v="16679.91"/>
    <n v="12984.55"/>
    <n v="13838.85"/>
    <n v="3304.64"/>
    <n v="3427.16"/>
    <n v="1319.86"/>
    <n v="2233.77"/>
    <n v="0"/>
    <n v="0"/>
    <n v="1401.37"/>
    <n v="1640.18"/>
    <n v="7121.14"/>
    <x v="156"/>
    <n v="181.02"/>
    <n v="59620.31"/>
    <n v="46715.23"/>
    <n v="48576.71"/>
    <x v="2"/>
    <m/>
    <m/>
    <m/>
    <s v="Yes"/>
    <s v="No"/>
    <s v="No"/>
    <s v="No"/>
    <s v="No"/>
    <s v="No"/>
    <s v="Yes"/>
    <s v="Yes"/>
    <s v="Yes"/>
    <s v="Yes"/>
    <s v="No"/>
  </r>
  <r>
    <x v="157"/>
    <n v="2381.8000000000002"/>
    <n v="693"/>
    <n v="0"/>
    <n v="178"/>
    <n v="0"/>
    <n v="255.2"/>
    <n v="0"/>
    <n v="0"/>
    <n v="0"/>
    <n v="0"/>
    <n v="0"/>
    <n v="0"/>
    <n v="719"/>
    <n v="1334"/>
    <n v="66"/>
    <n v="31"/>
    <n v="831"/>
    <n v="276"/>
    <n v="1182"/>
    <n v="6509"/>
    <n v="7947"/>
    <n v="6102"/>
    <n v="6546"/>
    <n v="1534"/>
    <n v="1526.1755535258733"/>
    <n v="643.90345782701934"/>
    <n v="1084.4267543075764"/>
    <n v="0"/>
    <n v="0"/>
    <n v="714.5663454410676"/>
    <n v="728"/>
    <n v="3382.9278888984627"/>
    <n v="1845"/>
    <n v="6"/>
    <n v="27232"/>
    <n v="22509"/>
    <n v="23004"/>
    <n v="46.9"/>
    <n v="5078.46"/>
    <n v="1477.61"/>
    <n v="0"/>
    <n v="379.53"/>
    <n v="0"/>
    <n v="544.14"/>
    <n v="0"/>
    <n v="0"/>
    <n v="0"/>
    <n v="0"/>
    <n v="0"/>
    <n v="0"/>
    <n v="1533.05"/>
    <n v="2844.35"/>
    <n v="140.72"/>
    <n v="66.099999999999994"/>
    <n v="1771.86"/>
    <n v="588.49"/>
    <n v="2520.2600000000002"/>
    <n v="13878.46"/>
    <n v="16944.560000000001"/>
    <n v="13010.66"/>
    <n v="13957.36"/>
    <n v="3270.79"/>
    <n v="3254.11"/>
    <n v="1372.93"/>
    <n v="2312.21"/>
    <n v="0"/>
    <n v="0"/>
    <n v="1523.6"/>
    <n v="1552.24"/>
    <n v="7213.07"/>
    <x v="157"/>
    <n v="12.79"/>
    <n v="58063.97"/>
    <n v="47993.599999999999"/>
    <n v="49049.04"/>
    <x v="2"/>
    <m/>
    <m/>
    <m/>
    <s v="Yes"/>
    <s v="No"/>
    <s v="No"/>
    <s v="No"/>
    <s v="No"/>
    <s v="No"/>
    <s v="Yes"/>
    <s v="Yes"/>
    <s v="Yes"/>
    <s v="Yes"/>
    <s v="No"/>
  </r>
  <r>
    <x v="158"/>
    <n v="2484.1999999999998"/>
    <n v="880"/>
    <n v="0"/>
    <n v="189"/>
    <n v="0"/>
    <n v="274.8"/>
    <n v="0"/>
    <n v="0"/>
    <n v="0"/>
    <n v="0"/>
    <n v="0"/>
    <n v="0"/>
    <n v="745"/>
    <n v="1324"/>
    <n v="69"/>
    <n v="33"/>
    <n v="896"/>
    <n v="290"/>
    <n v="1167"/>
    <n v="6892"/>
    <n v="8352"/>
    <n v="6460"/>
    <n v="6929"/>
    <n v="1624"/>
    <n v="1485.9626468457684"/>
    <n v="689.24365618298782"/>
    <n v="1327.8063293633822"/>
    <n v="0"/>
    <n v="0"/>
    <n v="771.42327650111201"/>
    <n v="804"/>
    <n v="3474.5640911067499"/>
    <n v="1892"/>
    <n v="71"/>
    <n v="27376"/>
    <n v="23334"/>
    <n v="23956"/>
    <n v="48.4"/>
    <n v="5132.6400000000003"/>
    <n v="1818.18"/>
    <n v="0"/>
    <n v="390.5"/>
    <n v="0"/>
    <n v="567.77"/>
    <n v="0"/>
    <n v="0"/>
    <n v="0"/>
    <n v="0"/>
    <n v="0"/>
    <n v="0"/>
    <n v="1539.26"/>
    <n v="2735.54"/>
    <n v="142.56"/>
    <n v="68.180000000000007"/>
    <n v="1851.24"/>
    <n v="599.16999999999996"/>
    <n v="2411.16"/>
    <n v="14239.67"/>
    <n v="17256.2"/>
    <n v="13347.11"/>
    <n v="14316.12"/>
    <n v="3355.37"/>
    <n v="3070.17"/>
    <n v="1424.06"/>
    <n v="2743.4"/>
    <n v="0"/>
    <n v="0"/>
    <n v="1593.85"/>
    <n v="1661.16"/>
    <n v="7178.85"/>
    <x v="158"/>
    <n v="146.69"/>
    <n v="56561.98"/>
    <n v="48210.74"/>
    <n v="49495.87"/>
    <x v="2"/>
    <m/>
    <m/>
    <m/>
    <s v="Yes"/>
    <s v="No"/>
    <s v="No"/>
    <s v="No"/>
    <s v="No"/>
    <s v="No"/>
    <s v="Yes"/>
    <s v="Yes"/>
    <s v="Yes"/>
    <s v="Yes"/>
    <s v="No"/>
  </r>
  <r>
    <x v="159"/>
    <n v="2398.1999999999998"/>
    <n v="906"/>
    <n v="0"/>
    <n v="226"/>
    <n v="0"/>
    <n v="261.8"/>
    <n v="0"/>
    <n v="0"/>
    <n v="0"/>
    <n v="0"/>
    <n v="0"/>
    <n v="0"/>
    <n v="781"/>
    <n v="1382"/>
    <n v="94"/>
    <n v="36"/>
    <n v="983"/>
    <n v="324"/>
    <n v="1016"/>
    <n v="7072"/>
    <n v="8408"/>
    <n v="6876"/>
    <n v="7401"/>
    <n v="1709"/>
    <n v="1524.0212906680101"/>
    <n v="749.11208899213716"/>
    <n v="1393.2165246094105"/>
    <n v="0"/>
    <n v="0"/>
    <n v="832.85767234988873"/>
    <n v="799"/>
    <n v="3811.7924233805529"/>
    <n v="1532"/>
    <n v="569"/>
    <n v="27733"/>
    <n v="24872"/>
    <n v="25788"/>
    <n v="48.6"/>
    <n v="4934.57"/>
    <n v="1864.2"/>
    <n v="0"/>
    <n v="465.02"/>
    <n v="0"/>
    <n v="538.67999999999995"/>
    <n v="0"/>
    <n v="0"/>
    <n v="0"/>
    <n v="0"/>
    <n v="0"/>
    <n v="0"/>
    <n v="1607"/>
    <n v="2843.62"/>
    <n v="193.42"/>
    <n v="74.069999999999993"/>
    <n v="2022.63"/>
    <n v="666.67"/>
    <n v="2090.5300000000002"/>
    <n v="14551.44"/>
    <n v="17300.41"/>
    <n v="14148.15"/>
    <n v="15228.4"/>
    <n v="3516.46"/>
    <n v="3135.85"/>
    <n v="1541.38"/>
    <n v="2866.7"/>
    <n v="0"/>
    <n v="0"/>
    <n v="1713.7"/>
    <n v="1644.03"/>
    <n v="7843.19"/>
    <x v="159"/>
    <n v="1170.78"/>
    <n v="57063.79"/>
    <n v="51176.95"/>
    <n v="53061.73"/>
    <x v="2"/>
    <m/>
    <m/>
    <m/>
    <s v="Yes"/>
    <s v="No"/>
    <s v="No"/>
    <s v="No"/>
    <s v="No"/>
    <s v="No"/>
    <s v="Yes"/>
    <s v="Yes"/>
    <s v="Yes"/>
    <s v="Yes"/>
    <s v="No"/>
  </r>
  <r>
    <x v="160"/>
    <n v="2619.9"/>
    <n v="913"/>
    <n v="0"/>
    <n v="236"/>
    <n v="0"/>
    <n v="263.10000000000002"/>
    <n v="0"/>
    <n v="0"/>
    <n v="0"/>
    <n v="0"/>
    <n v="0"/>
    <n v="0"/>
    <n v="828"/>
    <n v="1399"/>
    <n v="94"/>
    <n v="38"/>
    <n v="1075"/>
    <n v="345"/>
    <n v="1140"/>
    <n v="7429"/>
    <n v="8951"/>
    <n v="7330"/>
    <n v="7920"/>
    <n v="1808"/>
    <n v="1583.3832005291172"/>
    <n v="812.37044317369555"/>
    <n v="1433.8657626645133"/>
    <n v="0"/>
    <n v="0"/>
    <n v="905.8561897702001"/>
    <n v="888"/>
    <n v="4104.5244038624751"/>
    <n v="1621"/>
    <n v="662"/>
    <n v="28252"/>
    <n v="26641"/>
    <n v="27584"/>
    <n v="49.1"/>
    <n v="5335.85"/>
    <n v="1859.47"/>
    <n v="0"/>
    <n v="480.65"/>
    <n v="0"/>
    <n v="535.85"/>
    <n v="0"/>
    <n v="0"/>
    <n v="0"/>
    <n v="0"/>
    <n v="0"/>
    <n v="0"/>
    <n v="1686.35"/>
    <n v="2849.29"/>
    <n v="191.45"/>
    <n v="77.39"/>
    <n v="2189.41"/>
    <n v="702.65"/>
    <n v="2321.79"/>
    <n v="15130.35"/>
    <n v="18230.14"/>
    <n v="14928.72"/>
    <n v="16130.35"/>
    <n v="3682.28"/>
    <n v="3224.81"/>
    <n v="1654.52"/>
    <n v="2920.3"/>
    <n v="0"/>
    <n v="0"/>
    <n v="1844.92"/>
    <n v="1808.55"/>
    <n v="8359.52"/>
    <x v="160"/>
    <n v="1348.27"/>
    <n v="57539.71"/>
    <n v="54258.66"/>
    <n v="56179.23"/>
    <x v="2"/>
    <m/>
    <m/>
    <m/>
    <s v="Yes"/>
    <s v="No"/>
    <s v="No"/>
    <s v="No"/>
    <s v="No"/>
    <s v="No"/>
    <s v="Yes"/>
    <s v="Yes"/>
    <s v="Yes"/>
    <s v="Yes"/>
    <s v="No"/>
  </r>
  <r>
    <x v="161"/>
    <n v="2942.9"/>
    <n v="1144"/>
    <n v="0"/>
    <n v="261"/>
    <n v="0"/>
    <n v="335.1"/>
    <n v="0"/>
    <n v="0"/>
    <n v="0"/>
    <n v="0"/>
    <n v="0"/>
    <n v="0"/>
    <n v="863"/>
    <n v="1576"/>
    <n v="97"/>
    <n v="38"/>
    <n v="1061"/>
    <n v="373"/>
    <n v="1327"/>
    <n v="8400"/>
    <n v="10018"/>
    <n v="7861"/>
    <n v="8578"/>
    <n v="2104"/>
    <n v="1679.1282164341276"/>
    <n v="868.0620085775555"/>
    <n v="1602.3434422177691"/>
    <n v="0"/>
    <n v="0"/>
    <n v="1014.0289103039288"/>
    <n v="928"/>
    <n v="4590.4374224666199"/>
    <n v="2157"/>
    <n v="610"/>
    <n v="28674"/>
    <n v="28140"/>
    <n v="28844"/>
    <n v="50.8"/>
    <n v="5793.11"/>
    <n v="2251.9699999999998"/>
    <n v="0"/>
    <n v="513.78"/>
    <n v="0"/>
    <n v="659.65"/>
    <n v="0"/>
    <n v="0"/>
    <n v="0"/>
    <n v="0"/>
    <n v="0"/>
    <n v="0"/>
    <n v="1698.82"/>
    <n v="3102.36"/>
    <n v="190.94"/>
    <n v="74.8"/>
    <n v="2088.58"/>
    <n v="734.25"/>
    <n v="2612.1999999999998"/>
    <n v="16535.43"/>
    <n v="19720.47"/>
    <n v="15474.41"/>
    <n v="16885.830000000002"/>
    <n v="4141.7299999999996"/>
    <n v="3305.37"/>
    <n v="1708.78"/>
    <n v="3154.22"/>
    <n v="0"/>
    <n v="0"/>
    <n v="1996.12"/>
    <n v="1826.77"/>
    <n v="9036.2900000000009"/>
    <x v="161"/>
    <n v="1200.79"/>
    <n v="56444.88"/>
    <n v="55393.7"/>
    <n v="56779.53"/>
    <x v="2"/>
    <m/>
    <m/>
    <m/>
    <s v="Yes"/>
    <s v="No"/>
    <s v="No"/>
    <s v="No"/>
    <s v="No"/>
    <s v="No"/>
    <s v="Yes"/>
    <s v="Yes"/>
    <s v="Yes"/>
    <s v="Yes"/>
    <s v="No"/>
  </r>
  <r>
    <x v="162"/>
    <n v="2971.9"/>
    <n v="1194"/>
    <n v="0"/>
    <n v="270"/>
    <n v="0"/>
    <n v="383.1"/>
    <n v="0"/>
    <n v="0"/>
    <n v="0"/>
    <n v="0"/>
    <n v="0"/>
    <n v="0"/>
    <n v="883"/>
    <n v="1624"/>
    <n v="97"/>
    <n v="42"/>
    <n v="1164"/>
    <n v="412"/>
    <n v="1450"/>
    <n v="8731"/>
    <n v="10491"/>
    <n v="8229"/>
    <n v="8920"/>
    <n v="2179"/>
    <n v="1774.1551447198513"/>
    <n v="911.22297176554684"/>
    <n v="1697.982639367719"/>
    <n v="0"/>
    <n v="0"/>
    <n v="1156.653076352854"/>
    <n v="910"/>
    <n v="4648.9861677940289"/>
    <n v="2262"/>
    <n v="538"/>
    <n v="29848"/>
    <n v="29451"/>
    <n v="30385"/>
    <n v="53"/>
    <n v="5607.36"/>
    <n v="2252.83"/>
    <n v="0"/>
    <n v="509.43"/>
    <n v="0"/>
    <n v="722.83"/>
    <n v="0"/>
    <n v="0"/>
    <n v="0"/>
    <n v="0"/>
    <n v="0"/>
    <n v="0"/>
    <n v="1666.04"/>
    <n v="3064.15"/>
    <n v="183.02"/>
    <n v="79.25"/>
    <n v="2196.23"/>
    <n v="777.36"/>
    <n v="2735.85"/>
    <n v="16473.580000000002"/>
    <n v="19794.34"/>
    <n v="15526.42"/>
    <n v="16830.189999999999"/>
    <n v="4111.32"/>
    <n v="3347.46"/>
    <n v="1719.29"/>
    <n v="3203.74"/>
    <n v="0"/>
    <n v="0"/>
    <n v="2182.36"/>
    <n v="1716.98"/>
    <n v="8771.67"/>
    <x v="162"/>
    <n v="1015.09"/>
    <n v="56316.98"/>
    <n v="55567.92"/>
    <n v="57330.19"/>
    <x v="2"/>
    <m/>
    <m/>
    <m/>
    <s v="Yes"/>
    <s v="No"/>
    <s v="No"/>
    <s v="No"/>
    <s v="No"/>
    <s v="No"/>
    <s v="Yes"/>
    <s v="Yes"/>
    <s v="Yes"/>
    <s v="Yes"/>
    <s v="No"/>
  </r>
  <r>
    <x v="163"/>
    <n v="2943.6"/>
    <n v="1361"/>
    <n v="0"/>
    <n v="313"/>
    <n v="0"/>
    <n v="390.4"/>
    <n v="0"/>
    <n v="0"/>
    <n v="0"/>
    <n v="0"/>
    <n v="0"/>
    <n v="0"/>
    <n v="906"/>
    <n v="1696"/>
    <n v="87"/>
    <n v="55"/>
    <n v="1239"/>
    <n v="450"/>
    <n v="1670"/>
    <n v="9160"/>
    <n v="11111"/>
    <n v="9222"/>
    <n v="9342"/>
    <n v="2769"/>
    <n v="1834.9532298195331"/>
    <n v="980.95849714081498"/>
    <n v="1950.5444027151593"/>
    <n v="0"/>
    <n v="0"/>
    <n v="1267.9577464788731"/>
    <n v="969"/>
    <n v="5107.5861238456191"/>
    <n v="1889"/>
    <n v="863"/>
    <n v="30226"/>
    <n v="31925"/>
    <n v="33343"/>
    <n v="54"/>
    <n v="5451.11"/>
    <n v="2520.37"/>
    <n v="0"/>
    <n v="579.63"/>
    <n v="0"/>
    <n v="722.96"/>
    <n v="0"/>
    <n v="0"/>
    <n v="0"/>
    <n v="0"/>
    <n v="0"/>
    <n v="0"/>
    <n v="1677.78"/>
    <n v="3140.74"/>
    <n v="161.11000000000001"/>
    <n v="101.85"/>
    <n v="2294.44"/>
    <n v="833.33"/>
    <n v="3092.59"/>
    <n v="16962.96"/>
    <n v="20575.93"/>
    <n v="17077.78"/>
    <n v="17300"/>
    <n v="5127.78"/>
    <n v="3398.06"/>
    <n v="1816.59"/>
    <n v="3612.12"/>
    <n v="0"/>
    <n v="0"/>
    <n v="2348.0700000000002"/>
    <n v="1794.44"/>
    <n v="9458.49"/>
    <x v="163"/>
    <n v="1598.15"/>
    <n v="55974.07"/>
    <n v="59120.37"/>
    <n v="61746.3"/>
    <x v="2"/>
    <m/>
    <m/>
    <m/>
    <s v="Yes"/>
    <s v="No"/>
    <s v="No"/>
    <s v="No"/>
    <s v="No"/>
    <s v="No"/>
    <s v="Yes"/>
    <s v="Yes"/>
    <s v="Yes"/>
    <s v="Yes"/>
    <s v="No"/>
  </r>
  <r>
    <x v="164"/>
    <n v="3316.4"/>
    <n v="1461"/>
    <n v="0"/>
    <n v="297"/>
    <n v="0"/>
    <n v="422.6"/>
    <n v="0"/>
    <n v="0"/>
    <n v="0"/>
    <n v="0"/>
    <n v="0"/>
    <n v="0"/>
    <n v="956"/>
    <n v="1977"/>
    <n v="80"/>
    <n v="56"/>
    <n v="1410"/>
    <n v="490"/>
    <n v="1847"/>
    <n v="10137"/>
    <n v="12313"/>
    <n v="9327"/>
    <n v="9922.9999999999982"/>
    <n v="3184"/>
    <n v="1932.8525085824065"/>
    <n v="1087.8015546819158"/>
    <n v="2024.3114210131257"/>
    <n v="0"/>
    <n v="0"/>
    <n v="1406.0044477390661"/>
    <n v="980"/>
    <n v="5676.0300679834845"/>
    <n v="2986"/>
    <n v="651"/>
    <n v="30441"/>
    <n v="34856"/>
    <n v="36165"/>
    <n v="55.8"/>
    <n v="5943.37"/>
    <n v="2618.2800000000002"/>
    <n v="0"/>
    <n v="532.26"/>
    <n v="0"/>
    <n v="757.35"/>
    <n v="0"/>
    <n v="0"/>
    <n v="0"/>
    <n v="0"/>
    <n v="0"/>
    <n v="0"/>
    <n v="1713.26"/>
    <n v="3543.01"/>
    <n v="143.37"/>
    <n v="100.36"/>
    <n v="2526.88"/>
    <n v="878.14"/>
    <n v="3310.04"/>
    <n v="18166.669999999998"/>
    <n v="22066.31"/>
    <n v="16715.05"/>
    <n v="17783.150000000001"/>
    <n v="5706.09"/>
    <n v="3463.89"/>
    <n v="1949.47"/>
    <n v="3627.8"/>
    <n v="0"/>
    <n v="0"/>
    <n v="2519.7199999999998"/>
    <n v="1756.27"/>
    <n v="10172.1"/>
    <x v="164"/>
    <n v="1166.67"/>
    <n v="54553.760000000002"/>
    <n v="62465.95"/>
    <n v="64811.83"/>
    <x v="2"/>
    <m/>
    <m/>
    <m/>
    <s v="Yes"/>
    <s v="No"/>
    <s v="No"/>
    <s v="No"/>
    <s v="No"/>
    <s v="No"/>
    <s v="Yes"/>
    <s v="Yes"/>
    <s v="Yes"/>
    <s v="Yes"/>
    <s v="No"/>
  </r>
  <r>
    <x v="165"/>
    <n v="3955.3"/>
    <n v="1755"/>
    <n v="0"/>
    <n v="293"/>
    <n v="0"/>
    <n v="437.7"/>
    <n v="0"/>
    <n v="0"/>
    <n v="0"/>
    <n v="0"/>
    <n v="0"/>
    <n v="0"/>
    <n v="1007"/>
    <n v="2097"/>
    <n v="77"/>
    <n v="73"/>
    <n v="1629"/>
    <n v="555"/>
    <n v="2040"/>
    <n v="11498"/>
    <n v="13919"/>
    <n v="10996"/>
    <n v="11166"/>
    <n v="3451"/>
    <n v="2039.8475638562563"/>
    <n v="1232.9022962830593"/>
    <n v="2396.0352908418949"/>
    <n v="0"/>
    <n v="0"/>
    <n v="1571.5159377316529"/>
    <n v="1010.9999999999999"/>
    <n v="6365.6989112871361"/>
    <n v="2923"/>
    <n v="571"/>
    <n v="31341"/>
    <n v="37465"/>
    <n v="38759"/>
    <n v="58.4"/>
    <n v="6772.77"/>
    <n v="3005.14"/>
    <n v="0"/>
    <n v="501.71"/>
    <n v="0"/>
    <n v="749.49"/>
    <n v="0"/>
    <n v="0"/>
    <n v="0"/>
    <n v="0"/>
    <n v="0"/>
    <n v="0"/>
    <n v="1724.32"/>
    <n v="3590.75"/>
    <n v="131.85"/>
    <n v="125"/>
    <n v="2789.38"/>
    <n v="950.34"/>
    <n v="3493.15"/>
    <n v="19688.36"/>
    <n v="23833.9"/>
    <n v="18828.77"/>
    <n v="19119.86"/>
    <n v="5909.25"/>
    <n v="3492.89"/>
    <n v="2111.13"/>
    <n v="4102.8"/>
    <n v="0"/>
    <n v="0"/>
    <n v="2690.95"/>
    <n v="1731.16"/>
    <n v="10900.17"/>
    <x v="165"/>
    <n v="977.74"/>
    <n v="53666.1"/>
    <n v="64152.4"/>
    <n v="66368.149999999994"/>
    <x v="5"/>
    <m/>
    <m/>
    <m/>
    <s v="Yes"/>
    <s v="No"/>
    <s v="No"/>
    <s v="No"/>
    <s v="No"/>
    <s v="No"/>
    <s v="Yes"/>
    <s v="Yes"/>
    <s v="Yes"/>
    <s v="Yes"/>
    <s v="No"/>
  </r>
  <r>
    <x v="166"/>
    <n v="3747"/>
    <n v="1827"/>
    <n v="7"/>
    <n v="301"/>
    <n v="0"/>
    <n v="1049"/>
    <n v="0"/>
    <n v="0"/>
    <n v="0"/>
    <n v="0"/>
    <n v="0"/>
    <n v="0"/>
    <n v="1032"/>
    <n v="2276"/>
    <n v="78"/>
    <n v="75"/>
    <n v="1960"/>
    <n v="614"/>
    <n v="2146"/>
    <n v="12541"/>
    <n v="15112"/>
    <n v="11480"/>
    <n v="12139.999999999998"/>
    <n v="4035.9999999999995"/>
    <n v="2162.1618216749075"/>
    <n v="1358.5715243030736"/>
    <n v="2534.3871391461912"/>
    <n v="0"/>
    <n v="0"/>
    <n v="1733.8954781319496"/>
    <n v="1088"/>
    <n v="7298.9840367438792"/>
    <n v="3632"/>
    <n v="957"/>
    <n v="31986"/>
    <n v="39955"/>
    <n v="41156"/>
    <n v="60.7"/>
    <n v="6172.98"/>
    <n v="3009.88"/>
    <n v="11.53"/>
    <n v="495.88"/>
    <n v="0"/>
    <n v="1728.17"/>
    <n v="0"/>
    <n v="0"/>
    <n v="0"/>
    <n v="0"/>
    <n v="0"/>
    <n v="0"/>
    <n v="1700.16"/>
    <n v="3749.59"/>
    <n v="128.5"/>
    <n v="123.56"/>
    <n v="3229"/>
    <n v="1011.53"/>
    <n v="3535.42"/>
    <n v="20660.63"/>
    <n v="24896.21"/>
    <n v="18912.689999999999"/>
    <n v="20000"/>
    <n v="6649.09"/>
    <n v="3562.05"/>
    <n v="2238.17"/>
    <n v="4175.2700000000004"/>
    <n v="0"/>
    <n v="0"/>
    <n v="2856.5"/>
    <n v="1792.42"/>
    <n v="12024.69"/>
    <x v="166"/>
    <n v="1576.61"/>
    <n v="52695.22"/>
    <n v="65823.72"/>
    <n v="67802.31"/>
    <x v="5"/>
    <m/>
    <m/>
    <m/>
    <s v="Yes"/>
    <s v="No"/>
    <s v="No"/>
    <s v="No"/>
    <s v="No"/>
    <s v="No"/>
    <s v="Yes"/>
    <s v="Yes"/>
    <s v="Yes"/>
    <s v="Yes"/>
    <s v="No"/>
  </r>
  <r>
    <x v="167"/>
    <n v="4134"/>
    <n v="1975"/>
    <n v="16"/>
    <n v="329"/>
    <n v="0"/>
    <n v="1214"/>
    <n v="0"/>
    <n v="0"/>
    <n v="0"/>
    <n v="0"/>
    <n v="0"/>
    <n v="0"/>
    <n v="1049"/>
    <n v="2557"/>
    <n v="99"/>
    <n v="79"/>
    <n v="2261"/>
    <n v="627"/>
    <n v="2354"/>
    <n v="13861"/>
    <n v="16694"/>
    <n v="13282"/>
    <n v="13629"/>
    <n v="4833"/>
    <n v="2316.7900223615002"/>
    <n v="1475.463277340958"/>
    <n v="2878.0485908252458"/>
    <n v="0"/>
    <n v="0"/>
    <n v="1873.1467753891773"/>
    <n v="1158"/>
    <n v="8760.5513340831203"/>
    <n v="3412"/>
    <n v="1637"/>
    <n v="34194"/>
    <n v="42518"/>
    <n v="44400"/>
    <n v="62.3"/>
    <n v="6635.63"/>
    <n v="3170.14"/>
    <n v="25.68"/>
    <n v="528.09"/>
    <n v="0"/>
    <n v="1948.64"/>
    <n v="0"/>
    <n v="0"/>
    <n v="0"/>
    <n v="0"/>
    <n v="0"/>
    <n v="0"/>
    <n v="1683.79"/>
    <n v="4104.33"/>
    <n v="158.91"/>
    <n v="126.81"/>
    <n v="3629.21"/>
    <n v="1006.42"/>
    <n v="3778.49"/>
    <n v="22248.799999999999"/>
    <n v="26796.15"/>
    <n v="21319.42"/>
    <n v="21876.400000000001"/>
    <n v="7757.62"/>
    <n v="3718.76"/>
    <n v="2368.3200000000002"/>
    <n v="4619.66"/>
    <n v="0"/>
    <n v="0"/>
    <n v="3006.66"/>
    <n v="1858.75"/>
    <n v="14061.88"/>
    <x v="167"/>
    <n v="2627.61"/>
    <n v="54886.04"/>
    <n v="68247.19"/>
    <n v="71268.06"/>
    <x v="5"/>
    <m/>
    <m/>
    <m/>
    <s v="Yes"/>
    <s v="No"/>
    <s v="No"/>
    <s v="No"/>
    <s v="No"/>
    <s v="No"/>
    <s v="Yes"/>
    <s v="Yes"/>
    <s v="Yes"/>
    <s v="Yes"/>
    <s v="No"/>
  </r>
  <r>
    <x v="168"/>
    <n v="4757"/>
    <n v="2192"/>
    <n v="47"/>
    <n v="382"/>
    <n v="0"/>
    <n v="1342"/>
    <n v="0"/>
    <n v="1"/>
    <n v="0"/>
    <n v="0"/>
    <n v="0"/>
    <n v="0"/>
    <n v="1104"/>
    <n v="3018"/>
    <n v="126"/>
    <n v="86"/>
    <n v="2809"/>
    <n v="658"/>
    <n v="2647"/>
    <n v="15814"/>
    <n v="19169"/>
    <n v="14382"/>
    <n v="14617"/>
    <n v="4888"/>
    <n v="2303.3857201347982"/>
    <n v="1578.5532076483205"/>
    <n v="3272.7795167105842"/>
    <n v="0"/>
    <n v="0"/>
    <n v="2056.9681245366937"/>
    <n v="1295"/>
    <n v="8998.3134309696034"/>
    <n v="4787"/>
    <n v="270"/>
    <n v="33984"/>
    <n v="46778"/>
    <n v="48714"/>
    <n v="65.2"/>
    <n v="7296.01"/>
    <n v="3361.96"/>
    <n v="72.09"/>
    <n v="585.89"/>
    <n v="0"/>
    <n v="2058.2800000000002"/>
    <n v="0"/>
    <n v="1.53"/>
    <n v="0"/>
    <n v="0"/>
    <n v="0"/>
    <n v="0"/>
    <n v="1693.25"/>
    <n v="4628.83"/>
    <n v="193.25"/>
    <n v="131.9"/>
    <n v="4308.28"/>
    <n v="1009.2"/>
    <n v="4059.82"/>
    <n v="24254.6"/>
    <n v="29400.31"/>
    <n v="22058.28"/>
    <n v="22418.71"/>
    <n v="7496.93"/>
    <n v="3532.8"/>
    <n v="2421.09"/>
    <n v="5019.6000000000004"/>
    <n v="0"/>
    <n v="0"/>
    <n v="3154.86"/>
    <n v="1986.2"/>
    <n v="13801.09"/>
    <x v="168"/>
    <n v="414.11"/>
    <n v="52122.7"/>
    <n v="71745.399999999994"/>
    <n v="74714.720000000001"/>
    <x v="5"/>
    <m/>
    <m/>
    <m/>
    <s v="Yes"/>
    <s v="No"/>
    <s v="No"/>
    <s v="No"/>
    <s v="No"/>
    <s v="No"/>
    <s v="Yes"/>
    <s v="Yes"/>
    <s v="Yes"/>
    <s v="Yes"/>
    <s v="Yes"/>
  </r>
  <r>
    <x v="169"/>
    <n v="5298"/>
    <n v="2324"/>
    <n v="126"/>
    <n v="364"/>
    <n v="0"/>
    <n v="1696"/>
    <n v="0"/>
    <n v="2"/>
    <n v="0"/>
    <n v="0"/>
    <n v="0"/>
    <n v="0"/>
    <n v="1140"/>
    <n v="3430"/>
    <n v="120"/>
    <n v="100"/>
    <n v="3326"/>
    <n v="699"/>
    <n v="2754"/>
    <n v="17863"/>
    <n v="21379"/>
    <n v="16567"/>
    <n v="15486"/>
    <n v="5002"/>
    <n v="2236.1248464615287"/>
    <n v="1683.5197015725521"/>
    <n v="3499.6517869724394"/>
    <n v="0"/>
    <n v="0"/>
    <n v="2236.212008895478"/>
    <n v="1333"/>
    <n v="9499.491656098"/>
    <n v="4812"/>
    <n v="872"/>
    <n v="33079"/>
    <n v="50863"/>
    <n v="54113"/>
    <n v="68.7"/>
    <n v="7711.79"/>
    <n v="3382.82"/>
    <n v="183.41"/>
    <n v="529.84"/>
    <n v="0"/>
    <n v="2468.6999999999998"/>
    <n v="0"/>
    <n v="2.91"/>
    <n v="0"/>
    <n v="0"/>
    <n v="0"/>
    <n v="0"/>
    <n v="1659.39"/>
    <n v="4992.72"/>
    <n v="174.67"/>
    <n v="145.56"/>
    <n v="4841.34"/>
    <n v="1017.47"/>
    <n v="4008.73"/>
    <n v="26001.46"/>
    <n v="31119.360000000001"/>
    <n v="24114.99"/>
    <n v="22541.48"/>
    <n v="7280.93"/>
    <n v="3254.91"/>
    <n v="2450.54"/>
    <n v="5094.1099999999997"/>
    <n v="0"/>
    <n v="0"/>
    <n v="3255.04"/>
    <n v="1940.32"/>
    <n v="13827.5"/>
    <x v="169"/>
    <n v="1269.29"/>
    <n v="48149.93"/>
    <n v="74036.39"/>
    <n v="78767.100000000006"/>
    <x v="5"/>
    <m/>
    <m/>
    <m/>
    <s v="Yes"/>
    <s v="No"/>
    <s v="No"/>
    <s v="No"/>
    <s v="No"/>
    <s v="No"/>
    <s v="Yes"/>
    <s v="Yes"/>
    <s v="Yes"/>
    <s v="Yes"/>
    <s v="Yes"/>
  </r>
  <r>
    <x v="170"/>
    <n v="6129"/>
    <n v="2660"/>
    <n v="136"/>
    <n v="356"/>
    <n v="0"/>
    <n v="1582"/>
    <n v="0"/>
    <n v="3"/>
    <n v="0"/>
    <n v="0"/>
    <n v="0"/>
    <n v="0"/>
    <n v="1143"/>
    <n v="3777"/>
    <n v="118"/>
    <n v="103"/>
    <n v="3651"/>
    <n v="745"/>
    <n v="2817"/>
    <n v="19457"/>
    <n v="23220"/>
    <n v="17217"/>
    <n v="17142"/>
    <n v="5744"/>
    <n v="2426.1787030329747"/>
    <n v="1920.2693888491781"/>
    <n v="3751.8008677000307"/>
    <n v="0"/>
    <n v="0"/>
    <n v="2528.4469977761305"/>
    <n v="1347"/>
    <n v="10912.304042641686"/>
    <n v="6003"/>
    <n v="323"/>
    <n v="33442"/>
    <n v="57742"/>
    <n v="61180"/>
    <n v="73.099999999999994"/>
    <n v="8384.4"/>
    <n v="3638.85"/>
    <n v="186.05"/>
    <n v="487"/>
    <n v="0"/>
    <n v="2164.16"/>
    <n v="0"/>
    <n v="4.0999999999999996"/>
    <n v="0"/>
    <n v="0"/>
    <n v="0"/>
    <n v="0"/>
    <n v="1563.61"/>
    <n v="5166.8900000000003"/>
    <n v="161.41999999999999"/>
    <n v="140.9"/>
    <n v="4994.53"/>
    <n v="1019.15"/>
    <n v="3853.63"/>
    <n v="26616.959999999999"/>
    <n v="31764.71"/>
    <n v="23552.67"/>
    <n v="23450.07"/>
    <n v="7857.73"/>
    <n v="3318.99"/>
    <n v="2626.91"/>
    <n v="5132.42"/>
    <n v="0"/>
    <n v="0"/>
    <n v="3458.89"/>
    <n v="1842.68"/>
    <n v="14927.91"/>
    <x v="170"/>
    <n v="441.86"/>
    <n v="45748.29"/>
    <n v="78990.42"/>
    <n v="83693.570000000007"/>
    <x v="2"/>
    <m/>
    <m/>
    <m/>
    <s v="Yes"/>
    <s v="No"/>
    <s v="No"/>
    <s v="No"/>
    <s v="No"/>
    <s v="No"/>
    <s v="Yes"/>
    <s v="Yes"/>
    <s v="Yes"/>
    <s v="Yes"/>
    <s v="Yes"/>
  </r>
  <r>
    <x v="171"/>
    <n v="6640"/>
    <n v="2985"/>
    <n v="155"/>
    <n v="452"/>
    <n v="0"/>
    <n v="1552"/>
    <n v="0"/>
    <n v="6"/>
    <n v="0"/>
    <n v="0"/>
    <n v="0"/>
    <n v="0"/>
    <n v="1125"/>
    <n v="3991"/>
    <n v="168"/>
    <n v="121"/>
    <n v="3760"/>
    <n v="870"/>
    <n v="3076"/>
    <n v="20708"/>
    <n v="24901"/>
    <n v="19294"/>
    <n v="19583"/>
    <n v="5919.0000000000009"/>
    <n v="2711.7382129696698"/>
    <n v="2186.1966136526094"/>
    <n v="4363.9123635907026"/>
    <n v="0"/>
    <n v="0"/>
    <n v="2916.0859896219422"/>
    <n v="1461"/>
    <n v="11863.066820165073"/>
    <n v="5607"/>
    <n v="634"/>
    <n v="35840"/>
    <n v="64593"/>
    <n v="68143"/>
    <n v="80"/>
    <n v="8300"/>
    <n v="3731.25"/>
    <n v="193.75"/>
    <n v="565"/>
    <n v="0"/>
    <n v="1940"/>
    <n v="0"/>
    <n v="7.5"/>
    <n v="0"/>
    <n v="0"/>
    <n v="0"/>
    <n v="0"/>
    <n v="1406.25"/>
    <n v="4988.75"/>
    <n v="210"/>
    <n v="151.25"/>
    <n v="4700"/>
    <n v="1087.5"/>
    <n v="3845"/>
    <n v="25885"/>
    <n v="31126.25"/>
    <n v="24117.5"/>
    <n v="24478.75"/>
    <n v="7398.75"/>
    <n v="3389.67"/>
    <n v="2732.75"/>
    <n v="5454.89"/>
    <n v="0"/>
    <n v="0"/>
    <n v="3645.11"/>
    <n v="1826.25"/>
    <n v="14828.83"/>
    <x v="171"/>
    <n v="792.5"/>
    <n v="44800"/>
    <n v="80741.25"/>
    <n v="85178.75"/>
    <x v="2"/>
    <m/>
    <m/>
    <m/>
    <s v="Yes"/>
    <s v="No"/>
    <s v="No"/>
    <s v="No"/>
    <s v="No"/>
    <s v="No"/>
    <s v="Yes"/>
    <s v="Yes"/>
    <s v="Yes"/>
    <s v="Yes"/>
    <s v="Yes"/>
  </r>
  <r>
    <x v="172"/>
    <n v="6794"/>
    <n v="3492"/>
    <n v="207"/>
    <n v="459"/>
    <n v="0"/>
    <n v="1533"/>
    <n v="0"/>
    <n v="11"/>
    <n v="0"/>
    <n v="0"/>
    <n v="0"/>
    <n v="0"/>
    <n v="1185"/>
    <n v="4223"/>
    <n v="227"/>
    <n v="138"/>
    <n v="3884"/>
    <n v="984"/>
    <n v="3525"/>
    <n v="22053"/>
    <n v="26662"/>
    <n v="22028"/>
    <n v="22126"/>
    <n v="6401"/>
    <n v="3028.1754905357307"/>
    <n v="2512.5370800571841"/>
    <n v="5052.9891680831661"/>
    <n v="0"/>
    <n v="0"/>
    <n v="3424.9073387694589"/>
    <n v="1696"/>
    <n v="12812.390922554461"/>
    <n v="4634"/>
    <n v="1913"/>
    <n v="36885"/>
    <n v="73937"/>
    <n v="79228"/>
    <n v="85.7"/>
    <n v="7927.65"/>
    <n v="4074.68"/>
    <n v="241.54"/>
    <n v="535.59"/>
    <n v="0"/>
    <n v="1788.8"/>
    <n v="0"/>
    <n v="12.84"/>
    <n v="0"/>
    <n v="0"/>
    <n v="0"/>
    <n v="0"/>
    <n v="1382.73"/>
    <n v="4927.6499999999996"/>
    <n v="264.88"/>
    <n v="161.03"/>
    <n v="4532.09"/>
    <n v="1148.19"/>
    <n v="4113.1899999999996"/>
    <n v="25732.79"/>
    <n v="31110.85"/>
    <n v="25703.62"/>
    <n v="25817.97"/>
    <n v="7469.08"/>
    <n v="3533.46"/>
    <n v="2931.78"/>
    <n v="5896.14"/>
    <n v="0"/>
    <n v="0"/>
    <n v="3996.39"/>
    <n v="1979"/>
    <n v="14950.28"/>
    <x v="172"/>
    <n v="2232.21"/>
    <n v="43039.67"/>
    <n v="86274.21"/>
    <n v="92448.07"/>
    <x v="2"/>
    <m/>
    <m/>
    <m/>
    <s v="Yes"/>
    <s v="No"/>
    <s v="No"/>
    <s v="No"/>
    <s v="No"/>
    <s v="No"/>
    <s v="Yes"/>
    <s v="Yes"/>
    <s v="Yes"/>
    <s v="Yes"/>
    <s v="Yes"/>
  </r>
  <r>
    <x v="173"/>
    <n v="7579"/>
    <n v="4106"/>
    <n v="322"/>
    <n v="412"/>
    <n v="0"/>
    <n v="2264"/>
    <n v="0"/>
    <n v="12"/>
    <n v="0"/>
    <n v="0"/>
    <n v="0"/>
    <n v="0"/>
    <n v="1971"/>
    <n v="3945"/>
    <n v="191"/>
    <n v="150"/>
    <n v="3984"/>
    <n v="1100"/>
    <n v="4088"/>
    <n v="24688"/>
    <n v="30124"/>
    <n v="25496"/>
    <n v="25769"/>
    <n v="7673"/>
    <n v="3467.4057509999684"/>
    <n v="2978.6512687634026"/>
    <n v="5679.5435239619965"/>
    <n v="0"/>
    <n v="0"/>
    <n v="4007.4499629355078"/>
    <n v="1896"/>
    <n v="15412.949493339123"/>
    <n v="4628"/>
    <n v="3383"/>
    <n v="40125"/>
    <n v="82863"/>
    <n v="88835"/>
    <n v="93.5"/>
    <n v="8105.88"/>
    <n v="4391.4399999999996"/>
    <n v="344.39"/>
    <n v="440.64"/>
    <n v="0"/>
    <n v="2421.39"/>
    <n v="0"/>
    <n v="12.83"/>
    <n v="0"/>
    <n v="0"/>
    <n v="0"/>
    <n v="0"/>
    <n v="2108.02"/>
    <n v="4219.25"/>
    <n v="204.28"/>
    <n v="160.43"/>
    <n v="4260.96"/>
    <n v="1176.47"/>
    <n v="4372.1899999999996"/>
    <n v="26404.28"/>
    <n v="32218.18"/>
    <n v="27268.45"/>
    <n v="27560.43"/>
    <n v="8206.42"/>
    <n v="3708.46"/>
    <n v="3185.72"/>
    <n v="6074.38"/>
    <n v="0"/>
    <n v="0"/>
    <n v="4286.04"/>
    <n v="2027.81"/>
    <n v="16484.439999999999"/>
    <x v="173"/>
    <n v="3618.18"/>
    <n v="42914.44"/>
    <n v="88623.53"/>
    <n v="95010.7"/>
    <x v="2"/>
    <m/>
    <m/>
    <m/>
    <s v="Yes"/>
    <s v="No"/>
    <s v="No"/>
    <s v="No"/>
    <s v="No"/>
    <s v="No"/>
    <s v="Yes"/>
    <s v="Yes"/>
    <s v="Yes"/>
    <s v="Yes"/>
    <s v="Yes"/>
  </r>
  <r>
    <x v="174"/>
    <n v="11044"/>
    <n v="5410"/>
    <n v="382"/>
    <n v="338"/>
    <n v="0"/>
    <n v="2859"/>
    <n v="0"/>
    <n v="15"/>
    <n v="0"/>
    <n v="0"/>
    <n v="0"/>
    <n v="0"/>
    <n v="2785"/>
    <n v="4366"/>
    <n v="198"/>
    <n v="164"/>
    <n v="4559"/>
    <n v="1264"/>
    <n v="5083"/>
    <n v="31902"/>
    <n v="38467"/>
    <n v="32665"/>
    <n v="34112"/>
    <n v="9756"/>
    <n v="4167.7805423451218"/>
    <n v="3921.049410293067"/>
    <n v="7120.5569496022908"/>
    <n v="0"/>
    <n v="0"/>
    <n v="4956.4306893995554"/>
    <n v="2257"/>
    <n v="21445.182408359971"/>
    <n v="5802"/>
    <n v="5592"/>
    <n v="52100"/>
    <n v="98190"/>
    <n v="109120"/>
    <n v="108.5"/>
    <n v="10178.799999999999"/>
    <n v="4986.18"/>
    <n v="352.07"/>
    <n v="311.52"/>
    <n v="0"/>
    <n v="2635.02"/>
    <n v="0"/>
    <n v="13.82"/>
    <n v="0"/>
    <n v="0"/>
    <n v="0"/>
    <n v="0"/>
    <n v="2566.8200000000002"/>
    <n v="4023.96"/>
    <n v="182.49"/>
    <n v="151.15"/>
    <n v="4201.84"/>
    <n v="1164.98"/>
    <n v="4684.79"/>
    <n v="29402.76"/>
    <n v="35453.46"/>
    <n v="30105.99"/>
    <n v="31439.63"/>
    <n v="8991.7099999999991"/>
    <n v="3841.27"/>
    <n v="3613.87"/>
    <n v="6562.73"/>
    <n v="0"/>
    <n v="0"/>
    <n v="4568.1400000000003"/>
    <n v="2080.1799999999998"/>
    <n v="19765.150000000001"/>
    <x v="174"/>
    <n v="5153.92"/>
    <n v="48018.43"/>
    <n v="90497.7"/>
    <n v="100571.43"/>
    <x v="5"/>
    <m/>
    <m/>
    <m/>
    <s v="Yes"/>
    <s v="No"/>
    <s v="No"/>
    <s v="No"/>
    <s v="No"/>
    <s v="No"/>
    <s v="Yes"/>
    <s v="Yes"/>
    <s v="Yes"/>
    <s v="Yes"/>
    <s v="Yes"/>
  </r>
  <r>
    <x v="175"/>
    <n v="15375"/>
    <n v="7173"/>
    <n v="387"/>
    <n v="329"/>
    <n v="0"/>
    <n v="1996"/>
    <n v="0"/>
    <n v="20"/>
    <n v="0"/>
    <n v="0"/>
    <n v="0"/>
    <n v="0"/>
    <n v="3707"/>
    <n v="5208"/>
    <n v="283"/>
    <n v="234"/>
    <n v="5679"/>
    <n v="1696"/>
    <n v="6629"/>
    <n v="40306"/>
    <n v="48716"/>
    <n v="43234"/>
    <n v="43885"/>
    <n v="12213.000000000002"/>
    <n v="5195.363925545651"/>
    <n v="5078.5864903502506"/>
    <n v="9633.6414119118908"/>
    <n v="0"/>
    <n v="0"/>
    <n v="6552.0385470719057"/>
    <n v="2840"/>
    <n v="26798.369625120307"/>
    <n v="5482"/>
    <n v="7651"/>
    <n v="64700"/>
    <n v="120851"/>
    <n v="131165"/>
    <n v="134.80000000000001"/>
    <n v="11405.79"/>
    <n v="5321.22"/>
    <n v="287.08999999999997"/>
    <n v="244.07"/>
    <n v="0"/>
    <n v="1480.71"/>
    <n v="0"/>
    <n v="14.84"/>
    <n v="0"/>
    <n v="0"/>
    <n v="0"/>
    <n v="0"/>
    <n v="2750"/>
    <n v="3863.5"/>
    <n v="209.94"/>
    <n v="173.59"/>
    <n v="4212.91"/>
    <n v="1258.1600000000001"/>
    <n v="4917.66"/>
    <n v="29900.59"/>
    <n v="36139.47"/>
    <n v="32072.7"/>
    <n v="32555.64"/>
    <n v="9060.09"/>
    <n v="3854.13"/>
    <n v="3767.5"/>
    <n v="7146.62"/>
    <n v="0"/>
    <n v="0"/>
    <n v="4860.5600000000004"/>
    <n v="2106.8200000000002"/>
    <n v="19880.099999999999"/>
    <x v="175"/>
    <n v="5675.82"/>
    <n v="47997.03"/>
    <n v="89652.08"/>
    <n v="97303.41"/>
    <x v="5"/>
    <m/>
    <m/>
    <m/>
    <s v="Yes"/>
    <s v="No"/>
    <s v="No"/>
    <s v="No"/>
    <s v="No"/>
    <s v="No"/>
    <s v="Yes"/>
    <s v="Yes"/>
    <s v="Yes"/>
    <s v="Yes"/>
    <s v="Yes"/>
  </r>
  <r>
    <x v="176"/>
    <n v="17293"/>
    <n v="8833"/>
    <n v="324"/>
    <n v="384"/>
    <n v="0"/>
    <n v="2655"/>
    <n v="0"/>
    <n v="71"/>
    <n v="0"/>
    <n v="0"/>
    <n v="0"/>
    <n v="0"/>
    <n v="3960"/>
    <n v="6350"/>
    <n v="271"/>
    <n v="249"/>
    <n v="6533"/>
    <n v="1868"/>
    <n v="8586"/>
    <n v="46543"/>
    <n v="57377"/>
    <n v="49652"/>
    <n v="51232"/>
    <n v="12866"/>
    <n v="6100.1543258480033"/>
    <n v="5901.4899035025019"/>
    <n v="11466.588806981499"/>
    <n v="0"/>
    <n v="0"/>
    <n v="7298.647146034099"/>
    <n v="3833"/>
    <n v="29498.119817633898"/>
    <n v="7725"/>
    <n v="7004"/>
    <n v="73600"/>
    <n v="142088"/>
    <n v="154027"/>
    <n v="157.1"/>
    <n v="11007.64"/>
    <n v="5622.53"/>
    <n v="206.24"/>
    <n v="244.43"/>
    <n v="0"/>
    <n v="1690.01"/>
    <n v="0"/>
    <n v="45.19"/>
    <n v="0"/>
    <n v="0"/>
    <n v="0"/>
    <n v="0"/>
    <n v="2520.69"/>
    <n v="4042.01"/>
    <n v="172.5"/>
    <n v="158.5"/>
    <n v="4158.5"/>
    <n v="1189.05"/>
    <n v="5465.31"/>
    <n v="29626.35"/>
    <n v="36522.6"/>
    <n v="31605.35"/>
    <n v="32611.08"/>
    <n v="8189.69"/>
    <n v="3882.98"/>
    <n v="3756.52"/>
    <n v="7298.91"/>
    <n v="0"/>
    <n v="0"/>
    <n v="4645.8599999999997"/>
    <n v="2439.85"/>
    <n v="18776.650000000001"/>
    <x v="176"/>
    <n v="4458.3100000000004"/>
    <n v="46849.14"/>
    <n v="90444.3"/>
    <n v="98043.92"/>
    <x v="5"/>
    <m/>
    <m/>
    <m/>
    <s v="Yes"/>
    <s v="No"/>
    <s v="No"/>
    <s v="No"/>
    <s v="No"/>
    <s v="No"/>
    <s v="Yes"/>
    <s v="Yes"/>
    <s v="Yes"/>
    <s v="Yes"/>
    <s v="Yes"/>
  </r>
  <r>
    <x v="177"/>
    <n v="17571"/>
    <n v="9751"/>
    <n v="340"/>
    <n v="399"/>
    <n v="0"/>
    <n v="3344"/>
    <n v="0"/>
    <n v="228"/>
    <n v="0"/>
    <n v="0"/>
    <n v="0"/>
    <n v="0"/>
    <n v="4591"/>
    <n v="7142"/>
    <n v="376"/>
    <n v="287"/>
    <n v="8559"/>
    <n v="2247"/>
    <n v="9211"/>
    <n v="52516"/>
    <n v="64046"/>
    <n v="56002"/>
    <n v="57540.000000000007"/>
    <n v="12628"/>
    <n v="6746.6725457465891"/>
    <n v="6589.8255450321667"/>
    <n v="13790.94525358186"/>
    <n v="0"/>
    <n v="0"/>
    <n v="8233.8954781319499"/>
    <n v="4692"/>
    <n v="30114.661177507438"/>
    <n v="8044"/>
    <n v="6424"/>
    <n v="79500"/>
    <n v="166127"/>
    <n v="179407"/>
    <n v="182"/>
    <n v="9654.4"/>
    <n v="5357.69"/>
    <n v="186.81"/>
    <n v="219.23"/>
    <n v="0"/>
    <n v="1837.36"/>
    <n v="0"/>
    <n v="125.27"/>
    <n v="0"/>
    <n v="0"/>
    <n v="0"/>
    <n v="0"/>
    <n v="2522.5300000000002"/>
    <n v="3924.18"/>
    <n v="206.59"/>
    <n v="157.69"/>
    <n v="4702.75"/>
    <n v="1234.6199999999999"/>
    <n v="5060.99"/>
    <n v="28854.95"/>
    <n v="35190.11"/>
    <n v="30770.33"/>
    <n v="31615.38"/>
    <n v="6938.46"/>
    <n v="3706.96"/>
    <n v="3620.78"/>
    <n v="7577.44"/>
    <n v="0"/>
    <n v="0"/>
    <n v="4524.12"/>
    <n v="2578.02"/>
    <n v="16546.52"/>
    <x v="177"/>
    <n v="3529.67"/>
    <n v="43681.32"/>
    <n v="91278.57"/>
    <n v="98575.27"/>
    <x v="5"/>
    <m/>
    <m/>
    <m/>
    <s v="Yes"/>
    <s v="No"/>
    <s v="No"/>
    <s v="No"/>
    <s v="No"/>
    <s v="No"/>
    <s v="Yes"/>
    <s v="Yes"/>
    <s v="Yes"/>
    <s v="Yes"/>
    <s v="Yes"/>
  </r>
  <r>
    <x v="178"/>
    <n v="19214"/>
    <n v="10238"/>
    <n v="353"/>
    <n v="369"/>
    <n v="0"/>
    <n v="3940"/>
    <n v="183"/>
    <n v="289"/>
    <n v="0"/>
    <n v="0"/>
    <n v="0"/>
    <n v="0"/>
    <n v="5060"/>
    <n v="8049"/>
    <n v="434"/>
    <n v="337"/>
    <n v="10004"/>
    <n v="2474"/>
    <n v="10377"/>
    <n v="58432"/>
    <n v="71321"/>
    <n v="63630"/>
    <n v="66106"/>
    <n v="13598"/>
    <n v="7680.4232804232815"/>
    <n v="7506.2544674767705"/>
    <n v="16376.278062148383"/>
    <n v="9638.8285976533043"/>
    <n v="6737.4494644950782"/>
    <n v="9456.8627450980403"/>
    <n v="5645"/>
    <n v="33039.181444853522"/>
    <n v="7691"/>
    <n v="8685"/>
    <n v="88600"/>
    <n v="192400"/>
    <n v="210106"/>
    <n v="197.1"/>
    <n v="9748.35"/>
    <n v="5194.32"/>
    <n v="179.1"/>
    <n v="187.21"/>
    <n v="0"/>
    <n v="1998.99"/>
    <n v="92.85"/>
    <n v="146.63"/>
    <n v="0"/>
    <n v="0"/>
    <n v="0"/>
    <n v="0"/>
    <n v="2567.2199999999998"/>
    <n v="4083.71"/>
    <n v="220.19"/>
    <n v="170.98"/>
    <n v="5075.6000000000004"/>
    <n v="1255.2"/>
    <n v="5264.84"/>
    <n v="29645.87"/>
    <n v="36185.19"/>
    <n v="32283.11"/>
    <n v="33539.32"/>
    <n v="6899.04"/>
    <n v="3896.71"/>
    <n v="3808.35"/>
    <n v="8308.61"/>
    <n v="4890.32"/>
    <n v="3418.29"/>
    <n v="4798"/>
    <n v="2864.03"/>
    <n v="16762.650000000001"/>
    <x v="178"/>
    <n v="4406.3900000000003"/>
    <n v="44951.8"/>
    <n v="97615.42"/>
    <n v="106598.68"/>
    <x v="5"/>
    <m/>
    <m/>
    <m/>
    <s v="Yes"/>
    <s v="No"/>
    <s v="No"/>
    <s v="No"/>
    <s v="No"/>
    <s v="No"/>
    <s v="Yes"/>
    <s v="Yes"/>
    <s v="Yes"/>
    <s v="Yes"/>
    <s v="Yes"/>
  </r>
  <r>
    <x v="179"/>
    <n v="21568"/>
    <n v="12020"/>
    <n v="431"/>
    <n v="435"/>
    <n v="0"/>
    <n v="4646"/>
    <n v="1435"/>
    <n v="0"/>
    <n v="0"/>
    <n v="0"/>
    <n v="0"/>
    <n v="0"/>
    <n v="9642"/>
    <n v="8830"/>
    <n v="622"/>
    <n v="427"/>
    <n v="12608"/>
    <n v="2921"/>
    <n v="11519"/>
    <n v="72543"/>
    <n v="87104"/>
    <n v="75849"/>
    <n v="79600"/>
    <n v="15732"/>
    <n v="9499.4708994708999"/>
    <n v="8955.5669228020033"/>
    <n v="19372.415784643352"/>
    <n v="11110.247194140748"/>
    <n v="8262.1685905026043"/>
    <n v="10911.764705882353"/>
    <n v="6915"/>
    <n v="39677.781687201372"/>
    <n v="11255"/>
    <n v="8546"/>
    <n v="98200"/>
    <n v="232651"/>
    <n v="251372"/>
    <n v="223.5"/>
    <n v="9650.11"/>
    <n v="5378.08"/>
    <n v="192.84"/>
    <n v="194.63"/>
    <n v="0"/>
    <n v="2078.75"/>
    <n v="642.05999999999995"/>
    <n v="0"/>
    <n v="0"/>
    <n v="0"/>
    <n v="0"/>
    <n v="0"/>
    <n v="4314.09"/>
    <n v="3950.78"/>
    <n v="278.3"/>
    <n v="191.05"/>
    <n v="5641.16"/>
    <n v="1306.94"/>
    <n v="5153.91"/>
    <n v="32457.72"/>
    <n v="38972.71"/>
    <n v="33936.910000000003"/>
    <n v="35615.21"/>
    <n v="7038.93"/>
    <n v="4250.32"/>
    <n v="4006.97"/>
    <n v="8667.75"/>
    <n v="4971.03"/>
    <n v="3696.72"/>
    <n v="4882.22"/>
    <n v="3093.96"/>
    <n v="17752.919999999998"/>
    <x v="179"/>
    <n v="3823.71"/>
    <n v="43937.36"/>
    <n v="104094.41"/>
    <n v="112470.69"/>
    <x v="2"/>
    <m/>
    <m/>
    <m/>
    <s v="Yes"/>
    <s v="No"/>
    <s v="No"/>
    <s v="No"/>
    <s v="No"/>
    <s v="No"/>
    <s v="Yes"/>
    <s v="Yes"/>
    <s v="Yes"/>
    <s v="Yes"/>
    <s v="Yes"/>
  </r>
  <r>
    <x v="180"/>
    <n v="25506"/>
    <n v="14400"/>
    <n v="508"/>
    <n v="452"/>
    <n v="0"/>
    <n v="4645"/>
    <n v="2410"/>
    <n v="0"/>
    <n v="129"/>
    <n v="0"/>
    <n v="0"/>
    <n v="0"/>
    <n v="11830"/>
    <n v="9935"/>
    <n v="641"/>
    <n v="533"/>
    <n v="15070"/>
    <n v="3755"/>
    <n v="13703"/>
    <n v="85908"/>
    <n v="103517"/>
    <n v="92837"/>
    <n v="96846"/>
    <n v="17884.999999999996"/>
    <n v="11621.693121693124"/>
    <n v="11037.462919942818"/>
    <n v="23376.468903725945"/>
    <n v="13302.981700836988"/>
    <n v="10073.487202888959"/>
    <n v="13301.960784313727"/>
    <n v="8674"/>
    <n v="46719.414270324363"/>
    <n v="10680"/>
    <n v="11537"/>
    <n v="113800"/>
    <n v="267589"/>
    <n v="282242"/>
    <n v="263.7"/>
    <n v="9672.35"/>
    <n v="5460.75"/>
    <n v="192.64"/>
    <n v="171.41"/>
    <n v="0"/>
    <n v="1761.47"/>
    <n v="913.92"/>
    <n v="0"/>
    <n v="48.92"/>
    <n v="0"/>
    <n v="0"/>
    <n v="0"/>
    <n v="4486.16"/>
    <n v="3767.54"/>
    <n v="243.08"/>
    <n v="202.12"/>
    <n v="5714.83"/>
    <n v="1423.97"/>
    <n v="5196.4399999999996"/>
    <n v="32577.93"/>
    <n v="39255.589999999997"/>
    <n v="35205.54"/>
    <n v="36725.82"/>
    <n v="6782.33"/>
    <n v="4407.16"/>
    <n v="4185.6099999999997"/>
    <n v="8864.7999999999993"/>
    <n v="5044.74"/>
    <n v="3820.06"/>
    <n v="5044.3500000000004"/>
    <n v="3289.34"/>
    <n v="17716.88"/>
    <x v="180"/>
    <n v="4375.05"/>
    <n v="43155.1"/>
    <n v="101474.78"/>
    <n v="107031.48"/>
    <x v="2"/>
    <m/>
    <m/>
    <m/>
    <s v="Yes"/>
    <s v="No"/>
    <s v="No"/>
    <s v="No"/>
    <s v="No"/>
    <s v="No"/>
    <s v="Yes"/>
    <s v="Yes"/>
    <s v="Yes"/>
    <s v="Yes"/>
    <s v="Yes"/>
  </r>
  <r>
    <x v="181"/>
    <n v="31807"/>
    <n v="16477"/>
    <n v="526"/>
    <n v="497"/>
    <n v="0"/>
    <n v="4930"/>
    <n v="4415"/>
    <n v="0"/>
    <n v="394"/>
    <n v="0"/>
    <n v="0"/>
    <n v="0"/>
    <n v="12825"/>
    <n v="12667"/>
    <n v="797"/>
    <n v="602"/>
    <n v="15053"/>
    <n v="4524"/>
    <n v="17010"/>
    <n v="101480"/>
    <n v="122524"/>
    <n v="109378"/>
    <n v="110820"/>
    <n v="17334"/>
    <n v="12935.449735449736"/>
    <n v="12477.695228734812"/>
    <n v="28576.527840457707"/>
    <n v="15749.503083299152"/>
    <n v="12827.024757158555"/>
    <n v="14445.098039215689"/>
    <n v="10623"/>
    <n v="49096.229156142057"/>
    <n v="13146"/>
    <n v="5999"/>
    <n v="125200"/>
    <n v="298340"/>
    <n v="312915"/>
    <n v="295"/>
    <n v="10782.03"/>
    <n v="5585.42"/>
    <n v="178.31"/>
    <n v="168.47"/>
    <n v="0"/>
    <n v="1671.19"/>
    <n v="1496.61"/>
    <n v="0"/>
    <n v="133.56"/>
    <n v="0"/>
    <n v="0"/>
    <n v="0"/>
    <n v="4347.46"/>
    <n v="4293.8999999999996"/>
    <n v="270.17"/>
    <n v="204.07"/>
    <n v="5102.71"/>
    <n v="1533.56"/>
    <n v="5766.1"/>
    <n v="34400"/>
    <n v="41533.56"/>
    <n v="37077.29"/>
    <n v="37566.1"/>
    <n v="5875.93"/>
    <n v="4384.8999999999996"/>
    <n v="4229.7299999999996"/>
    <n v="9686.9599999999991"/>
    <n v="5338.81"/>
    <n v="4348.1400000000003"/>
    <n v="4896.6400000000003"/>
    <n v="3601.02"/>
    <n v="16642.79"/>
    <x v="181"/>
    <n v="2033.56"/>
    <n v="42440.68"/>
    <n v="101132.2"/>
    <n v="106072.88"/>
    <x v="2"/>
    <m/>
    <m/>
    <m/>
    <s v="Yes"/>
    <s v="No"/>
    <s v="No"/>
    <s v="No"/>
    <s v="No"/>
    <s v="No"/>
    <s v="Yes"/>
    <s v="Yes"/>
    <s v="Yes"/>
    <s v="Yes"/>
    <s v="Yes"/>
  </r>
  <r>
    <x v="182"/>
    <n v="33506"/>
    <n v="18732"/>
    <n v="632"/>
    <n v="511"/>
    <n v="0"/>
    <n v="5679"/>
    <n v="5669"/>
    <n v="0"/>
    <n v="524"/>
    <n v="0"/>
    <n v="0"/>
    <n v="0"/>
    <n v="14767"/>
    <n v="13696"/>
    <n v="873"/>
    <n v="740"/>
    <n v="14306"/>
    <n v="5178"/>
    <n v="18806"/>
    <n v="110421"/>
    <n v="133619"/>
    <n v="117455"/>
    <n v="121642.99999999999"/>
    <n v="19985"/>
    <n v="14754.497354497356"/>
    <n v="13522.456888849179"/>
    <n v="32630.876653834363"/>
    <n v="17687.753441311736"/>
    <n v="14943.123212522629"/>
    <n v="15588.235294117649"/>
    <n v="12008"/>
    <n v="53123.93380870144"/>
    <n v="16164"/>
    <n v="8542"/>
    <n v="132500"/>
    <n v="327518"/>
    <n v="342781"/>
    <n v="320.39999999999998"/>
    <n v="10457.549999999999"/>
    <n v="5846.44"/>
    <n v="197.25"/>
    <n v="159.49"/>
    <n v="0"/>
    <n v="1772.47"/>
    <n v="1769.35"/>
    <n v="0"/>
    <n v="163.55000000000001"/>
    <n v="0"/>
    <n v="0"/>
    <n v="0"/>
    <n v="4608.93"/>
    <n v="4274.66"/>
    <n v="272.47000000000003"/>
    <n v="230.96"/>
    <n v="4465.04"/>
    <n v="1616.1"/>
    <n v="5869.54"/>
    <n v="34463.480000000003"/>
    <n v="41703.81"/>
    <n v="36658.86"/>
    <n v="37965.980000000003"/>
    <n v="6237.52"/>
    <n v="4605.0200000000004"/>
    <n v="4220.49"/>
    <n v="10184.42"/>
    <n v="5520.52"/>
    <n v="4663.8999999999996"/>
    <n v="4865.24"/>
    <n v="3747.82"/>
    <n v="16580.5"/>
    <x v="182"/>
    <n v="2666.04"/>
    <n v="41354.559999999998"/>
    <n v="102221.6"/>
    <n v="106985.33"/>
    <x v="2"/>
    <m/>
    <m/>
    <m/>
    <s v="Yes"/>
    <s v="No"/>
    <s v="No"/>
    <s v="No"/>
    <s v="No"/>
    <s v="No"/>
    <s v="Yes"/>
    <s v="Yes"/>
    <s v="Yes"/>
    <s v="Yes"/>
    <s v="Yes"/>
  </r>
  <r>
    <x v="183"/>
    <n v="32453"/>
    <n v="21336"/>
    <n v="671"/>
    <n v="608"/>
    <n v="0"/>
    <n v="6184"/>
    <n v="6017"/>
    <n v="0"/>
    <n v="528"/>
    <n v="0"/>
    <n v="0"/>
    <n v="0"/>
    <n v="16456"/>
    <n v="15073"/>
    <n v="1138"/>
    <n v="759"/>
    <n v="16507"/>
    <n v="4956"/>
    <n v="19434"/>
    <n v="118310"/>
    <n v="142120"/>
    <n v="127289"/>
    <n v="131273"/>
    <n v="22136"/>
    <n v="15866.137566137568"/>
    <n v="14456.622364188706"/>
    <n v="36452.317713633878"/>
    <n v="19221.847928448857"/>
    <n v="17230.469785185018"/>
    <n v="16419.607843137255"/>
    <n v="12885"/>
    <n v="57329.31451290258"/>
    <n v="14831"/>
    <n v="11802"/>
    <n v="143600"/>
    <n v="358116"/>
    <n v="369934"/>
    <n v="335.1"/>
    <n v="9684.57"/>
    <n v="6367.05"/>
    <n v="200.24"/>
    <n v="181.44"/>
    <n v="0"/>
    <n v="1845.42"/>
    <n v="1795.58"/>
    <n v="0"/>
    <n v="157.56"/>
    <n v="0"/>
    <n v="0"/>
    <n v="0"/>
    <n v="4910.7700000000004"/>
    <n v="4498.0600000000004"/>
    <n v="339.6"/>
    <n v="226.5"/>
    <n v="4925.99"/>
    <n v="1478.96"/>
    <n v="5799.46"/>
    <n v="35305.879999999997"/>
    <n v="42411.22"/>
    <n v="37985.379999999997"/>
    <n v="39174.28"/>
    <n v="6605.79"/>
    <n v="4734.75"/>
    <n v="4314.12"/>
    <n v="10878.04"/>
    <n v="5736.15"/>
    <n v="5141.8900000000003"/>
    <n v="4899.91"/>
    <n v="3845.12"/>
    <n v="17108.12"/>
    <x v="183"/>
    <n v="3521.93"/>
    <n v="42852.88"/>
    <n v="106868.4"/>
    <n v="110395.11"/>
    <x v="2"/>
    <m/>
    <m/>
    <m/>
    <s v="Yes"/>
    <s v="No"/>
    <s v="No"/>
    <s v="No"/>
    <s v="No"/>
    <s v="No"/>
    <s v="Yes"/>
    <s v="Yes"/>
    <s v="Yes"/>
    <s v="Yes"/>
    <s v="Yes"/>
  </r>
  <r>
    <x v="184"/>
    <n v="34087"/>
    <n v="22748"/>
    <n v="730"/>
    <n v="664"/>
    <n v="0"/>
    <n v="8341"/>
    <n v="7177"/>
    <n v="0"/>
    <n v="504"/>
    <n v="0"/>
    <n v="0"/>
    <n v="0"/>
    <n v="20301"/>
    <n v="16311"/>
    <n v="911"/>
    <n v="775"/>
    <n v="17219"/>
    <n v="5314"/>
    <n v="17058"/>
    <n v="129747.00000000001"/>
    <n v="152140"/>
    <n v="137337"/>
    <n v="141970"/>
    <n v="22081"/>
    <n v="17584.126984126986"/>
    <n v="15372.930218012867"/>
    <n v="39463.869131980187"/>
    <n v="20480.29363324833"/>
    <n v="18983.575498731858"/>
    <n v="17043.137254901962"/>
    <n v="14884"/>
    <n v="59702.936410977985"/>
    <n v="14803"/>
    <n v="12535"/>
    <n v="157000"/>
    <n v="386018"/>
    <n v="405823"/>
    <n v="351.8"/>
    <n v="9689.31"/>
    <n v="6466.17"/>
    <n v="207.5"/>
    <n v="188.74"/>
    <n v="0"/>
    <n v="2370.9499999999998"/>
    <n v="2040.08"/>
    <n v="0"/>
    <n v="143.26"/>
    <n v="0"/>
    <n v="0"/>
    <n v="0"/>
    <n v="5770.61"/>
    <n v="4636.4399999999996"/>
    <n v="258.95"/>
    <n v="220.3"/>
    <n v="4894.54"/>
    <n v="1510.52"/>
    <n v="4848.78"/>
    <n v="36880.9"/>
    <n v="43246.16"/>
    <n v="39038.370000000003"/>
    <n v="40355.32"/>
    <n v="6276.58"/>
    <n v="4998.33"/>
    <n v="4369.79"/>
    <n v="11217.7"/>
    <n v="5821.57"/>
    <n v="5396.13"/>
    <n v="4844.55"/>
    <n v="4230.8100000000004"/>
    <n v="16970.7"/>
    <x v="184"/>
    <n v="3563.1"/>
    <n v="44627.63"/>
    <n v="109726.55"/>
    <n v="115356.17"/>
    <x v="2"/>
    <m/>
    <m/>
    <m/>
    <s v="Yes"/>
    <s v="No"/>
    <s v="No"/>
    <s v="No"/>
    <s v="No"/>
    <s v="No"/>
    <s v="Yes"/>
    <s v="Yes"/>
    <s v="Yes"/>
    <s v="Yes"/>
    <s v="Yes"/>
  </r>
  <r>
    <x v="185"/>
    <n v="36552"/>
    <n v="24639"/>
    <n v="908"/>
    <n v="888"/>
    <n v="0"/>
    <n v="10708"/>
    <n v="6375"/>
    <n v="0"/>
    <n v="520"/>
    <n v="0"/>
    <n v="0"/>
    <n v="0"/>
    <n v="20986"/>
    <n v="17192"/>
    <n v="1226"/>
    <n v="979"/>
    <n v="18298"/>
    <n v="5834"/>
    <n v="18119"/>
    <n v="138577"/>
    <n v="163224"/>
    <n v="145364"/>
    <n v="150543"/>
    <n v="20718"/>
    <n v="18392.592592592591"/>
    <n v="16477.257639385276"/>
    <n v="43092.38106700041"/>
    <n v="22474.187568475158"/>
    <n v="20618.193498525252"/>
    <n v="17562.745098039217"/>
    <n v="16197"/>
    <n v="59539.023602982496"/>
    <n v="17860"/>
    <n v="9034"/>
    <n v="162500"/>
    <n v="423777"/>
    <n v="438305"/>
    <n v="373.2"/>
    <n v="9794.2099999999991"/>
    <n v="6602.09"/>
    <n v="243.3"/>
    <n v="237.94"/>
    <n v="0"/>
    <n v="2869.24"/>
    <n v="1708.2"/>
    <n v="0"/>
    <n v="139.34"/>
    <n v="0"/>
    <n v="0"/>
    <n v="0"/>
    <n v="5623.26"/>
    <n v="4606.6499999999996"/>
    <n v="328.51"/>
    <n v="262.33"/>
    <n v="4903"/>
    <n v="1563.24"/>
    <n v="4855.04"/>
    <n v="37132.1"/>
    <n v="43736.33"/>
    <n v="38950.699999999997"/>
    <n v="40338.42"/>
    <n v="5551.45"/>
    <n v="4928.3500000000004"/>
    <n v="4415.13"/>
    <n v="11546.73"/>
    <n v="6022.02"/>
    <n v="5524.7"/>
    <n v="4705.99"/>
    <n v="4340.03"/>
    <n v="15953.65"/>
    <x v="185"/>
    <n v="2420.69"/>
    <n v="43542.34"/>
    <n v="113552.25"/>
    <n v="117445.07"/>
    <x v="2"/>
    <m/>
    <m/>
    <m/>
    <s v="Yes"/>
    <s v="No"/>
    <s v="No"/>
    <s v="No"/>
    <s v="No"/>
    <s v="No"/>
    <s v="Yes"/>
    <s v="Yes"/>
    <s v="Yes"/>
    <s v="Yes"/>
    <s v="Yes"/>
  </r>
  <r>
    <x v="186"/>
    <n v="38943"/>
    <n v="26687"/>
    <n v="1064"/>
    <n v="995"/>
    <n v="0"/>
    <n v="13495"/>
    <n v="1188"/>
    <n v="0"/>
    <n v="504"/>
    <n v="0"/>
    <n v="0"/>
    <n v="0"/>
    <n v="23621"/>
    <n v="18545"/>
    <n v="1860"/>
    <n v="1021"/>
    <n v="18238"/>
    <n v="6746"/>
    <n v="18390"/>
    <n v="147979"/>
    <n v="171297"/>
    <n v="152879"/>
    <n v="158745"/>
    <n v="19731"/>
    <n v="18594.708994708995"/>
    <n v="17899.269120800571"/>
    <n v="46341.841952276445"/>
    <n v="24225.440476137777"/>
    <n v="22116.401476138668"/>
    <n v="19329.411764705885"/>
    <n v="17069"/>
    <n v="59241.768167508126"/>
    <n v="18418"/>
    <n v="8740"/>
    <n v="167800"/>
    <n v="455595"/>
    <n v="482008"/>
    <n v="385.9"/>
    <n v="10091.469999999999"/>
    <n v="6915.52"/>
    <n v="275.72000000000003"/>
    <n v="257.83999999999997"/>
    <n v="0"/>
    <n v="3497.02"/>
    <n v="307.85000000000002"/>
    <n v="0"/>
    <n v="130.6"/>
    <n v="0"/>
    <n v="0"/>
    <n v="0"/>
    <n v="6121.02"/>
    <n v="4805.6499999999996"/>
    <n v="481.99"/>
    <n v="264.58"/>
    <n v="4726.09"/>
    <n v="1748.12"/>
    <n v="4765.4799999999996"/>
    <n v="38346.46"/>
    <n v="44388.959999999999"/>
    <n v="39616.22"/>
    <n v="41136.300000000003"/>
    <n v="5112.9799999999996"/>
    <n v="4818.53"/>
    <n v="4638.32"/>
    <n v="12008.77"/>
    <n v="6277.65"/>
    <n v="5731.12"/>
    <n v="5008.92"/>
    <n v="4423.17"/>
    <n v="15351.59"/>
    <x v="186"/>
    <n v="2264.84"/>
    <n v="43482.77"/>
    <n v="118060.38"/>
    <n v="124904.9"/>
    <x v="2"/>
    <m/>
    <m/>
    <m/>
    <s v="Yes"/>
    <s v="No"/>
    <s v="No"/>
    <s v="No"/>
    <s v="No"/>
    <s v="No"/>
    <s v="Yes"/>
    <s v="Yes"/>
    <s v="Yes"/>
    <s v="Yes"/>
    <s v="Yes"/>
  </r>
  <r>
    <x v="187"/>
    <n v="42023"/>
    <n v="28140"/>
    <n v="1379"/>
    <n v="1078"/>
    <n v="0"/>
    <n v="15734"/>
    <n v="2296"/>
    <n v="0"/>
    <n v="469"/>
    <n v="0"/>
    <n v="0"/>
    <n v="0"/>
    <n v="26313"/>
    <n v="19467"/>
    <n v="2440"/>
    <n v="1080"/>
    <n v="20044"/>
    <n v="7409"/>
    <n v="18366"/>
    <n v="161997"/>
    <n v="186238"/>
    <n v="163222"/>
    <n v="170354"/>
    <n v="19613"/>
    <n v="19100"/>
    <n v="20509.992852037169"/>
    <n v="48181.463457015569"/>
    <n v="25645.932825323223"/>
    <n v="22535.530631692342"/>
    <n v="21200"/>
    <n v="18604"/>
    <n v="62371.543690947292"/>
    <n v="23016"/>
    <n v="5074"/>
    <n v="167400"/>
    <n v="511862"/>
    <n v="541097"/>
    <n v="402"/>
    <n v="10453.48"/>
    <n v="7000"/>
    <n v="343.03"/>
    <n v="268.16000000000003"/>
    <n v="0"/>
    <n v="3913.93"/>
    <n v="571.14"/>
    <n v="0"/>
    <n v="116.67"/>
    <n v="0"/>
    <n v="0"/>
    <n v="0"/>
    <n v="6545.52"/>
    <n v="4842.54"/>
    <n v="606.97"/>
    <n v="268.66000000000003"/>
    <n v="4986.07"/>
    <n v="1843.03"/>
    <n v="4568.66"/>
    <n v="40297.760000000002"/>
    <n v="46327.86"/>
    <n v="40602.49"/>
    <n v="42376.62"/>
    <n v="4878.8599999999997"/>
    <n v="4751.24"/>
    <n v="5101.99"/>
    <n v="11985.44"/>
    <n v="6379.59"/>
    <n v="5605.85"/>
    <n v="5273.63"/>
    <n v="4627.8599999999997"/>
    <n v="15515.31"/>
    <x v="187"/>
    <n v="1262.19"/>
    <n v="41641.79"/>
    <n v="127328.86"/>
    <n v="134601.24"/>
    <x v="2"/>
    <m/>
    <m/>
    <m/>
    <s v="Yes"/>
    <s v="No"/>
    <s v="No"/>
    <s v="No"/>
    <s v="No"/>
    <s v="No"/>
    <s v="Yes"/>
    <s v="Yes"/>
    <s v="Yes"/>
    <s v="Yes"/>
    <s v="Yes"/>
  </r>
  <r>
    <x v="188"/>
    <n v="44313"/>
    <n v="31517"/>
    <n v="2323"/>
    <n v="1071"/>
    <n v="0"/>
    <n v="18537"/>
    <n v="1371"/>
    <n v="0"/>
    <n v="377"/>
    <n v="0"/>
    <n v="0"/>
    <n v="0"/>
    <n v="29869"/>
    <n v="20659"/>
    <n v="2255"/>
    <n v="1150"/>
    <n v="21293"/>
    <n v="8668"/>
    <n v="20541"/>
    <n v="177701"/>
    <n v="203944"/>
    <n v="168318"/>
    <n v="177247"/>
    <n v="19583"/>
    <n v="19400"/>
    <n v="22684.385275196568"/>
    <n v="48818.03311454189"/>
    <n v="26882.903017406737"/>
    <n v="21935.130097135156"/>
    <n v="23100"/>
    <n v="18941"/>
    <n v="63886.581610261543"/>
    <n v="35626"/>
    <n v="5530"/>
    <n v="153700"/>
    <n v="570572"/>
    <n v="600032"/>
    <n v="421.7"/>
    <n v="10508.18"/>
    <n v="7473.8"/>
    <n v="550.87"/>
    <n v="253.97"/>
    <n v="0"/>
    <n v="4395.78"/>
    <n v="325.11"/>
    <n v="0"/>
    <n v="89.4"/>
    <n v="0"/>
    <n v="0"/>
    <n v="0"/>
    <n v="7083"/>
    <n v="4898.9799999999996"/>
    <n v="534.74"/>
    <n v="272.70999999999998"/>
    <n v="5049.32"/>
    <n v="2055.4899999999998"/>
    <n v="4871"/>
    <n v="42139.199999999997"/>
    <n v="48362.34"/>
    <n v="39914.160000000003"/>
    <n v="42031.54"/>
    <n v="4643.82"/>
    <n v="4600.43"/>
    <n v="5379.27"/>
    <n v="11576.48"/>
    <n v="6374.89"/>
    <n v="5201.6000000000004"/>
    <n v="5477.83"/>
    <n v="4491.58"/>
    <n v="15149.77"/>
    <x v="188"/>
    <n v="1311.36"/>
    <n v="36447.71"/>
    <n v="135302.82"/>
    <n v="142288.82999999999"/>
    <x v="2"/>
    <m/>
    <m/>
    <m/>
    <s v="Yes"/>
    <s v="No"/>
    <s v="No"/>
    <s v="No"/>
    <s v="No"/>
    <s v="No"/>
    <s v="Yes"/>
    <s v="Yes"/>
    <s v="Yes"/>
    <s v="Yes"/>
    <s v="Yes"/>
  </r>
  <r>
    <x v="189"/>
    <n v="50181"/>
    <n v="33519"/>
    <n v="1854"/>
    <n v="1232"/>
    <n v="0"/>
    <n v="21495"/>
    <n v="1050"/>
    <n v="0"/>
    <n v="338"/>
    <n v="0"/>
    <n v="0"/>
    <n v="0"/>
    <n v="32557"/>
    <n v="21378"/>
    <n v="2117"/>
    <n v="1236"/>
    <n v="23418"/>
    <n v="9481"/>
    <n v="20145"/>
    <n v="193243"/>
    <n v="220001"/>
    <n v="187738"/>
    <n v="192426"/>
    <n v="25727"/>
    <n v="21000"/>
    <n v="24388.06290207291"/>
    <n v="51909.540728857901"/>
    <n v="29338.375918997936"/>
    <n v="22571.164809859962"/>
    <n v="25900"/>
    <n v="19947"/>
    <n v="75008.396369069174"/>
    <n v="32263"/>
    <n v="124"/>
    <n v="151900"/>
    <n v="630291"/>
    <n v="659994"/>
    <n v="454.5"/>
    <n v="11040.92"/>
    <n v="7374.92"/>
    <n v="407.92"/>
    <n v="271.07"/>
    <n v="0"/>
    <n v="4729.37"/>
    <n v="231.02"/>
    <n v="0"/>
    <n v="74.37"/>
    <n v="0"/>
    <n v="0"/>
    <n v="0"/>
    <n v="7163.26"/>
    <n v="4703.63"/>
    <n v="465.79"/>
    <n v="271.95"/>
    <n v="5152.4799999999996"/>
    <n v="2086.0300000000002"/>
    <n v="4432.34"/>
    <n v="42517.71"/>
    <n v="48405.06"/>
    <n v="41306.49"/>
    <n v="42337.95"/>
    <n v="5660.51"/>
    <n v="4620.46"/>
    <n v="5365.91"/>
    <n v="11421.24"/>
    <n v="6455.09"/>
    <n v="4966.1499999999996"/>
    <n v="5698.57"/>
    <n v="4388.78"/>
    <n v="16503.5"/>
    <x v="189"/>
    <n v="27.28"/>
    <n v="33421.339999999997"/>
    <n v="138677.89000000001"/>
    <n v="145213.20000000001"/>
    <x v="2"/>
    <m/>
    <m/>
    <m/>
    <s v="Yes"/>
    <s v="No"/>
    <s v="No"/>
    <s v="No"/>
    <s v="No"/>
    <s v="No"/>
    <s v="Yes"/>
    <s v="Yes"/>
    <s v="Yes"/>
    <s v="Yes"/>
    <s v="Yes"/>
  </r>
  <r>
    <x v="190"/>
    <n v="56008"/>
    <n v="35006"/>
    <n v="1852"/>
    <n v="1262"/>
    <n v="10057"/>
    <n v="21495"/>
    <n v="860"/>
    <n v="0"/>
    <n v="267"/>
    <n v="0"/>
    <n v="0"/>
    <n v="0"/>
    <n v="34034"/>
    <n v="23749"/>
    <n v="1703"/>
    <n v="1358"/>
    <n v="25644"/>
    <n v="9071"/>
    <n v="9528"/>
    <n v="206558"/>
    <n v="231894"/>
    <n v="218137"/>
    <n v="209798"/>
    <n v="26971"/>
    <n v="22000"/>
    <n v="27100"/>
    <n v="58269.547581455648"/>
    <n v="32743.679708457705"/>
    <n v="25525.867872997944"/>
    <n v="28100"/>
    <n v="20071"/>
    <n v="81228.452418544373"/>
    <n v="13757"/>
    <n v="7315"/>
    <n v="151100"/>
    <n v="679960"/>
    <n v="697151"/>
    <n v="497.5"/>
    <n v="11257.89"/>
    <n v="7036.38"/>
    <n v="372.26"/>
    <n v="253.67"/>
    <n v="2021.51"/>
    <n v="4320.6000000000004"/>
    <n v="172.86"/>
    <n v="0"/>
    <n v="53.67"/>
    <n v="0"/>
    <n v="0"/>
    <n v="0"/>
    <n v="6841.01"/>
    <n v="4773.67"/>
    <n v="342.31"/>
    <n v="272.95999999999998"/>
    <n v="5154.57"/>
    <n v="1823.32"/>
    <n v="1915.18"/>
    <n v="41519.199999999997"/>
    <n v="46611.86"/>
    <n v="43846.63"/>
    <n v="42170.45"/>
    <n v="5421.31"/>
    <n v="4422.1099999999997"/>
    <n v="5447.24"/>
    <n v="11712.47"/>
    <n v="6581.64"/>
    <n v="5130.83"/>
    <n v="5648.24"/>
    <n v="4034.37"/>
    <n v="16327.33"/>
    <x v="190"/>
    <n v="1470.35"/>
    <n v="30371.86"/>
    <n v="136675.38"/>
    <n v="140130.85"/>
    <x v="2"/>
    <m/>
    <m/>
    <m/>
    <s v="Yes"/>
    <s v="No"/>
    <s v="No"/>
    <s v="No"/>
    <s v="No"/>
    <s v="No"/>
    <s v="Yes"/>
    <s v="Yes"/>
    <s v="Yes"/>
    <s v="Yes"/>
    <s v="Yes"/>
  </r>
  <r>
    <x v="191"/>
    <n v="64006"/>
    <n v="36687"/>
    <n v="1140"/>
    <n v="1300"/>
    <n v="11684"/>
    <n v="18263"/>
    <n v="216"/>
    <n v="0"/>
    <n v="268"/>
    <n v="0"/>
    <n v="0"/>
    <n v="0"/>
    <n v="39505"/>
    <n v="26062"/>
    <n v="1697"/>
    <n v="1485"/>
    <n v="26531"/>
    <n v="8547"/>
    <n v="4337"/>
    <n v="216750"/>
    <n v="241728"/>
    <n v="246448"/>
    <n v="233927.00000000003"/>
    <n v="28909"/>
    <n v="23200"/>
    <n v="30900"/>
    <n v="68405.124291743166"/>
    <n v="36657.357654676853"/>
    <n v="31747.766637066314"/>
    <n v="31300"/>
    <n v="18146"/>
    <n v="90884.875708256863"/>
    <n v="-4720"/>
    <n v="23764"/>
    <n v="165800"/>
    <n v="716107"/>
    <n v="726308"/>
    <n v="526.70000000000005"/>
    <n v="12152.27"/>
    <n v="6965.45"/>
    <n v="216.44"/>
    <n v="246.82"/>
    <n v="2218.34"/>
    <n v="3467.44"/>
    <n v="41.01"/>
    <n v="0"/>
    <n v="50.88"/>
    <n v="0"/>
    <n v="0"/>
    <n v="0"/>
    <n v="7500.47"/>
    <n v="4948.17"/>
    <n v="322.19"/>
    <n v="281.94"/>
    <n v="5037.21"/>
    <n v="1622.75"/>
    <n v="823.43"/>
    <n v="41152.46"/>
    <n v="45894.82"/>
    <n v="46790.96"/>
    <n v="44413.71"/>
    <n v="5488.7"/>
    <n v="4404.78"/>
    <n v="5866.72"/>
    <n v="12987.49"/>
    <n v="6959.82"/>
    <n v="6027.68"/>
    <n v="5942.66"/>
    <n v="3445.22"/>
    <n v="17255.53"/>
    <x v="191"/>
    <n v="4511.87"/>
    <n v="31479.02"/>
    <n v="135961.07999999999"/>
    <n v="137897.85"/>
    <x v="2"/>
    <m/>
    <m/>
    <m/>
    <s v="Yes"/>
    <s v="No"/>
    <s v="No"/>
    <s v="No"/>
    <s v="No"/>
    <s v="No"/>
    <s v="Yes"/>
    <s v="Yes"/>
    <s v="Yes"/>
    <s v="Yes"/>
    <s v="Yes"/>
  </r>
  <r>
    <x v="192"/>
    <n v="61561"/>
    <n v="36972"/>
    <n v="982"/>
    <n v="1211"/>
    <n v="11698"/>
    <n v="15783"/>
    <n v="69"/>
    <n v="0"/>
    <n v="290"/>
    <n v="0"/>
    <n v="0"/>
    <n v="0"/>
    <n v="41112"/>
    <n v="25674"/>
    <n v="1268"/>
    <n v="1598"/>
    <n v="26342"/>
    <n v="8271"/>
    <n v="5867"/>
    <n v="214796"/>
    <n v="238698"/>
    <n v="272535"/>
    <n v="254853.99999999997"/>
    <n v="29341"/>
    <n v="23800"/>
    <n v="34200"/>
    <n v="77643.606136255607"/>
    <n v="39979.676958078584"/>
    <n v="37663.92917817703"/>
    <n v="33200"/>
    <n v="18556"/>
    <n v="96795.393863744379"/>
    <n v="-33837"/>
    <n v="46347"/>
    <n v="201900"/>
    <n v="738364"/>
    <n v="758349"/>
    <n v="546.4"/>
    <n v="11266.65"/>
    <n v="6766.47"/>
    <n v="179.72"/>
    <n v="221.63"/>
    <n v="2140.92"/>
    <n v="2888.54"/>
    <n v="12.63"/>
    <n v="0"/>
    <n v="53.07"/>
    <n v="0"/>
    <n v="0"/>
    <n v="0"/>
    <n v="7524.16"/>
    <n v="4698.76"/>
    <n v="232.06"/>
    <n v="292.45999999999998"/>
    <n v="4821.01"/>
    <n v="1513.73"/>
    <n v="1073.76"/>
    <n v="39311.129999999997"/>
    <n v="43685.58"/>
    <n v="49878.29"/>
    <n v="46642.39"/>
    <n v="5369.88"/>
    <n v="4355.78"/>
    <n v="6259.15"/>
    <n v="14210.03"/>
    <n v="7316.92"/>
    <n v="6893.11"/>
    <n v="6076.13"/>
    <n v="3396.05"/>
    <n v="17715.12"/>
    <x v="192"/>
    <n v="8482.25"/>
    <n v="36950.949999999997"/>
    <n v="135132.5"/>
    <n v="138790.07999999999"/>
    <x v="2"/>
    <m/>
    <m/>
    <m/>
    <s v="Yes"/>
    <s v="No"/>
    <s v="No"/>
    <s v="No"/>
    <s v="No"/>
    <s v="No"/>
    <s v="Yes"/>
    <s v="Yes"/>
    <s v="Yes"/>
    <s v="Yes"/>
    <s v="Yes"/>
  </r>
  <r>
    <x v="193"/>
    <n v="62810"/>
    <n v="40136"/>
    <n v="710"/>
    <n v="1335"/>
    <n v="11002"/>
    <n v="14887"/>
    <n v="359"/>
    <n v="0"/>
    <n v="149"/>
    <n v="0"/>
    <n v="0"/>
    <n v="0"/>
    <n v="43446"/>
    <n v="27072"/>
    <n v="1736"/>
    <n v="1683"/>
    <n v="27096"/>
    <n v="7988"/>
    <n v="6157"/>
    <n v="221792"/>
    <n v="246566"/>
    <n v="281089"/>
    <n v="268889"/>
    <n v="27519"/>
    <n v="23500"/>
    <n v="36600"/>
    <n v="85051.37677708744"/>
    <n v="43032.813814142879"/>
    <n v="42018.562962944561"/>
    <n v="34700"/>
    <n v="19827"/>
    <n v="96729.623222912589"/>
    <n v="-34523"/>
    <n v="51342"/>
    <n v="249800"/>
    <n v="782760"/>
    <n v="803082"/>
    <n v="555.1"/>
    <n v="11315.08"/>
    <n v="7230.41"/>
    <n v="127.9"/>
    <n v="240.5"/>
    <n v="1981.99"/>
    <n v="2681.86"/>
    <n v="64.67"/>
    <n v="0"/>
    <n v="26.84"/>
    <n v="0"/>
    <n v="0"/>
    <n v="0"/>
    <n v="7826.7"/>
    <n v="4876.96"/>
    <n v="312.74"/>
    <n v="303.19"/>
    <n v="4881.28"/>
    <n v="1439.02"/>
    <n v="1109.17"/>
    <n v="39955.32"/>
    <n v="44418.3"/>
    <n v="50637.54"/>
    <n v="48439.74"/>
    <n v="4957.49"/>
    <n v="4233.47"/>
    <n v="6593.41"/>
    <n v="15321.81"/>
    <n v="7752.26"/>
    <n v="7569.55"/>
    <n v="6251.13"/>
    <n v="3571.79"/>
    <n v="17425.62"/>
    <x v="193"/>
    <n v="9249.14"/>
    <n v="45000.9"/>
    <n v="141012.43"/>
    <n v="144673.39000000001"/>
    <x v="2"/>
    <m/>
    <m/>
    <m/>
    <s v="Yes"/>
    <s v="No"/>
    <s v="No"/>
    <s v="No"/>
    <s v="No"/>
    <s v="No"/>
    <s v="Yes"/>
    <s v="Yes"/>
    <s v="Yes"/>
    <s v="Yes"/>
    <s v="Yes"/>
  </r>
  <r>
    <x v="194"/>
    <n v="67132"/>
    <n v="42832"/>
    <n v="926"/>
    <n v="1409"/>
    <n v="10862"/>
    <n v="19390"/>
    <n v="712"/>
    <n v="0"/>
    <n v="211"/>
    <n v="0"/>
    <n v="0"/>
    <n v="0"/>
    <n v="46526"/>
    <n v="30087"/>
    <n v="1799"/>
    <n v="1752"/>
    <n v="27566"/>
    <n v="8611"/>
    <n v="6664"/>
    <n v="240980"/>
    <n v="266479"/>
    <n v="292082"/>
    <n v="280560"/>
    <n v="27921"/>
    <n v="23300"/>
    <n v="39400"/>
    <n v="87553.369583067237"/>
    <n v="44133.708677834147"/>
    <n v="43419.66090523309"/>
    <n v="36200"/>
    <n v="22658"/>
    <n v="99369.630416932749"/>
    <n v="-25603"/>
    <n v="43924"/>
    <n v="290000"/>
    <n v="821496"/>
    <n v="841425"/>
    <n v="568.5"/>
    <n v="11808.62"/>
    <n v="7534.21"/>
    <n v="162.88"/>
    <n v="247.85"/>
    <n v="1910.64"/>
    <n v="3410.73"/>
    <n v="125.24"/>
    <n v="0"/>
    <n v="37.119999999999997"/>
    <n v="0"/>
    <n v="0"/>
    <n v="0"/>
    <n v="8183.99"/>
    <n v="5292.35"/>
    <n v="316.45"/>
    <n v="308.18"/>
    <n v="4848.8999999999996"/>
    <n v="1514.69"/>
    <n v="1172.21"/>
    <n v="42388.74"/>
    <n v="46874.05"/>
    <n v="51377.66"/>
    <n v="49350.92"/>
    <n v="4911.3500000000004"/>
    <n v="4098.5"/>
    <n v="6930.52"/>
    <n v="15400.77"/>
    <n v="7763.19"/>
    <n v="7637.58"/>
    <n v="6367.63"/>
    <n v="3985.58"/>
    <n v="17479.27"/>
    <x v="194"/>
    <n v="7726.3"/>
    <n v="51011.43"/>
    <n v="144502.37"/>
    <n v="148007.92000000001"/>
    <x v="2"/>
    <m/>
    <m/>
    <m/>
    <s v="Yes"/>
    <s v="No"/>
    <s v="No"/>
    <s v="No"/>
    <s v="No"/>
    <s v="No"/>
    <s v="Yes"/>
    <s v="Yes"/>
    <s v="Yes"/>
    <s v="Yes"/>
    <s v="Yes"/>
  </r>
  <r>
    <x v="195"/>
    <n v="71400"/>
    <n v="45007"/>
    <n v="796"/>
    <n v="1518"/>
    <n v="11439"/>
    <n v="23569"/>
    <n v="968"/>
    <n v="0"/>
    <n v="171"/>
    <n v="0"/>
    <n v="0"/>
    <n v="0"/>
    <n v="48432"/>
    <n v="34373"/>
    <n v="2018"/>
    <n v="1820"/>
    <n v="29161"/>
    <n v="9324"/>
    <n v="9292"/>
    <n v="260558"/>
    <n v="289288"/>
    <n v="306202.25"/>
    <n v="294506"/>
    <n v="28238"/>
    <n v="22500"/>
    <n v="41400"/>
    <n v="91523.533142516433"/>
    <n v="45926.044259955663"/>
    <n v="45597.48888256077"/>
    <n v="37000"/>
    <n v="25899"/>
    <n v="104421.46685748361"/>
    <n v="-16914.25"/>
    <n v="35535"/>
    <n v="322100"/>
    <n v="866221"/>
    <n v="895885"/>
    <n v="588.20000000000005"/>
    <n v="12138.73"/>
    <n v="7651.65"/>
    <n v="135.33000000000001"/>
    <n v="258.08"/>
    <n v="1944.75"/>
    <n v="4006.97"/>
    <n v="164.57"/>
    <n v="0"/>
    <n v="29.07"/>
    <n v="0"/>
    <n v="0"/>
    <n v="0"/>
    <n v="8233.93"/>
    <n v="5843.76"/>
    <n v="343.08"/>
    <n v="309.42"/>
    <n v="4957.67"/>
    <n v="1585.18"/>
    <n v="1579.73"/>
    <n v="44297.52"/>
    <n v="49181.91"/>
    <n v="52057.51"/>
    <n v="50069.02"/>
    <n v="4800.75"/>
    <n v="3825.23"/>
    <n v="7038.42"/>
    <n v="15559.93"/>
    <n v="7807.9"/>
    <n v="7752.04"/>
    <n v="6290.38"/>
    <n v="4403.09"/>
    <n v="17752.71"/>
    <x v="195"/>
    <n v="6041.31"/>
    <n v="54760.29"/>
    <n v="147266.41"/>
    <n v="152309.59"/>
    <x v="2"/>
    <m/>
    <m/>
    <m/>
    <s v="Yes"/>
    <s v="No"/>
    <s v="No"/>
    <s v="No"/>
    <s v="No"/>
    <s v="No"/>
    <s v="Yes"/>
    <s v="Yes"/>
    <s v="Yes"/>
    <s v="Yes"/>
    <s v="Yes"/>
  </r>
  <r>
    <x v="196"/>
    <n v="72039"/>
    <n v="47219"/>
    <n v="1132"/>
    <n v="1558"/>
    <n v="12238"/>
    <n v="27787"/>
    <n v="1729"/>
    <n v="0"/>
    <n v="199"/>
    <n v="0"/>
    <n v="0"/>
    <n v="0"/>
    <n v="51725"/>
    <n v="35717"/>
    <n v="2467"/>
    <n v="1916"/>
    <n v="27846"/>
    <n v="10069"/>
    <n v="7927"/>
    <n v="273893"/>
    <n v="301568"/>
    <n v="312646.5"/>
    <n v="303709"/>
    <n v="23600"/>
    <n v="22100"/>
    <n v="42800"/>
    <n v="95141.862756999981"/>
    <n v="48406.152115943732"/>
    <n v="46735.710641056248"/>
    <n v="37800"/>
    <n v="27402"/>
    <n v="102065.13724300002"/>
    <n v="-11078.5"/>
    <n v="28924"/>
    <n v="347000"/>
    <n v="924548"/>
    <n v="948382"/>
    <n v="602.4"/>
    <n v="11958.67"/>
    <n v="7838.48"/>
    <n v="187.92"/>
    <n v="258.63"/>
    <n v="2031.54"/>
    <n v="4612.72"/>
    <n v="287.02"/>
    <n v="0"/>
    <n v="33.03"/>
    <n v="0"/>
    <n v="0"/>
    <n v="0"/>
    <n v="8586.49"/>
    <n v="5929.12"/>
    <n v="409.53"/>
    <n v="318.06"/>
    <n v="4622.51"/>
    <n v="1671.48"/>
    <n v="1315.9"/>
    <n v="45466.97"/>
    <n v="50061.09"/>
    <n v="51900.15"/>
    <n v="50416.5"/>
    <n v="3917.66"/>
    <n v="3668.66"/>
    <n v="7104.91"/>
    <n v="15793.8"/>
    <n v="8035.55"/>
    <n v="7758.25"/>
    <n v="6274.9"/>
    <n v="4548.8"/>
    <n v="16943.080000000002"/>
    <x v="196"/>
    <n v="4801.46"/>
    <n v="57602.92"/>
    <n v="153477.42000000001"/>
    <n v="157433.93"/>
    <x v="2"/>
    <m/>
    <m/>
    <m/>
    <s v="Yes"/>
    <s v="No"/>
    <s v="No"/>
    <s v="No"/>
    <s v="No"/>
    <s v="No"/>
    <s v="Yes"/>
    <s v="Yes"/>
    <s v="Yes"/>
    <s v="Yes"/>
    <s v="Yes"/>
  </r>
  <r>
    <x v="197"/>
    <n v="79838"/>
    <n v="51692"/>
    <n v="1470"/>
    <n v="1684"/>
    <n v="12850"/>
    <n v="30437"/>
    <n v="963"/>
    <n v="0"/>
    <n v="188"/>
    <n v="0"/>
    <n v="0"/>
    <n v="2610"/>
    <n v="55586"/>
    <n v="38680"/>
    <n v="3456"/>
    <n v="2009"/>
    <n v="28916"/>
    <n v="10945"/>
    <n v="14876"/>
    <n v="301039"/>
    <n v="336200"/>
    <n v="317283.75"/>
    <n v="317976"/>
    <n v="25216"/>
    <n v="21700"/>
    <n v="44500"/>
    <n v="96368.681757000013"/>
    <n v="50327.604841381646"/>
    <n v="46041.076915618367"/>
    <n v="38600"/>
    <n v="29430"/>
    <n v="112593.318243"/>
    <n v="18916.25"/>
    <n v="10616"/>
    <n v="360400"/>
    <n v="965482"/>
    <n v="985802"/>
    <n v="621.29999999999995"/>
    <n v="12850.15"/>
    <n v="8319.9699999999993"/>
    <n v="236.6"/>
    <n v="271.04000000000002"/>
    <n v="2068.2399999999998"/>
    <n v="4898.92"/>
    <n v="155"/>
    <n v="0"/>
    <n v="30.26"/>
    <n v="0"/>
    <n v="0"/>
    <n v="420.09"/>
    <n v="8946.7199999999993"/>
    <n v="6225.66"/>
    <n v="556.25"/>
    <n v="323.35000000000002"/>
    <n v="4654.1099999999997"/>
    <n v="1761.63"/>
    <n v="2394.33"/>
    <n v="48453.08"/>
    <n v="54112.35"/>
    <n v="51067.72"/>
    <n v="51179.14"/>
    <n v="4058.59"/>
    <n v="3492.68"/>
    <n v="7162.4"/>
    <n v="15510.81"/>
    <n v="8100.37"/>
    <n v="7410.44"/>
    <n v="6212.78"/>
    <n v="4736.84"/>
    <n v="18122.21"/>
    <x v="197"/>
    <n v="1708.68"/>
    <n v="58007.4"/>
    <n v="155397.07"/>
    <n v="158667.63"/>
    <x v="5"/>
    <m/>
    <m/>
    <m/>
    <s v="Yes"/>
    <s v="No"/>
    <s v="No"/>
    <s v="No"/>
    <s v="No"/>
    <s v="No"/>
    <s v="Yes"/>
    <s v="Yes"/>
    <s v="Yes"/>
    <s v="Yes"/>
    <s v="Yes"/>
  </r>
  <r>
    <x v="198"/>
    <n v="88995"/>
    <n v="54746"/>
    <n v="1964"/>
    <n v="1785"/>
    <n v="13198"/>
    <n v="30032"/>
    <n v="504"/>
    <n v="0"/>
    <n v="44"/>
    <n v="0"/>
    <n v="0"/>
    <n v="2614"/>
    <n v="58411"/>
    <n v="41075"/>
    <n v="4623"/>
    <n v="2179"/>
    <n v="29706"/>
    <n v="12146"/>
    <n v="15830"/>
    <n v="321166"/>
    <n v="357852"/>
    <n v="325320"/>
    <n v="327700.99999999994"/>
    <n v="26624"/>
    <n v="24500"/>
    <n v="46900"/>
    <n v="98777.216560038432"/>
    <n v="52496.115604629369"/>
    <n v="46281.100955409056"/>
    <n v="40000"/>
    <n v="30282"/>
    <n v="113865.78343996158"/>
    <n v="32532"/>
    <n v="66"/>
    <n v="363100"/>
    <n v="1010722"/>
    <n v="1032964"/>
    <n v="642.6"/>
    <n v="13849.21"/>
    <n v="8519.4500000000007"/>
    <n v="305.63"/>
    <n v="277.77999999999997"/>
    <n v="2053.84"/>
    <n v="4673.51"/>
    <n v="78.430000000000007"/>
    <n v="0"/>
    <n v="6.85"/>
    <n v="0"/>
    <n v="0"/>
    <n v="406.78"/>
    <n v="9089.7900000000009"/>
    <n v="6392"/>
    <n v="719.42"/>
    <n v="339.09"/>
    <n v="4622.78"/>
    <n v="1890.13"/>
    <n v="2463.4299999999998"/>
    <n v="49979.15"/>
    <n v="55688.14"/>
    <n v="50625.58"/>
    <n v="50996.11"/>
    <n v="4143.17"/>
    <n v="3812.64"/>
    <n v="7298.47"/>
    <n v="15371.49"/>
    <n v="8169.33"/>
    <n v="7202.16"/>
    <n v="6224.71"/>
    <n v="4712.42"/>
    <n v="17719.54"/>
    <x v="198"/>
    <n v="10.27"/>
    <n v="56504.82"/>
    <n v="157286.34"/>
    <n v="160747.59"/>
    <x v="5"/>
    <m/>
    <m/>
    <m/>
    <s v="Yes"/>
    <s v="No"/>
    <s v="No"/>
    <s v="No"/>
    <s v="No"/>
    <s v="No"/>
    <s v="Yes"/>
    <s v="Yes"/>
    <s v="Yes"/>
    <s v="Yes"/>
    <s v="Yes"/>
  </r>
  <r>
    <x v="199"/>
    <n v="96696"/>
    <n v="56935"/>
    <n v="2122"/>
    <n v="2047.0000000000002"/>
    <n v="14090"/>
    <n v="34322"/>
    <n v="853"/>
    <n v="0"/>
    <n v="0"/>
    <n v="0"/>
    <n v="0"/>
    <n v="0"/>
    <n v="62807"/>
    <n v="42547.999999999993"/>
    <n v="6898"/>
    <n v="2286"/>
    <n v="28259"/>
    <n v="13031"/>
    <n v="16858"/>
    <n v="344323"/>
    <n v="379752"/>
    <n v="335431"/>
    <n v="339399"/>
    <n v="28701"/>
    <n v="25100"/>
    <n v="49400"/>
    <n v="103489.68524246773"/>
    <n v="55731.707965315094"/>
    <n v="47757.977277152633"/>
    <n v="42200"/>
    <n v="26746"/>
    <n v="121164.31475753232"/>
    <n v="44321"/>
    <n v="11581"/>
    <n v="353300"/>
    <n v="1058494"/>
    <n v="1088366"/>
    <n v="652.5"/>
    <n v="14819.31"/>
    <n v="8725.67"/>
    <n v="325.20999999999998"/>
    <n v="313.72000000000003"/>
    <n v="2159.39"/>
    <n v="5260.08"/>
    <n v="130.72999999999999"/>
    <n v="0"/>
    <n v="0"/>
    <n v="0"/>
    <n v="0"/>
    <n v="0"/>
    <n v="9625.59"/>
    <n v="6520.77"/>
    <n v="1057.1600000000001"/>
    <n v="350.34"/>
    <n v="4330.88"/>
    <n v="1997.09"/>
    <n v="2583.6"/>
    <n v="52769.81"/>
    <n v="58199.54"/>
    <n v="51407.05"/>
    <n v="52015.17"/>
    <n v="4398.62"/>
    <n v="3846.74"/>
    <n v="7570.88"/>
    <n v="15860.49"/>
    <n v="8541.26"/>
    <n v="7319.23"/>
    <n v="6467.43"/>
    <n v="4099"/>
    <n v="18569.240000000002"/>
    <x v="199"/>
    <n v="1774.87"/>
    <n v="54145.59"/>
    <n v="162221.29999999999"/>
    <n v="166799.39000000001"/>
    <x v="5"/>
    <m/>
    <m/>
    <m/>
    <s v="Yes"/>
    <s v="No"/>
    <s v="No"/>
    <s v="No"/>
    <s v="No"/>
    <s v="No"/>
    <s v="Yes"/>
    <s v="Yes"/>
    <s v="Yes"/>
    <s v="Yes"/>
    <s v="Yes"/>
  </r>
  <r>
    <x v="200"/>
    <n v="107088.00000000001"/>
    <n v="62068"/>
    <n v="3236"/>
    <n v="2223"/>
    <n v="15258"/>
    <n v="34868"/>
    <n v="1518"/>
    <n v="0"/>
    <n v="0"/>
    <n v="0"/>
    <n v="0"/>
    <n v="0"/>
    <n v="65479"/>
    <n v="42105.000000000007"/>
    <n v="8164.9999999999991"/>
    <n v="2064"/>
    <n v="31230"/>
    <n v="14314"/>
    <n v="16820"/>
    <n v="368484"/>
    <n v="406436"/>
    <n v="356603"/>
    <n v="361764"/>
    <n v="28907"/>
    <n v="25700"/>
    <n v="54200"/>
    <n v="109221.33978511488"/>
    <n v="58985.486884738209"/>
    <n v="50235.852900376667"/>
    <n v="45900"/>
    <n v="26802"/>
    <n v="128847.66021488514"/>
    <n v="49833"/>
    <n v="15247"/>
    <n v="322000"/>
    <n v="1114341"/>
    <n v="1137120"/>
    <n v="671.8"/>
    <n v="15940.46"/>
    <n v="9239.06"/>
    <n v="481.69"/>
    <n v="330.9"/>
    <n v="2271.21"/>
    <n v="5190.24"/>
    <n v="225.96"/>
    <n v="0"/>
    <n v="0"/>
    <n v="0"/>
    <n v="0"/>
    <n v="0"/>
    <n v="9746.7999999999993"/>
    <n v="6267.49"/>
    <n v="1215.3900000000001"/>
    <n v="307.23"/>
    <n v="4648.7"/>
    <n v="2130.69"/>
    <n v="2503.7199999999998"/>
    <n v="54850.25"/>
    <n v="60499.55"/>
    <n v="53081.72"/>
    <n v="53849.96"/>
    <n v="4302.92"/>
    <n v="3825.54"/>
    <n v="8067.88"/>
    <n v="16258.01"/>
    <n v="8780.2199999999993"/>
    <n v="7477.8"/>
    <n v="6832.39"/>
    <n v="3989.58"/>
    <n v="19179.47"/>
    <x v="200"/>
    <n v="2269.5700000000002"/>
    <n v="47930.93"/>
    <n v="165873.92000000001"/>
    <n v="169264.66"/>
    <x v="5"/>
    <m/>
    <m/>
    <m/>
    <s v="Yes"/>
    <s v="No"/>
    <s v="No"/>
    <s v="No"/>
    <s v="No"/>
    <s v="No"/>
    <s v="Yes"/>
    <s v="Yes"/>
    <s v="Yes"/>
    <s v="Yes"/>
    <s v="Yes"/>
  </r>
  <r>
    <x v="201"/>
    <n v="108654.00000000001"/>
    <n v="63162"/>
    <n v="3034"/>
    <n v="2357"/>
    <n v="16403"/>
    <n v="32608.000000000004"/>
    <n v="1310"/>
    <n v="0"/>
    <n v="0"/>
    <n v="0"/>
    <n v="0"/>
    <n v="0"/>
    <n v="69349"/>
    <n v="41623"/>
    <n v="6983.0000000000009"/>
    <n v="2183"/>
    <n v="32312"/>
    <n v="15391"/>
    <n v="16840"/>
    <n v="374527"/>
    <n v="412209"/>
    <n v="381077.75"/>
    <n v="380275"/>
    <n v="37167"/>
    <n v="25400"/>
    <n v="59800"/>
    <n v="115991.70389487552"/>
    <n v="63328.613236572106"/>
    <n v="52663.090658303423"/>
    <n v="51200"/>
    <n v="24314"/>
    <n v="140736.29610512452"/>
    <n v="31131.25"/>
    <n v="6579"/>
    <n v="330600"/>
    <n v="1152999"/>
    <n v="1175810"/>
    <n v="683.7"/>
    <n v="15892.06"/>
    <n v="9238.26"/>
    <n v="443.76"/>
    <n v="344.74"/>
    <n v="2399.15"/>
    <n v="4769.34"/>
    <n v="191.6"/>
    <n v="0"/>
    <n v="0"/>
    <n v="0"/>
    <n v="0"/>
    <n v="0"/>
    <n v="10143.19"/>
    <n v="6087.9"/>
    <n v="1021.35"/>
    <n v="319.29000000000002"/>
    <n v="4726.05"/>
    <n v="2251.13"/>
    <n v="2463.0700000000002"/>
    <n v="54779.44"/>
    <n v="60290.92"/>
    <n v="55737.57"/>
    <n v="55620.160000000003"/>
    <n v="5436.16"/>
    <n v="3715.08"/>
    <n v="8746.5300000000007"/>
    <n v="16965.29"/>
    <n v="9262.6299999999992"/>
    <n v="7702.66"/>
    <n v="7488.66"/>
    <n v="3556.24"/>
    <n v="20584.509999999998"/>
    <x v="201"/>
    <n v="962.26"/>
    <n v="48354.54"/>
    <n v="168641.07"/>
    <n v="171977.48"/>
    <x v="5"/>
    <m/>
    <m/>
    <m/>
    <s v="Yes"/>
    <s v="No"/>
    <s v="No"/>
    <s v="No"/>
    <s v="No"/>
    <s v="No"/>
    <s v="Yes"/>
    <s v="Yes"/>
    <s v="Yes"/>
    <s v="Yes"/>
    <s v="Yes"/>
  </r>
  <r>
    <x v="202"/>
    <n v="110777"/>
    <n v="63529"/>
    <n v="1596"/>
    <n v="2356"/>
    <n v="16718"/>
    <n v="30122"/>
    <n v="958"/>
    <n v="0"/>
    <n v="0"/>
    <n v="0"/>
    <n v="0"/>
    <n v="0"/>
    <n v="72604"/>
    <n v="42689"/>
    <n v="7548.9999999999991"/>
    <n v="2287"/>
    <n v="34436"/>
    <n v="16797"/>
    <n v="15324"/>
    <n v="380164"/>
    <n v="417742"/>
    <n v="413401.75"/>
    <n v="408626.00000000006"/>
    <n v="43157"/>
    <n v="27000"/>
    <n v="66200"/>
    <n v="120682.74098003749"/>
    <n v="65494.088441750901"/>
    <n v="55188.652538286588"/>
    <n v="54700"/>
    <n v="22117"/>
    <n v="161083.25901996251"/>
    <n v="4340.25"/>
    <n v="36402"/>
    <n v="369200"/>
    <n v="1209047"/>
    <n v="1241522"/>
    <n v="695.1"/>
    <n v="15936.84"/>
    <n v="9139.5499999999993"/>
    <n v="229.61"/>
    <n v="338.94"/>
    <n v="2405.12"/>
    <n v="4333.4799999999996"/>
    <n v="137.82"/>
    <n v="0"/>
    <n v="0"/>
    <n v="0"/>
    <n v="0"/>
    <n v="0"/>
    <n v="10445.120000000001"/>
    <n v="6141.42"/>
    <n v="1086.03"/>
    <n v="329.02"/>
    <n v="4954.1099999999997"/>
    <n v="2416.4899999999998"/>
    <n v="2204.5700000000002"/>
    <n v="54691.99"/>
    <n v="60098.12"/>
    <n v="59473.71"/>
    <n v="58786.65"/>
    <n v="6208.75"/>
    <n v="3884.33"/>
    <n v="9523.81"/>
    <n v="17361.93"/>
    <n v="9422.25"/>
    <n v="7939.67"/>
    <n v="7869.37"/>
    <n v="3181.84"/>
    <n v="23174.11"/>
    <x v="202"/>
    <n v="5236.9399999999996"/>
    <n v="53114.66"/>
    <n v="173938.57"/>
    <n v="178610.56"/>
    <x v="5"/>
    <m/>
    <m/>
    <m/>
    <s v="Yes"/>
    <s v="No"/>
    <s v="No"/>
    <s v="No"/>
    <s v="No"/>
    <s v="No"/>
    <s v="Yes"/>
    <s v="Yes"/>
    <s v="Yes"/>
    <s v="Yes"/>
    <s v="Yes"/>
  </r>
  <r>
    <x v="203"/>
    <n v="116920.99999999999"/>
    <n v="75148"/>
    <n v="2225"/>
    <n v="2504"/>
    <n v="16555"/>
    <n v="30737.000000000004"/>
    <n v="1179"/>
    <n v="0"/>
    <n v="0"/>
    <n v="0"/>
    <n v="0"/>
    <n v="0"/>
    <n v="80290"/>
    <n v="44479"/>
    <n v="7544"/>
    <n v="2391"/>
    <n v="34816"/>
    <n v="18898"/>
    <n v="18323"/>
    <n v="411702"/>
    <n v="452010"/>
    <n v="451053.75"/>
    <n v="445889"/>
    <n v="47777"/>
    <n v="28800"/>
    <n v="74900"/>
    <n v="132189.11308501702"/>
    <n v="68638.34997812839"/>
    <n v="63550.76310688864"/>
    <n v="61000"/>
    <n v="23237"/>
    <n v="173539.88691498298"/>
    <n v="956.25"/>
    <n v="43695"/>
    <n v="404500"/>
    <n v="1275294"/>
    <n v="1308493"/>
    <n v="715.2"/>
    <n v="16348.01"/>
    <n v="10507.27"/>
    <n v="311.10000000000002"/>
    <n v="350.11"/>
    <n v="2314.7399999999998"/>
    <n v="4297.68"/>
    <n v="164.85"/>
    <n v="0"/>
    <n v="0"/>
    <n v="0"/>
    <n v="0"/>
    <n v="0"/>
    <n v="11226.23"/>
    <n v="6219.1"/>
    <n v="1054.81"/>
    <n v="334.31"/>
    <n v="4868.01"/>
    <n v="2642.34"/>
    <n v="2561.94"/>
    <n v="57564.6"/>
    <n v="63200.5"/>
    <n v="63066.8"/>
    <n v="62344.66"/>
    <n v="6680.23"/>
    <n v="4026.85"/>
    <n v="10472.6"/>
    <n v="18482.82"/>
    <n v="9597.08"/>
    <n v="8885.73"/>
    <n v="8529.08"/>
    <n v="3249.02"/>
    <n v="24264.53"/>
    <x v="203"/>
    <n v="6109.48"/>
    <n v="56557.61"/>
    <n v="178312.92"/>
    <n v="182954.84"/>
    <x v="5"/>
    <m/>
    <m/>
    <m/>
    <s v="Yes"/>
    <s v="No"/>
    <s v="No"/>
    <s v="No"/>
    <s v="No"/>
    <s v="No"/>
    <s v="Yes"/>
    <s v="Yes"/>
    <s v="Yes"/>
    <s v="Yes"/>
    <s v="Yes"/>
  </r>
  <r>
    <x v="204"/>
    <n v="126432.00000000001"/>
    <n v="80923"/>
    <n v="2282"/>
    <n v="2924"/>
    <n v="16941"/>
    <n v="38466"/>
    <n v="1284"/>
    <n v="0"/>
    <n v="0"/>
    <n v="0"/>
    <n v="0"/>
    <n v="0"/>
    <n v="82791"/>
    <n v="44882.000000000007"/>
    <n v="8966.0000000000018"/>
    <n v="2508"/>
    <n v="35716"/>
    <n v="20049"/>
    <n v="20162"/>
    <n v="442165"/>
    <n v="484326"/>
    <n v="483847.5"/>
    <n v="478922"/>
    <n v="54578"/>
    <n v="29800"/>
    <n v="82900"/>
    <n v="140383.70113748044"/>
    <n v="73564.216101413927"/>
    <n v="66819.485036066515"/>
    <n v="65099.999999999993"/>
    <n v="24961"/>
    <n v="190355.29886251953"/>
    <n v="478.5"/>
    <n v="52548"/>
    <n v="460900"/>
    <n v="1342278"/>
    <n v="1378668"/>
    <n v="736.5"/>
    <n v="17166.599999999999"/>
    <n v="10987.51"/>
    <n v="309.83999999999997"/>
    <n v="397.01"/>
    <n v="2300.1999999999998"/>
    <n v="5222.8100000000004"/>
    <n v="174.34"/>
    <n v="0"/>
    <n v="0"/>
    <n v="0"/>
    <n v="0"/>
    <n v="0"/>
    <n v="11241.14"/>
    <n v="6093.96"/>
    <n v="1217.3800000000001"/>
    <n v="340.53"/>
    <n v="4849.42"/>
    <n v="2722.2"/>
    <n v="2737.54"/>
    <n v="60035.98"/>
    <n v="65760.490000000005"/>
    <n v="65695.520000000004"/>
    <n v="65026.75"/>
    <n v="7410.45"/>
    <n v="4046.16"/>
    <n v="11255.94"/>
    <n v="19060.919999999998"/>
    <n v="9988.35"/>
    <n v="9072.57"/>
    <n v="8839.1"/>
    <n v="3389.14"/>
    <n v="25845.93"/>
    <x v="204"/>
    <n v="7134.83"/>
    <n v="62579.77"/>
    <n v="182250.92"/>
    <n v="187191.85"/>
    <x v="5"/>
    <m/>
    <m/>
    <m/>
    <s v="Yes"/>
    <s v="No"/>
    <s v="No"/>
    <s v="No"/>
    <s v="No"/>
    <s v="No"/>
    <s v="Yes"/>
    <s v="Yes"/>
    <s v="Yes"/>
    <s v="Yes"/>
    <s v="Yes"/>
  </r>
  <r>
    <x v="205"/>
    <n v="136074"/>
    <n v="85559"/>
    <n v="3042"/>
    <n v="3258"/>
    <n v="18000"/>
    <n v="46019.999999999993"/>
    <n v="2016"/>
    <n v="0"/>
    <n v="0"/>
    <n v="0"/>
    <n v="0"/>
    <n v="0"/>
    <n v="84903"/>
    <n v="45608"/>
    <n v="10918"/>
    <n v="2623"/>
    <n v="36992"/>
    <n v="21219"/>
    <n v="25287"/>
    <n v="473170"/>
    <n v="521519"/>
    <n v="510625.5"/>
    <n v="508293"/>
    <n v="57427"/>
    <n v="31000"/>
    <n v="89800"/>
    <n v="147251.48454677366"/>
    <n v="77939.878643008691"/>
    <n v="69311.605903764968"/>
    <n v="69800"/>
    <n v="27999"/>
    <n v="199869.51545322634"/>
    <n v="10893.5"/>
    <n v="46110"/>
    <n v="499400"/>
    <n v="1420970"/>
    <n v="1456514"/>
    <n v="757.3"/>
    <n v="17968.310000000001"/>
    <n v="11297.9"/>
    <n v="401.69"/>
    <n v="430.21"/>
    <n v="2376.87"/>
    <n v="6076.85"/>
    <n v="266.20999999999998"/>
    <n v="0"/>
    <n v="0"/>
    <n v="0"/>
    <n v="0"/>
    <n v="0"/>
    <n v="11211.28"/>
    <n v="6022.45"/>
    <n v="1441.7"/>
    <n v="346.36"/>
    <n v="4884.72"/>
    <n v="2801.93"/>
    <n v="3339.1"/>
    <n v="62481.18"/>
    <n v="68865.58"/>
    <n v="67427.11"/>
    <n v="67119.11"/>
    <n v="7583.12"/>
    <n v="4093.49"/>
    <n v="11857.92"/>
    <n v="19444.27"/>
    <n v="10291.81"/>
    <n v="9152.4599999999991"/>
    <n v="9216.9500000000007"/>
    <n v="3697.21"/>
    <n v="26392.38"/>
    <x v="205"/>
    <n v="6088.74"/>
    <n v="65944.800000000003"/>
    <n v="187636.34"/>
    <n v="192329.86"/>
    <x v="5"/>
    <m/>
    <m/>
    <m/>
    <s v="Yes"/>
    <s v="No"/>
    <s v="No"/>
    <s v="No"/>
    <s v="No"/>
    <s v="No"/>
    <s v="Yes"/>
    <s v="Yes"/>
    <s v="Yes"/>
    <s v="Yes"/>
    <s v="Yes"/>
  </r>
  <r>
    <x v="206"/>
    <n v="146495"/>
    <n v="90916"/>
    <n v="3830"/>
    <n v="3545"/>
    <n v="19111"/>
    <n v="46338"/>
    <n v="2155"/>
    <n v="0"/>
    <n v="0"/>
    <n v="0"/>
    <n v="0"/>
    <n v="0"/>
    <n v="91329"/>
    <n v="45391.000000000007"/>
    <n v="13393"/>
    <n v="2745"/>
    <n v="38369"/>
    <n v="22333"/>
    <n v="26216"/>
    <n v="502325"/>
    <n v="552166"/>
    <n v="538726.25"/>
    <n v="532381"/>
    <n v="59611.000000000007"/>
    <n v="32200.000000000004"/>
    <n v="94700"/>
    <n v="152297.54155344036"/>
    <n v="80563.883203393474"/>
    <n v="71733.658350046899"/>
    <n v="73000"/>
    <n v="29261"/>
    <n v="210533.45844655958"/>
    <n v="13439.75"/>
    <n v="42172"/>
    <n v="535200"/>
    <n v="1487963"/>
    <n v="1526479"/>
    <n v="781.5"/>
    <n v="18745.36"/>
    <n v="11633.53"/>
    <n v="490.08"/>
    <n v="453.61"/>
    <n v="2445.4299999999998"/>
    <n v="5929.37"/>
    <n v="275.75"/>
    <n v="0"/>
    <n v="0"/>
    <n v="0"/>
    <n v="0"/>
    <n v="0"/>
    <n v="11686.37"/>
    <n v="5808.19"/>
    <n v="1713.76"/>
    <n v="351.25"/>
    <n v="4909.66"/>
    <n v="2857.71"/>
    <n v="3354.57"/>
    <n v="64277.03"/>
    <n v="70654.64"/>
    <n v="68934.899999999994"/>
    <n v="68122.97"/>
    <n v="7627.77"/>
    <n v="4120.28"/>
    <n v="12117.72"/>
    <n v="19487.849999999999"/>
    <n v="10308.879999999999"/>
    <n v="9178.9699999999993"/>
    <n v="9341.01"/>
    <n v="3744.21"/>
    <n v="26939.66"/>
    <x v="206"/>
    <n v="5396.29"/>
    <n v="68483.69"/>
    <n v="190398.34"/>
    <n v="195326.81"/>
    <x v="5"/>
    <m/>
    <m/>
    <m/>
    <s v="Yes"/>
    <s v="No"/>
    <s v="No"/>
    <s v="No"/>
    <s v="No"/>
    <s v="No"/>
    <s v="Yes"/>
    <s v="Yes"/>
    <s v="Yes"/>
    <s v="Yes"/>
    <s v="Yes"/>
  </r>
  <r>
    <x v="207"/>
    <n v="157092"/>
    <n v="95437"/>
    <n v="5268"/>
    <n v="3824"/>
    <n v="19522"/>
    <n v="47103"/>
    <n v="1680"/>
    <n v="0"/>
    <n v="0"/>
    <n v="0"/>
    <n v="0"/>
    <n v="0"/>
    <n v="93800"/>
    <n v="48444"/>
    <n v="14123.000000000002"/>
    <n v="2858"/>
    <n v="42939"/>
    <n v="23514"/>
    <n v="28250"/>
    <n v="528844"/>
    <n v="583854"/>
    <n v="575875"/>
    <n v="565906"/>
    <n v="62913"/>
    <n v="33700"/>
    <n v="101100"/>
    <n v="176689.18931085739"/>
    <n v="94201.293263847401"/>
    <n v="82487.896047009985"/>
    <n v="78700"/>
    <n v="33469"/>
    <n v="205160.81068914253"/>
    <n v="7979"/>
    <n v="47125"/>
    <n v="567200"/>
    <n v="1567027"/>
    <n v="1592423"/>
    <n v="815"/>
    <n v="19275.09"/>
    <n v="11710.06"/>
    <n v="646.38"/>
    <n v="469.2"/>
    <n v="2395.34"/>
    <n v="5779.51"/>
    <n v="206.13"/>
    <n v="0"/>
    <n v="0"/>
    <n v="0"/>
    <n v="0"/>
    <n v="0"/>
    <n v="11509.2"/>
    <n v="5944.05"/>
    <n v="1732.88"/>
    <n v="350.67"/>
    <n v="5268.59"/>
    <n v="2885.15"/>
    <n v="3466.26"/>
    <n v="64888.83"/>
    <n v="71638.53"/>
    <n v="70659.509999999995"/>
    <n v="69436.320000000007"/>
    <n v="7719.39"/>
    <n v="4134.97"/>
    <n v="12404.91"/>
    <n v="21679.66"/>
    <n v="11558.44"/>
    <n v="10121.209999999999"/>
    <n v="9656.44"/>
    <n v="4106.63"/>
    <n v="25173.11"/>
    <x v="207"/>
    <n v="5782.21"/>
    <n v="69595.09"/>
    <n v="192273.25"/>
    <n v="195389.33"/>
    <x v="5"/>
    <m/>
    <m/>
    <m/>
    <s v="Yes"/>
    <s v="No"/>
    <s v="No"/>
    <s v="No"/>
    <s v="No"/>
    <s v="No"/>
    <s v="Yes"/>
    <s v="Yes"/>
    <s v="Yes"/>
    <s v="Yes"/>
    <s v="Yes"/>
  </r>
  <r>
    <x v="208"/>
    <n v="150839.00000000003"/>
    <n v="96613"/>
    <n v="7852"/>
    <n v="2837"/>
    <n v="20853"/>
    <n v="38141"/>
    <n v="2567"/>
    <n v="0"/>
    <n v="0"/>
    <n v="0"/>
    <n v="0"/>
    <n v="0"/>
    <n v="89227"/>
    <n v="48525.999999999993"/>
    <n v="8002.0000000000009"/>
    <n v="2977"/>
    <n v="46778"/>
    <n v="24516"/>
    <n v="29371"/>
    <n v="510197"/>
    <n v="569099"/>
    <n v="616360.25"/>
    <n v="600435"/>
    <n v="85978.000000000015"/>
    <n v="36800"/>
    <n v="108700"/>
    <n v="175884.013605844"/>
    <n v="93368.480693603517"/>
    <n v="82515.53291224048"/>
    <n v="83000"/>
    <n v="34895"/>
    <n v="247133.98639415603"/>
    <n v="-47261.25"/>
    <n v="119372"/>
    <n v="787200"/>
    <n v="1583394"/>
    <n v="1558283"/>
    <n v="847.5"/>
    <n v="17798.11"/>
    <n v="11399.76"/>
    <n v="926.49"/>
    <n v="334.75"/>
    <n v="2460.5300000000002"/>
    <n v="4500.41"/>
    <n v="302.89"/>
    <n v="0"/>
    <n v="0"/>
    <n v="0"/>
    <n v="0"/>
    <n v="0"/>
    <n v="10528.26"/>
    <n v="5725.78"/>
    <n v="944.19"/>
    <n v="351.27"/>
    <n v="5519.53"/>
    <n v="2892.74"/>
    <n v="3465.6"/>
    <n v="60200.24"/>
    <n v="67150.320000000007"/>
    <n v="72726.87"/>
    <n v="70847.789999999994"/>
    <n v="10144.9"/>
    <n v="4342.18"/>
    <n v="12825.96"/>
    <n v="20753.28"/>
    <n v="11016.93"/>
    <n v="9736.35"/>
    <n v="9793.51"/>
    <n v="4117.3999999999996"/>
    <n v="29160.35"/>
    <x v="208"/>
    <n v="14085.19"/>
    <n v="92884.96"/>
    <n v="186831.15"/>
    <n v="183868.2"/>
    <x v="5"/>
    <m/>
    <m/>
    <m/>
    <s v="Yes"/>
    <s v="No"/>
    <s v="No"/>
    <s v="No"/>
    <s v="No"/>
    <s v="No"/>
    <s v="Yes"/>
    <s v="Yes"/>
    <s v="Yes"/>
    <s v="Yes"/>
    <s v="Yes"/>
  </r>
  <r>
    <x v="209"/>
    <n v="147148.00000000003"/>
    <n v="96638"/>
    <n v="2491"/>
    <n v="2386"/>
    <n v="21317"/>
    <n v="40035.000000000007"/>
    <n v="923"/>
    <n v="0"/>
    <n v="0"/>
    <n v="0"/>
    <n v="0"/>
    <n v="0"/>
    <n v="86244"/>
    <n v="52449.999999999993"/>
    <n v="7904"/>
    <n v="3028"/>
    <n v="47359.999999999942"/>
    <n v="25061"/>
    <n v="30982"/>
    <n v="503858"/>
    <n v="563967"/>
    <n v="658340"/>
    <n v="634809"/>
    <n v="86930"/>
    <n v="37700"/>
    <n v="116900"/>
    <n v="192813.35569052215"/>
    <n v="99776.634781208937"/>
    <n v="93036.720909313197"/>
    <n v="88500"/>
    <n v="24430.999999999996"/>
    <n v="261394.64430947788"/>
    <n v="-94373"/>
    <n v="159906"/>
    <n v="1027900.0000000001"/>
    <n v="1561331"/>
    <n v="1594090"/>
    <n v="843"/>
    <n v="17455.28"/>
    <n v="11463.58"/>
    <n v="295.49"/>
    <n v="283.04000000000002"/>
    <n v="2528.71"/>
    <n v="4749.1099999999997"/>
    <n v="109.49"/>
    <n v="0"/>
    <n v="0"/>
    <n v="0"/>
    <n v="0"/>
    <n v="0"/>
    <n v="10230.6"/>
    <n v="6221.83"/>
    <n v="937.6"/>
    <n v="359.19"/>
    <n v="5618.03"/>
    <n v="2972.84"/>
    <n v="3675.21"/>
    <n v="59769.63"/>
    <n v="66900"/>
    <n v="78094.899999999994"/>
    <n v="75303.56"/>
    <n v="10311.98"/>
    <n v="4472.12"/>
    <n v="13867.14"/>
    <n v="22872.28"/>
    <n v="11835.9"/>
    <n v="11036.38"/>
    <n v="10498.22"/>
    <n v="2898.1"/>
    <n v="31007.67"/>
    <x v="209"/>
    <n v="18968.68"/>
    <n v="121933.57"/>
    <n v="185211.27"/>
    <n v="189097.27"/>
    <x v="5"/>
    <m/>
    <m/>
    <m/>
    <s v="Yes"/>
    <s v="No"/>
    <s v="No"/>
    <s v="No"/>
    <s v="No"/>
    <s v="No"/>
    <s v="Yes"/>
    <s v="Yes"/>
    <s v="Yes"/>
    <s v="Yes"/>
    <s v="Yes"/>
  </r>
  <r>
    <x v="210"/>
    <n v="153246"/>
    <n v="97747"/>
    <n v="3601"/>
    <n v="2716"/>
    <n v="21254"/>
    <n v="43931"/>
    <n v="1458"/>
    <n v="0"/>
    <n v="0"/>
    <n v="0"/>
    <n v="0"/>
    <n v="42"/>
    <n v="101286"/>
    <n v="53951"/>
    <n v="8931.0000000000018"/>
    <n v="3064"/>
    <n v="53843"/>
    <n v="25563"/>
    <n v="32776"/>
    <n v="540768"/>
    <n v="603409"/>
    <n v="683527.75"/>
    <n v="662728"/>
    <n v="80981"/>
    <n v="39300"/>
    <n v="119900"/>
    <n v="199859.48267378248"/>
    <n v="103626.15568134619"/>
    <n v="96233.326992436283"/>
    <n v="91500"/>
    <n v="39324"/>
    <n v="253825.51732621749"/>
    <n v="-80118.75"/>
    <n v="141786"/>
    <n v="1168700"/>
    <n v="1630474"/>
    <n v="1651191"/>
    <n v="881.9"/>
    <n v="17376.8"/>
    <n v="11083.68"/>
    <n v="408.32"/>
    <n v="307.97000000000003"/>
    <n v="2410.02"/>
    <n v="4981.3999999999996"/>
    <n v="165.32"/>
    <n v="0"/>
    <n v="0"/>
    <n v="0"/>
    <n v="0"/>
    <n v="4.76"/>
    <n v="11484.98"/>
    <n v="6117.59"/>
    <n v="1012.7"/>
    <n v="347.43"/>
    <n v="6105.34"/>
    <n v="2898.63"/>
    <n v="3716.52"/>
    <n v="61318.52"/>
    <n v="68421.48"/>
    <n v="77506.259999999995"/>
    <n v="75147.75"/>
    <n v="9182.56"/>
    <n v="4456.29"/>
    <n v="13595.65"/>
    <n v="22662.37"/>
    <n v="11750.33"/>
    <n v="10912.05"/>
    <n v="10375.33"/>
    <n v="4459.01"/>
    <n v="28781.67"/>
    <x v="210"/>
    <n v="16077.33"/>
    <n v="132520.69"/>
    <n v="184881.96"/>
    <n v="187231.09"/>
    <x v="7"/>
    <m/>
    <m/>
    <m/>
    <s v="Yes"/>
    <s v="No"/>
    <s v="No"/>
    <s v="No"/>
    <s v="No"/>
    <s v="No"/>
    <s v="Yes"/>
    <s v="Yes"/>
    <s v="Yes"/>
    <s v="Yes"/>
    <s v="Yes"/>
  </r>
  <r>
    <x v="211"/>
    <n v="152702"/>
    <n v="101597"/>
    <n v="4337"/>
    <n v="2905"/>
    <n v="22868"/>
    <n v="41736.999999999993"/>
    <n v="2032"/>
    <n v="0"/>
    <n v="0"/>
    <n v="0"/>
    <n v="0"/>
    <n v="2382"/>
    <n v="114204"/>
    <n v="55414"/>
    <n v="8919"/>
    <n v="3113"/>
    <n v="54143"/>
    <n v="25777"/>
    <n v="32793"/>
    <n v="559618"/>
    <n v="624923"/>
    <n v="679871.25"/>
    <n v="671400.00000000012"/>
    <n v="74820"/>
    <n v="38700"/>
    <n v="121300"/>
    <n v="206252.77974481636"/>
    <n v="107622.43153614958"/>
    <n v="98630.348208666794"/>
    <n v="86500"/>
    <n v="45004"/>
    <n v="248463.22025518364"/>
    <n v="-54948.25"/>
    <n v="121290"/>
    <n v="1261200"/>
    <n v="1671352"/>
    <n v="1698631"/>
    <n v="927.8"/>
    <n v="16458.5"/>
    <n v="10950.31"/>
    <n v="467.45"/>
    <n v="313.11"/>
    <n v="2464.7600000000002"/>
    <n v="4498.49"/>
    <n v="219.01"/>
    <n v="0"/>
    <n v="0"/>
    <n v="0"/>
    <n v="0"/>
    <n v="256.74"/>
    <n v="12309.12"/>
    <n v="5972.62"/>
    <n v="961.31"/>
    <n v="335.52"/>
    <n v="5835.63"/>
    <n v="2778.29"/>
    <n v="3534.49"/>
    <n v="60316.66"/>
    <n v="67355.360000000001"/>
    <n v="73277.78"/>
    <n v="72364.73"/>
    <n v="8064.24"/>
    <n v="4171.16"/>
    <n v="13073.94"/>
    <n v="22230.31"/>
    <n v="11599.74"/>
    <n v="10630.56"/>
    <n v="9323.1299999999992"/>
    <n v="4850.6099999999997"/>
    <n v="26779.83"/>
    <x v="211"/>
    <n v="13072.86"/>
    <n v="135934.47"/>
    <n v="180141.41"/>
    <n v="183081.59"/>
    <x v="7"/>
    <m/>
    <m/>
    <m/>
    <s v="Yes"/>
    <s v="No"/>
    <s v="No"/>
    <s v="No"/>
    <s v="No"/>
    <s v="No"/>
    <s v="Yes"/>
    <s v="Yes"/>
    <s v="Yes"/>
    <s v="Yes"/>
    <s v="Yes"/>
  </r>
  <r>
    <x v="212"/>
    <n v="152291"/>
    <n v="104483"/>
    <n v="3927"/>
    <n v="3106"/>
    <n v="23725"/>
    <n v="40748"/>
    <n v="1737"/>
    <n v="0"/>
    <n v="0"/>
    <n v="0"/>
    <n v="0"/>
    <n v="1773"/>
    <n v="117312"/>
    <n v="55105"/>
    <n v="9140"/>
    <n v="3085"/>
    <n v="64873"/>
    <n v="26146"/>
    <n v="29343"/>
    <n v="565756"/>
    <n v="636794"/>
    <n v="705710.75"/>
    <n v="682996"/>
    <n v="78402"/>
    <n v="36300"/>
    <n v="124300"/>
    <n v="214020.85270996197"/>
    <n v="113481.60200574076"/>
    <n v="100539.25070422121"/>
    <n v="84100"/>
    <n v="37969"/>
    <n v="264708.14729003818"/>
    <n v="-68916.75"/>
    <n v="123911"/>
    <n v="1366200"/>
    <n v="1726983"/>
    <n v="1762710"/>
    <n v="957.6"/>
    <n v="15903.4"/>
    <n v="10910.92"/>
    <n v="410.09"/>
    <n v="324.35000000000002"/>
    <n v="2477.5500000000002"/>
    <n v="4255.22"/>
    <n v="181.39"/>
    <n v="0"/>
    <n v="0"/>
    <n v="0"/>
    <n v="0"/>
    <n v="185.15"/>
    <n v="12250.63"/>
    <n v="5754.49"/>
    <n v="954.47"/>
    <n v="322.16000000000003"/>
    <n v="6774.54"/>
    <n v="2730.37"/>
    <n v="3064.22"/>
    <n v="59080.62"/>
    <n v="66498.960000000006"/>
    <n v="73695.78"/>
    <n v="71323.73"/>
    <n v="8187.34"/>
    <n v="3790.73"/>
    <n v="12980.37"/>
    <n v="22349.71"/>
    <n v="11850.63"/>
    <n v="10499.09"/>
    <n v="8782.3700000000008"/>
    <n v="3965.02"/>
    <n v="27642.87"/>
    <x v="212"/>
    <n v="12939.75"/>
    <n v="142669.17000000001"/>
    <n v="180344.92"/>
    <n v="184075.81"/>
    <x v="7"/>
    <m/>
    <m/>
    <m/>
    <s v="Yes"/>
    <s v="No"/>
    <s v="No"/>
    <s v="No"/>
    <s v="No"/>
    <s v="No"/>
    <s v="Yes"/>
    <s v="Yes"/>
    <s v="Yes"/>
    <s v="Yes"/>
    <s v="Yes"/>
  </r>
  <r>
    <x v="213"/>
    <n v="157617.99999999997"/>
    <n v="107306"/>
    <n v="3908"/>
    <n v="3401"/>
    <n v="24848"/>
    <n v="40671"/>
    <n v="1118"/>
    <n v="0"/>
    <n v="0"/>
    <n v="0"/>
    <n v="0"/>
    <n v="2430"/>
    <n v="123592"/>
    <n v="55854"/>
    <n v="12481"/>
    <n v="3120"/>
    <n v="72704"/>
    <n v="27364"/>
    <n v="27414"/>
    <n v="589649"/>
    <n v="663829"/>
    <n v="710552"/>
    <n v="693627.00000000012"/>
    <n v="74587"/>
    <n v="36400"/>
    <n v="129400"/>
    <n v="210740.68457614674"/>
    <n v="114395.14935495325"/>
    <n v="96345.535221193495"/>
    <n v="84700"/>
    <n v="38472"/>
    <n v="268501.3154238534"/>
    <n v="-46723"/>
    <n v="102465"/>
    <n v="1461100"/>
    <n v="1806096"/>
    <n v="1845771"/>
    <n v="986.7"/>
    <n v="15974.26"/>
    <n v="10875.24"/>
    <n v="396.07"/>
    <n v="344.68"/>
    <n v="2518.29"/>
    <n v="4121.92"/>
    <n v="113.31"/>
    <n v="0"/>
    <n v="0"/>
    <n v="0"/>
    <n v="0"/>
    <n v="246.28"/>
    <n v="12525.79"/>
    <n v="5660.69"/>
    <n v="1264.92"/>
    <n v="316.20999999999998"/>
    <n v="7368.4"/>
    <n v="2773.28"/>
    <n v="2778.35"/>
    <n v="59759.7"/>
    <n v="67277.69"/>
    <n v="72012.97"/>
    <n v="70297.66"/>
    <n v="7559.24"/>
    <n v="3689.06"/>
    <n v="13114.42"/>
    <n v="21358.13"/>
    <n v="11593.71"/>
    <n v="9764.42"/>
    <n v="8584.17"/>
    <n v="3899.06"/>
    <n v="27212.05"/>
    <x v="213"/>
    <n v="10384.620000000001"/>
    <n v="148079.46"/>
    <n v="183044.09"/>
    <n v="187065.07"/>
    <x v="7"/>
    <m/>
    <m/>
    <m/>
    <s v="Yes"/>
    <s v="No"/>
    <s v="No"/>
    <s v="No"/>
    <s v="No"/>
    <s v="No"/>
    <s v="Yes"/>
    <s v="Yes"/>
    <s v="Yes"/>
    <s v="Yes"/>
    <s v="Yes"/>
  </r>
  <r>
    <x v="214"/>
    <n v="163619"/>
    <n v="110260"/>
    <n v="5559"/>
    <n v="3802"/>
    <n v="25105"/>
    <n v="44270.999999999993"/>
    <n v="77"/>
    <n v="0"/>
    <n v="0"/>
    <n v="0"/>
    <n v="0"/>
    <n v="3117"/>
    <n v="128316"/>
    <n v="55954.999999999993"/>
    <n v="13779"/>
    <n v="3137"/>
    <n v="73849"/>
    <n v="28144"/>
    <n v="31638"/>
    <n v="611684"/>
    <n v="690628"/>
    <n v="724389.25"/>
    <n v="704023"/>
    <n v="82476"/>
    <n v="36700"/>
    <n v="134100"/>
    <n v="215239.86708199503"/>
    <n v="117954.06142209802"/>
    <n v="97285.805659897029"/>
    <n v="85100"/>
    <n v="37587.999999999993"/>
    <n v="277771.13291800494"/>
    <n v="-33761.25"/>
    <n v="96867"/>
    <n v="1552900"/>
    <n v="1875897"/>
    <n v="1905355"/>
    <n v="1010"/>
    <n v="16199.9"/>
    <n v="10916.83"/>
    <n v="550.4"/>
    <n v="376.44"/>
    <n v="2485.64"/>
    <n v="4383.2700000000004"/>
    <n v="7.62"/>
    <n v="0"/>
    <n v="0"/>
    <n v="0"/>
    <n v="0"/>
    <n v="308.61"/>
    <n v="12704.55"/>
    <n v="5540.1"/>
    <n v="1364.26"/>
    <n v="310.58999999999997"/>
    <n v="7311.78"/>
    <n v="2786.53"/>
    <n v="3132.48"/>
    <n v="60562.77"/>
    <n v="68379.009999999995"/>
    <n v="71721.710000000006"/>
    <n v="69705.25"/>
    <n v="8165.94"/>
    <n v="3633.66"/>
    <n v="13277.23"/>
    <n v="21310.880000000001"/>
    <n v="11678.62"/>
    <n v="9632.26"/>
    <n v="8425.74"/>
    <n v="3721.58"/>
    <n v="27502.09"/>
    <x v="214"/>
    <n v="9590.7900000000009"/>
    <n v="153752.48000000001"/>
    <n v="185732.38"/>
    <n v="188649.01"/>
    <x v="7"/>
    <m/>
    <m/>
    <m/>
    <s v="Yes"/>
    <s v="No"/>
    <s v="No"/>
    <s v="No"/>
    <s v="No"/>
    <s v="No"/>
    <s v="Yes"/>
    <s v="Yes"/>
    <s v="Yes"/>
    <s v="Yes"/>
    <s v="Yes"/>
  </r>
  <r>
    <x v="215"/>
    <n v="168874"/>
    <n v="114061"/>
    <n v="7060"/>
    <n v="4650"/>
    <n v="25584"/>
    <n v="44800.999999999993"/>
    <n v="562"/>
    <n v="0"/>
    <n v="0"/>
    <n v="0"/>
    <n v="0"/>
    <n v="3198"/>
    <n v="133953"/>
    <n v="56370.999999999993"/>
    <n v="14597"/>
    <n v="3115"/>
    <n v="74315"/>
    <n v="28986"/>
    <n v="35075"/>
    <n v="633752"/>
    <n v="715202"/>
    <n v="729723.75"/>
    <n v="714764"/>
    <n v="79979.000000000015"/>
    <n v="36600"/>
    <n v="138500"/>
    <n v="217850.65527906112"/>
    <n v="120299.95155161916"/>
    <n v="97550.703727441971"/>
    <n v="84900"/>
    <n v="33041"/>
    <n v="283851.34472093894"/>
    <n v="-14521.75"/>
    <n v="81516"/>
    <n v="1599700"/>
    <n v="1937570"/>
    <n v="1973425"/>
    <n v="1020"/>
    <n v="16556.27"/>
    <n v="11182.45"/>
    <n v="692.16"/>
    <n v="455.88"/>
    <n v="2508.2399999999998"/>
    <n v="4392.25"/>
    <n v="55.1"/>
    <n v="0"/>
    <n v="0"/>
    <n v="0"/>
    <n v="0"/>
    <n v="313.52999999999997"/>
    <n v="13132.65"/>
    <n v="5526.57"/>
    <n v="1431.08"/>
    <n v="305.39"/>
    <n v="7285.78"/>
    <n v="2841.76"/>
    <n v="3438.73"/>
    <n v="62132.55"/>
    <n v="70117.84"/>
    <n v="71541.539999999994"/>
    <n v="70074.899999999994"/>
    <n v="7841.08"/>
    <n v="3588.24"/>
    <n v="13578.43"/>
    <n v="21357.91"/>
    <n v="11794.11"/>
    <n v="9563.7900000000009"/>
    <n v="8323.5300000000007"/>
    <n v="3239.31"/>
    <n v="27828.560000000001"/>
    <x v="215"/>
    <n v="7991.76"/>
    <n v="156833.32999999999"/>
    <n v="189957.84"/>
    <n v="193473.04"/>
    <x v="2"/>
    <m/>
    <m/>
    <m/>
    <s v="Yes"/>
    <s v="No"/>
    <s v="No"/>
    <s v="No"/>
    <s v="No"/>
    <s v="No"/>
    <s v="Yes"/>
    <s v="Yes"/>
    <s v="Yes"/>
    <s v="Yes"/>
    <s v="Yes"/>
  </r>
  <r>
    <x v="216"/>
    <n v="176951.00000000003"/>
    <n v="125783.99999999999"/>
    <n v="8561"/>
    <n v="4823"/>
    <n v="26392"/>
    <n v="53666.000000000007"/>
    <n v="653"/>
    <n v="0"/>
    <n v="0"/>
    <n v="0"/>
    <n v="0"/>
    <n v="3138"/>
    <n v="139483"/>
    <n v="56927"/>
    <n v="16122.999999999998"/>
    <n v="3163"/>
    <n v="79128"/>
    <n v="30361"/>
    <n v="33725"/>
    <n v="676482"/>
    <n v="758878"/>
    <n v="739061"/>
    <n v="725217"/>
    <n v="88640.999999999985"/>
    <n v="37100"/>
    <n v="142600"/>
    <n v="218843.81868866005"/>
    <n v="121964.92264781929"/>
    <n v="96878.896040840744"/>
    <n v="84900"/>
    <n v="35659"/>
    <n v="294755.1813113399"/>
    <n v="19817"/>
    <n v="54804"/>
    <n v="1718000"/>
    <n v="2022931"/>
    <n v="2064621"/>
    <n v="1037.7"/>
    <n v="17052.23"/>
    <n v="12121.42"/>
    <n v="825"/>
    <n v="464.78"/>
    <n v="2543.3200000000002"/>
    <n v="5171.63"/>
    <n v="62.93"/>
    <n v="0"/>
    <n v="0"/>
    <n v="0"/>
    <n v="0"/>
    <n v="302.39999999999998"/>
    <n v="13441.55"/>
    <n v="5485.88"/>
    <n v="1553.72"/>
    <n v="304.81"/>
    <n v="7625.33"/>
    <n v="2925.8"/>
    <n v="3249.98"/>
    <n v="65190.52"/>
    <n v="73130.77"/>
    <n v="71221.070000000007"/>
    <n v="69886.960000000006"/>
    <n v="8542.06"/>
    <n v="3575.21"/>
    <n v="13741.93"/>
    <n v="21089.31"/>
    <n v="11753.39"/>
    <n v="9335.93"/>
    <n v="8181.56"/>
    <n v="3436.35"/>
    <n v="28404.66"/>
    <x v="216"/>
    <n v="5281.3"/>
    <n v="165558.45000000001"/>
    <n v="194943.72"/>
    <n v="198961.26"/>
    <x v="2"/>
    <m/>
    <m/>
    <m/>
    <s v="Yes"/>
    <s v="No"/>
    <s v="No"/>
    <s v="No"/>
    <s v="No"/>
    <s v="No"/>
    <s v="Yes"/>
    <s v="Yes"/>
    <s v="Yes"/>
    <s v="Yes"/>
    <s v="Yes"/>
  </r>
  <r>
    <x v="217"/>
    <n v="180609"/>
    <n v="131547"/>
    <n v="7793"/>
    <n v="5204"/>
    <n v="26636"/>
    <n v="55541"/>
    <n v="568"/>
    <n v="0"/>
    <n v="0"/>
    <n v="0"/>
    <n v="0"/>
    <n v="2823"/>
    <n v="143646"/>
    <n v="57951"/>
    <n v="17114"/>
    <n v="3181"/>
    <n v="84537"/>
    <n v="32134"/>
    <n v="32512"/>
    <n v="700471"/>
    <n v="781796"/>
    <n v="766064.5"/>
    <n v="742216"/>
    <n v="94686"/>
    <n v="38700"/>
    <n v="147300"/>
    <n v="220909.93202622372"/>
    <n v="123503.57467165194"/>
    <n v="97406.357354571781"/>
    <n v="86100"/>
    <n v="42486.999999999993"/>
    <n v="301405.06797377631"/>
    <n v="15731.5"/>
    <n v="58916"/>
    <n v="1757300"/>
    <n v="2102925"/>
    <n v="2141094"/>
    <n v="1074.9000000000001"/>
    <n v="16802.400000000001"/>
    <n v="12238.07"/>
    <n v="725"/>
    <n v="484.14"/>
    <n v="2478"/>
    <n v="5167.09"/>
    <n v="52.84"/>
    <n v="0"/>
    <n v="0"/>
    <n v="0"/>
    <n v="0"/>
    <n v="262.63"/>
    <n v="13363.66"/>
    <n v="5391.29"/>
    <n v="1592.15"/>
    <n v="295.93"/>
    <n v="7864.64"/>
    <n v="2989.49"/>
    <n v="3024.65"/>
    <n v="65166.15"/>
    <n v="72731.98"/>
    <n v="71268.44"/>
    <n v="69049.77"/>
    <n v="8808.82"/>
    <n v="3600.33"/>
    <n v="13703.6"/>
    <n v="20551.669999999998"/>
    <n v="11489.77"/>
    <n v="9061.9"/>
    <n v="8010.05"/>
    <n v="3952.65"/>
    <n v="28040.29"/>
    <x v="217"/>
    <n v="5481.07"/>
    <n v="163484.98000000001"/>
    <n v="195639.13"/>
    <n v="199190.06"/>
    <x v="2"/>
    <m/>
    <m/>
    <m/>
    <s v="Yes"/>
    <s v="No"/>
    <s v="No"/>
    <s v="No"/>
    <s v="No"/>
    <s v="No"/>
    <s v="Yes"/>
    <s v="Yes"/>
    <s v="Yes"/>
    <s v="Yes"/>
    <s v="Yes"/>
  </r>
  <r>
    <x v="218"/>
    <n v="192505"/>
    <n v="137461"/>
    <n v="9191"/>
    <n v="5360"/>
    <n v="27624"/>
    <n v="56840.999999999993"/>
    <n v="744"/>
    <n v="0"/>
    <n v="0"/>
    <n v="0"/>
    <n v="0"/>
    <n v="2535"/>
    <n v="151803"/>
    <n v="59525"/>
    <n v="16507"/>
    <n v="3227"/>
    <n v="87178"/>
    <n v="34832"/>
    <n v="29603"/>
    <n v="735240"/>
    <n v="814936"/>
    <n v="782544"/>
    <n v="761139"/>
    <n v="93426"/>
    <n v="40200"/>
    <n v="152900"/>
    <n v="224458.12013183729"/>
    <n v="126091.69450083333"/>
    <n v="98366.425631003964"/>
    <n v="88100"/>
    <n v="42094"/>
    <n v="306812.87986816274"/>
    <n v="32392"/>
    <n v="44267"/>
    <n v="1776900"/>
    <n v="2177222"/>
    <n v="2214465"/>
    <n v="1110.8"/>
    <n v="17330.3"/>
    <n v="12374.95"/>
    <n v="827.42"/>
    <n v="482.54"/>
    <n v="2486.86"/>
    <n v="5117.12"/>
    <n v="66.98"/>
    <n v="0"/>
    <n v="0"/>
    <n v="0"/>
    <n v="0"/>
    <n v="228.21"/>
    <n v="13666.1"/>
    <n v="5358.75"/>
    <n v="1486.05"/>
    <n v="290.51"/>
    <n v="7848.22"/>
    <n v="3135.76"/>
    <n v="2665.02"/>
    <n v="66190.13"/>
    <n v="73364.78"/>
    <n v="70448.69"/>
    <n v="68521.7"/>
    <n v="8410.69"/>
    <n v="3619.01"/>
    <n v="13764.85"/>
    <n v="20206.89"/>
    <n v="11351.43"/>
    <n v="8855.4599999999991"/>
    <n v="7931.22"/>
    <n v="3789.52"/>
    <n v="27620.89"/>
    <x v="218"/>
    <n v="3985.15"/>
    <n v="159965.79"/>
    <n v="196004.86"/>
    <n v="199357.67"/>
    <x v="2"/>
    <m/>
    <m/>
    <m/>
    <s v="Yes"/>
    <s v="No"/>
    <s v="No"/>
    <s v="No"/>
    <s v="No"/>
    <s v="No"/>
    <s v="Yes"/>
    <s v="Yes"/>
    <s v="Yes"/>
    <s v="Yes"/>
    <s v="Yes"/>
  </r>
  <r>
    <x v="219"/>
    <n v="192365"/>
    <n v="143674"/>
    <n v="9827"/>
    <n v="5122"/>
    <n v="27918"/>
    <n v="51344"/>
    <n v="409"/>
    <n v="0"/>
    <n v="0"/>
    <n v="0"/>
    <n v="0"/>
    <n v="2528"/>
    <n v="153971"/>
    <n v="59928.000000000007"/>
    <n v="16166"/>
    <n v="3259"/>
    <n v="90881"/>
    <n v="36339"/>
    <n v="33581"/>
    <n v="743560"/>
    <n v="827312"/>
    <n v="813662"/>
    <n v="791476"/>
    <n v="94479"/>
    <n v="42200"/>
    <n v="164100"/>
    <n v="228828.162213237"/>
    <n v="128354.72407369483"/>
    <n v="100473.43813954217"/>
    <n v="92400"/>
    <n v="36845"/>
    <n v="321581.83778676298"/>
    <n v="13650"/>
    <n v="61453"/>
    <n v="1815000"/>
    <n v="2249423"/>
    <n v="2139511"/>
    <n v="1139.3"/>
    <n v="16884.490000000002"/>
    <n v="12610.73"/>
    <n v="862.55"/>
    <n v="449.57"/>
    <n v="2450.4499999999998"/>
    <n v="4506.63"/>
    <n v="35.9"/>
    <n v="0"/>
    <n v="0"/>
    <n v="0"/>
    <n v="0"/>
    <n v="221.89"/>
    <n v="13514.53"/>
    <n v="5260.07"/>
    <n v="1418.94"/>
    <n v="286.05"/>
    <n v="7976.92"/>
    <n v="3189.59"/>
    <n v="2947.51"/>
    <n v="65264.639999999999"/>
    <n v="72615.820000000007"/>
    <n v="71417.710000000006"/>
    <n v="69470.38"/>
    <n v="8292.7199999999993"/>
    <n v="3704.03"/>
    <n v="14403.58"/>
    <n v="20084.98"/>
    <n v="11266.1"/>
    <n v="8818.8700000000008"/>
    <n v="8110.24"/>
    <n v="3234"/>
    <n v="28226.27"/>
    <x v="219"/>
    <n v="5393.93"/>
    <n v="159308.35"/>
    <n v="197439.04"/>
    <n v="187791.71"/>
    <x v="2"/>
    <m/>
    <m/>
    <m/>
    <s v="Yes"/>
    <s v="No"/>
    <s v="No"/>
    <s v="No"/>
    <s v="No"/>
    <s v="No"/>
    <s v="Yes"/>
    <s v="Yes"/>
    <s v="Yes"/>
    <s v="Yes"/>
    <s v="Yes"/>
  </r>
  <r>
    <x v="220"/>
    <n v="195306"/>
    <n v="144213"/>
    <n v="11131"/>
    <n v="5327"/>
    <n v="15222"/>
    <n v="54872"/>
    <n v="241"/>
    <n v="0"/>
    <n v="0"/>
    <n v="0"/>
    <n v="0"/>
    <n v="2041.9999999999998"/>
    <n v="138168"/>
    <n v="50105"/>
    <n v="13204"/>
    <n v="3667"/>
    <n v="90877"/>
    <n v="37577"/>
    <n v="32069"/>
    <n v="709603"/>
    <n v="794021"/>
    <n v="1046199.75"/>
    <n v="980813.00000000012"/>
    <n v="125674"/>
    <n v="44582"/>
    <n v="218568"/>
    <n v="249436.60844445985"/>
    <n v="131297.52268430172"/>
    <n v="118139.08576015814"/>
    <n v="95526"/>
    <n v="25132"/>
    <n v="473242.39155554015"/>
    <n v="-252178.75"/>
    <n v="312942"/>
    <n v="2152900"/>
    <n v="2085204.0000000002"/>
    <n v="2216594"/>
    <n v="1156.4000000000001"/>
    <n v="16889.14"/>
    <n v="12470.86"/>
    <n v="962.56"/>
    <n v="460.65"/>
    <n v="1316.33"/>
    <n v="4745.07"/>
    <n v="20.84"/>
    <n v="0"/>
    <n v="0"/>
    <n v="0"/>
    <n v="0"/>
    <n v="176.58"/>
    <n v="11948.11"/>
    <n v="4332.84"/>
    <n v="1141.82"/>
    <n v="317.10000000000002"/>
    <n v="7858.61"/>
    <n v="3249.48"/>
    <n v="2773.18"/>
    <n v="61363.11"/>
    <n v="68663.179999999993"/>
    <n v="90470.399999999994"/>
    <n v="84816.07"/>
    <n v="10867.69"/>
    <n v="3855.24"/>
    <n v="18900.73"/>
    <n v="21570.1"/>
    <n v="11353.99"/>
    <n v="10216.11"/>
    <n v="8260.64"/>
    <n v="2173.3000000000002"/>
    <n v="40923.760000000002"/>
    <x v="220"/>
    <n v="27061.74"/>
    <n v="186172.6"/>
    <n v="180318.57"/>
    <n v="191680.56"/>
    <x v="2"/>
    <m/>
    <m/>
    <m/>
    <s v="Yes"/>
    <s v="No"/>
    <s v="No"/>
    <s v="No"/>
    <s v="No"/>
    <s v="No"/>
    <s v="Yes"/>
    <s v="Yes"/>
    <s v="Yes"/>
    <s v="Yes"/>
    <s v="Yes"/>
  </r>
  <r>
    <x v="221"/>
    <n v="224992"/>
    <n v="159697.99999999997"/>
    <n v="15267"/>
    <n v="6056"/>
    <n v="22357"/>
    <n v="71676.999999999985"/>
    <n v="552"/>
    <n v="0"/>
    <n v="0"/>
    <n v="0"/>
    <n v="0"/>
    <n v="1510"/>
    <n v="166576"/>
    <n v="57635.000000000007"/>
    <n v="19788"/>
    <n v="3832"/>
    <n v="92319"/>
    <n v="39970"/>
    <n v="38800"/>
    <n v="830996"/>
    <n v="921029"/>
    <n v="983288"/>
    <n v="936317"/>
    <n v="104598.99999999999"/>
    <n v="48608"/>
    <n v="216785"/>
    <n v="253182.14372456283"/>
    <n v="136045.39883511781"/>
    <n v="117136.74488944499"/>
    <n v="100251"/>
    <n v="47552"/>
    <n v="374537.85627543723"/>
    <n v="-62259"/>
    <n v="121091"/>
    <n v="2381900"/>
    <n v="2337907"/>
    <n v="2448075"/>
    <n v="1203.2"/>
    <n v="18699.47"/>
    <n v="13272.77"/>
    <n v="1268.8699999999999"/>
    <n v="503.32"/>
    <n v="1858.13"/>
    <n v="5957.2"/>
    <n v="45.88"/>
    <n v="0"/>
    <n v="0"/>
    <n v="0"/>
    <n v="0"/>
    <n v="125.5"/>
    <n v="13844.41"/>
    <n v="4790.1400000000003"/>
    <n v="1644.61"/>
    <n v="318.48"/>
    <n v="7672.79"/>
    <n v="3321.97"/>
    <n v="3224.73"/>
    <n v="69065.490000000005"/>
    <n v="76548.289999999994"/>
    <n v="81722.740000000005"/>
    <n v="77818.899999999994"/>
    <n v="8693.4"/>
    <n v="4039.89"/>
    <n v="18017.37"/>
    <n v="21042.400000000001"/>
    <n v="11306.96"/>
    <n v="9735.43"/>
    <n v="8332.0300000000007"/>
    <n v="3952.13"/>
    <n v="31128.48"/>
    <x v="221"/>
    <n v="10064.08"/>
    <n v="197963.76"/>
    <n v="194307.43"/>
    <n v="203463.67999999999"/>
    <x v="2"/>
    <m/>
    <m/>
    <m/>
    <s v="Yes"/>
    <s v="No"/>
    <s v="No"/>
    <s v="No"/>
    <s v="No"/>
    <s v="No"/>
    <s v="Yes"/>
    <s v="Yes"/>
    <s v="Yes"/>
    <s v="Yes"/>
    <s v="Yes"/>
  </r>
  <r>
    <x v="222"/>
    <n v="248750"/>
    <n v="177564"/>
    <n v="18051"/>
    <n v="7086"/>
    <n v="25040"/>
    <n v="78785"/>
    <n v="234"/>
    <n v="0"/>
    <n v="0"/>
    <n v="4441"/>
    <n v="0"/>
    <n v="1323"/>
    <n v="186687"/>
    <n v="57477.000000000007"/>
    <n v="20466"/>
    <n v="3749"/>
    <n v="101687"/>
    <n v="41640"/>
    <n v="44976"/>
    <n v="917625"/>
    <n v="1017956"/>
    <n v="1076625.5395480141"/>
    <n v="1043605"/>
    <n v="110975"/>
    <n v="52997.569960970795"/>
    <n v="215016.54507979209"/>
    <n v="256983.92188987008"/>
    <n v="138088.25390843829"/>
    <n v="118895.66798143182"/>
    <n v="105209.71254946299"/>
    <n v="114669.59448290456"/>
    <n v="409702.65603699931"/>
    <n v="-58669.539548014058"/>
    <n v="139213"/>
    <n v="2530400"/>
    <n v="2525544"/>
    <n v="2530833.1129999999"/>
    <n v="1342.6"/>
    <n v="18527.48"/>
    <n v="13225.38"/>
    <n v="1344.48"/>
    <n v="527.78"/>
    <n v="1865.04"/>
    <n v="5868.09"/>
    <n v="17.43"/>
    <n v="0"/>
    <n v="0"/>
    <n v="330.78"/>
    <n v="0"/>
    <n v="98.54"/>
    <n v="13904.89"/>
    <n v="4281.0200000000004"/>
    <n v="1524.36"/>
    <n v="279.23"/>
    <n v="7573.89"/>
    <n v="3101.44"/>
    <n v="3349.92"/>
    <n v="68346.86"/>
    <n v="75819.75"/>
    <n v="80189.600000000006"/>
    <n v="77730.149999999994"/>
    <n v="8265.68"/>
    <n v="3947.38"/>
    <n v="16014.94"/>
    <n v="19140.77"/>
    <n v="10285.14"/>
    <n v="8855.6299999999992"/>
    <n v="7836.27"/>
    <n v="8540.86"/>
    <n v="30515.62"/>
    <x v="222"/>
    <n v="10368.91"/>
    <n v="188470.13"/>
    <n v="188108.45"/>
    <n v="188502.39"/>
    <x v="2"/>
    <m/>
    <m/>
    <m/>
    <s v="Yes"/>
    <s v="No"/>
    <s v="No"/>
    <s v="No"/>
    <s v="No"/>
    <s v="No"/>
    <s v="Yes"/>
    <s v="Yes"/>
    <s v="Yes"/>
    <s v="Yes"/>
    <s v="Y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330D86-32C7-41B4-BB7E-8111F7A77CA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J13" firstHeaderRow="1" firstDataRow="3" firstDataCol="1" rowPageCount="2" colPageCount="1"/>
  <pivotFields count="92">
    <pivotField axis="axisPage" dataField="1" multipleItemSelectionAllowed="1" showAll="0">
      <items count="224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t="default"/>
      </items>
    </pivotField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dataField="1" numFmtId="43" showAll="0"/>
    <pivotField numFmtId="43" showAll="0"/>
    <pivotField axis="axisPage" dataField="1" numFmtId="43" showAll="0">
      <items count="224">
        <item x="220"/>
        <item x="116"/>
        <item x="117"/>
        <item x="209"/>
        <item x="142"/>
        <item x="115"/>
        <item x="141"/>
        <item x="140"/>
        <item x="144"/>
        <item x="210"/>
        <item x="143"/>
        <item x="118"/>
        <item x="212"/>
        <item x="145"/>
        <item x="193"/>
        <item x="192"/>
        <item x="211"/>
        <item x="208"/>
        <item x="221"/>
        <item x="213"/>
        <item x="194"/>
        <item x="222"/>
        <item x="214"/>
        <item x="195"/>
        <item x="114"/>
        <item x="119"/>
        <item x="196"/>
        <item x="215"/>
        <item x="99"/>
        <item x="98"/>
        <item x="97"/>
        <item x="96"/>
        <item x="94"/>
        <item x="95"/>
        <item x="93"/>
        <item x="191"/>
        <item x="146"/>
        <item x="92"/>
        <item x="79"/>
        <item x="86"/>
        <item x="87"/>
        <item x="91"/>
        <item x="85"/>
        <item x="88"/>
        <item x="90"/>
        <item x="83"/>
        <item x="84"/>
        <item x="82"/>
        <item x="89"/>
        <item x="81"/>
        <item x="80"/>
        <item x="78"/>
        <item x="77"/>
        <item x="76"/>
        <item x="75"/>
        <item x="74"/>
        <item x="68"/>
        <item x="69"/>
        <item x="70"/>
        <item x="73"/>
        <item x="71"/>
        <item x="72"/>
        <item x="15"/>
        <item x="14"/>
        <item x="16"/>
        <item x="2"/>
        <item x="56"/>
        <item x="13"/>
        <item x="0"/>
        <item x="12"/>
        <item x="36"/>
        <item x="1"/>
        <item x="3"/>
        <item x="67"/>
        <item x="11"/>
        <item x="6"/>
        <item x="17"/>
        <item x="57"/>
        <item x="5"/>
        <item x="10"/>
        <item x="9"/>
        <item x="7"/>
        <item x="55"/>
        <item x="8"/>
        <item x="61"/>
        <item x="4"/>
        <item x="58"/>
        <item x="62"/>
        <item x="37"/>
        <item x="35"/>
        <item x="42"/>
        <item x="48"/>
        <item x="40"/>
        <item x="41"/>
        <item x="63"/>
        <item x="49"/>
        <item x="31"/>
        <item x="65"/>
        <item x="27"/>
        <item x="60"/>
        <item x="32"/>
        <item x="39"/>
        <item x="33"/>
        <item x="38"/>
        <item x="47"/>
        <item x="100"/>
        <item x="30"/>
        <item x="26"/>
        <item x="18"/>
        <item x="19"/>
        <item x="28"/>
        <item x="66"/>
        <item x="64"/>
        <item x="29"/>
        <item x="25"/>
        <item x="34"/>
        <item x="50"/>
        <item x="43"/>
        <item x="53"/>
        <item x="20"/>
        <item x="51"/>
        <item x="23"/>
        <item x="44"/>
        <item x="21"/>
        <item x="54"/>
        <item x="45"/>
        <item x="22"/>
        <item x="46"/>
        <item x="52"/>
        <item x="24"/>
        <item x="59"/>
        <item x="204"/>
        <item x="101"/>
        <item x="203"/>
        <item x="120"/>
        <item x="102"/>
        <item x="202"/>
        <item x="121"/>
        <item x="103"/>
        <item x="104"/>
        <item x="105"/>
        <item x="207"/>
        <item x="109"/>
        <item x="108"/>
        <item x="106"/>
        <item x="107"/>
        <item x="110"/>
        <item x="139"/>
        <item x="111"/>
        <item x="112"/>
        <item x="219"/>
        <item x="113"/>
        <item x="205"/>
        <item x="217"/>
        <item x="125"/>
        <item x="124"/>
        <item x="126"/>
        <item x="122"/>
        <item x="206"/>
        <item x="123"/>
        <item x="147"/>
        <item x="130"/>
        <item x="127"/>
        <item x="216"/>
        <item x="131"/>
        <item x="129"/>
        <item x="128"/>
        <item x="132"/>
        <item x="136"/>
        <item x="135"/>
        <item x="138"/>
        <item x="134"/>
        <item x="133"/>
        <item x="137"/>
        <item x="190"/>
        <item x="153"/>
        <item x="218"/>
        <item x="152"/>
        <item x="197"/>
        <item x="159"/>
        <item x="160"/>
        <item x="151"/>
        <item x="154"/>
        <item x="163"/>
        <item x="156"/>
        <item x="178"/>
        <item x="158"/>
        <item x="155"/>
        <item x="157"/>
        <item x="180"/>
        <item x="175"/>
        <item x="184"/>
        <item x="161"/>
        <item x="148"/>
        <item x="162"/>
        <item x="177"/>
        <item x="183"/>
        <item x="181"/>
        <item x="201"/>
        <item x="150"/>
        <item x="149"/>
        <item x="186"/>
        <item x="185"/>
        <item x="176"/>
        <item x="173"/>
        <item x="165"/>
        <item x="179"/>
        <item x="182"/>
        <item x="198"/>
        <item x="174"/>
        <item x="164"/>
        <item x="172"/>
        <item x="167"/>
        <item x="187"/>
        <item x="166"/>
        <item x="199"/>
        <item x="169"/>
        <item x="171"/>
        <item x="189"/>
        <item x="168"/>
        <item x="200"/>
        <item x="170"/>
        <item x="188"/>
        <item t="default"/>
      </items>
    </pivotField>
    <pivotField numFmtId="43" showAll="0"/>
    <pivotField numFmtId="43" showAll="0"/>
    <pivotField numFmtId="43" showAll="0"/>
    <pivotField numFmtId="43" showAll="0"/>
    <pivotField axis="axisRow" showAll="0">
      <items count="9">
        <item x="2"/>
        <item x="7"/>
        <item x="4"/>
        <item x="5"/>
        <item x="3"/>
        <item x="6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n="Deficit" sd="0" x="0"/>
        <item n="Surplus" sd="0" x="1"/>
        <item t="default"/>
      </items>
    </pivotField>
  </pivotFields>
  <rowFields count="1">
    <field x="7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2">
    <field x="91"/>
    <field x="-2"/>
  </colFields>
  <colItems count="9">
    <i>
      <x/>
      <x/>
    </i>
    <i r="1" i="1">
      <x v="1"/>
    </i>
    <i r="1" i="2">
      <x v="2"/>
    </i>
    <i>
      <x v="1"/>
      <x/>
    </i>
    <i r="1" i="1">
      <x v="1"/>
    </i>
    <i r="1" i="2">
      <x v="2"/>
    </i>
    <i t="grand">
      <x/>
    </i>
    <i t="grand" i="1">
      <x/>
    </i>
    <i t="grand" i="2">
      <x/>
    </i>
  </colItems>
  <pageFields count="2">
    <pageField fld="71" hier="-1"/>
    <pageField fld="0" hier="-1"/>
  </pageFields>
  <dataFields count="3">
    <dataField name="Count of Year" fld="0" subtotal="count" baseField="0" baseItem="0"/>
    <dataField name="Sum of based to 1974 Deficit/surplus" fld="71" baseField="0" baseItem="0" numFmtId="43"/>
    <dataField name="Sum of based to 1974 Debt Interest" fld="69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1915C-F5D4-4400-AF88-82AC6C05798C}">
  <dimension ref="A1:J17"/>
  <sheetViews>
    <sheetView tabSelected="1" workbookViewId="0">
      <selection activeCell="D14" sqref="D14"/>
    </sheetView>
  </sheetViews>
  <sheetFormatPr defaultRowHeight="15" x14ac:dyDescent="0.25"/>
  <cols>
    <col min="1" max="1" width="32" bestFit="1" customWidth="1"/>
    <col min="2" max="2" width="17.28515625" bestFit="1" customWidth="1"/>
    <col min="3" max="3" width="34.7109375" bestFit="1" customWidth="1"/>
    <col min="4" max="4" width="33" bestFit="1" customWidth="1"/>
    <col min="5" max="5" width="13.42578125" bestFit="1" customWidth="1"/>
    <col min="6" max="6" width="34.7109375" bestFit="1" customWidth="1"/>
    <col min="7" max="7" width="33" bestFit="1" customWidth="1"/>
    <col min="8" max="8" width="18.42578125" bestFit="1" customWidth="1"/>
    <col min="9" max="9" width="39.7109375" bestFit="1" customWidth="1"/>
    <col min="10" max="10" width="38.140625" bestFit="1" customWidth="1"/>
    <col min="11" max="11" width="6" bestFit="1" customWidth="1"/>
    <col min="12" max="33" width="7" bestFit="1" customWidth="1"/>
    <col min="34" max="43" width="8" bestFit="1" customWidth="1"/>
    <col min="44" max="123" width="9.5703125" bestFit="1" customWidth="1"/>
    <col min="124" max="124" width="12.7109375" bestFit="1" customWidth="1"/>
    <col min="125" max="125" width="11.28515625" bestFit="1" customWidth="1"/>
    <col min="126" max="135" width="7" bestFit="1" customWidth="1"/>
    <col min="136" max="145" width="8" bestFit="1" customWidth="1"/>
    <col min="146" max="225" width="9.5703125" bestFit="1" customWidth="1"/>
    <col min="226" max="226" width="12.42578125" bestFit="1" customWidth="1"/>
    <col min="227" max="227" width="11.28515625" bestFit="1" customWidth="1"/>
    <col min="228" max="228" width="11.42578125" bestFit="1" customWidth="1"/>
    <col min="229" max="229" width="9.85546875" bestFit="1" customWidth="1"/>
    <col min="230" max="230" width="12.42578125" bestFit="1" customWidth="1"/>
    <col min="231" max="231" width="9.85546875" bestFit="1" customWidth="1"/>
    <col min="232" max="232" width="12.42578125" bestFit="1" customWidth="1"/>
    <col min="233" max="233" width="9.85546875" bestFit="1" customWidth="1"/>
    <col min="234" max="234" width="12.42578125" bestFit="1" customWidth="1"/>
    <col min="235" max="235" width="9.85546875" bestFit="1" customWidth="1"/>
    <col min="236" max="236" width="12.42578125" bestFit="1" customWidth="1"/>
    <col min="237" max="237" width="9.85546875" bestFit="1" customWidth="1"/>
    <col min="238" max="238" width="12.42578125" bestFit="1" customWidth="1"/>
    <col min="239" max="239" width="9.85546875" bestFit="1" customWidth="1"/>
    <col min="240" max="240" width="12.42578125" bestFit="1" customWidth="1"/>
    <col min="241" max="241" width="9.85546875" bestFit="1" customWidth="1"/>
    <col min="242" max="242" width="12.42578125" bestFit="1" customWidth="1"/>
    <col min="243" max="243" width="9.85546875" bestFit="1" customWidth="1"/>
    <col min="244" max="244" width="12.42578125" bestFit="1" customWidth="1"/>
    <col min="245" max="245" width="9.85546875" bestFit="1" customWidth="1"/>
    <col min="246" max="246" width="12.42578125" bestFit="1" customWidth="1"/>
    <col min="247" max="247" width="9.85546875" bestFit="1" customWidth="1"/>
    <col min="248" max="248" width="12.42578125" bestFit="1" customWidth="1"/>
    <col min="249" max="249" width="9.85546875" bestFit="1" customWidth="1"/>
    <col min="250" max="250" width="12.42578125" bestFit="1" customWidth="1"/>
    <col min="251" max="251" width="9.5703125" bestFit="1" customWidth="1"/>
    <col min="252" max="252" width="11.42578125" bestFit="1" customWidth="1"/>
    <col min="253" max="253" width="9.5703125" bestFit="1" customWidth="1"/>
    <col min="254" max="254" width="11.42578125" bestFit="1" customWidth="1"/>
    <col min="255" max="255" width="9.85546875" bestFit="1" customWidth="1"/>
    <col min="256" max="256" width="12.42578125" bestFit="1" customWidth="1"/>
    <col min="257" max="257" width="9.85546875" bestFit="1" customWidth="1"/>
    <col min="258" max="258" width="12.42578125" bestFit="1" customWidth="1"/>
    <col min="259" max="259" width="9.85546875" bestFit="1" customWidth="1"/>
    <col min="260" max="260" width="12.42578125" bestFit="1" customWidth="1"/>
    <col min="261" max="261" width="9.85546875" bestFit="1" customWidth="1"/>
    <col min="262" max="262" width="12.42578125" bestFit="1" customWidth="1"/>
    <col min="263" max="263" width="9.85546875" bestFit="1" customWidth="1"/>
    <col min="264" max="264" width="12.42578125" bestFit="1" customWidth="1"/>
    <col min="265" max="265" width="9.85546875" bestFit="1" customWidth="1"/>
    <col min="266" max="266" width="12.42578125" bestFit="1" customWidth="1"/>
    <col min="267" max="267" width="9.85546875" bestFit="1" customWidth="1"/>
    <col min="268" max="268" width="12.42578125" bestFit="1" customWidth="1"/>
    <col min="269" max="269" width="9.85546875" bestFit="1" customWidth="1"/>
    <col min="270" max="270" width="12.42578125" bestFit="1" customWidth="1"/>
    <col min="271" max="271" width="9.85546875" bestFit="1" customWidth="1"/>
    <col min="272" max="272" width="12.42578125" bestFit="1" customWidth="1"/>
    <col min="273" max="273" width="9.85546875" bestFit="1" customWidth="1"/>
    <col min="274" max="274" width="12.42578125" bestFit="1" customWidth="1"/>
    <col min="275" max="275" width="9.85546875" bestFit="1" customWidth="1"/>
    <col min="276" max="276" width="12.42578125" bestFit="1" customWidth="1"/>
    <col min="277" max="277" width="9.5703125" bestFit="1" customWidth="1"/>
    <col min="278" max="278" width="11.42578125" bestFit="1" customWidth="1"/>
    <col min="279" max="279" width="9.85546875" bestFit="1" customWidth="1"/>
    <col min="280" max="280" width="12.42578125" bestFit="1" customWidth="1"/>
    <col min="281" max="281" width="9.85546875" bestFit="1" customWidth="1"/>
    <col min="282" max="282" width="12.42578125" bestFit="1" customWidth="1"/>
    <col min="283" max="283" width="9.85546875" bestFit="1" customWidth="1"/>
    <col min="284" max="284" width="12.42578125" bestFit="1" customWidth="1"/>
    <col min="285" max="285" width="9.85546875" bestFit="1" customWidth="1"/>
    <col min="286" max="286" width="12.42578125" bestFit="1" customWidth="1"/>
    <col min="287" max="287" width="9.85546875" bestFit="1" customWidth="1"/>
    <col min="288" max="288" width="12.42578125" bestFit="1" customWidth="1"/>
    <col min="289" max="289" width="9.85546875" bestFit="1" customWidth="1"/>
    <col min="290" max="290" width="12.42578125" bestFit="1" customWidth="1"/>
    <col min="291" max="291" width="9.85546875" bestFit="1" customWidth="1"/>
    <col min="292" max="292" width="12.42578125" bestFit="1" customWidth="1"/>
    <col min="293" max="293" width="9.85546875" bestFit="1" customWidth="1"/>
    <col min="294" max="294" width="12.42578125" bestFit="1" customWidth="1"/>
    <col min="295" max="295" width="9.85546875" bestFit="1" customWidth="1"/>
    <col min="296" max="296" width="12.42578125" bestFit="1" customWidth="1"/>
    <col min="297" max="297" width="9.85546875" bestFit="1" customWidth="1"/>
    <col min="298" max="298" width="12.42578125" bestFit="1" customWidth="1"/>
    <col min="299" max="299" width="9.85546875" bestFit="1" customWidth="1"/>
    <col min="300" max="300" width="12.42578125" bestFit="1" customWidth="1"/>
    <col min="301" max="301" width="9.85546875" bestFit="1" customWidth="1"/>
    <col min="302" max="302" width="12.42578125" bestFit="1" customWidth="1"/>
    <col min="303" max="303" width="9.85546875" bestFit="1" customWidth="1"/>
    <col min="304" max="304" width="12.42578125" bestFit="1" customWidth="1"/>
    <col min="305" max="305" width="9.85546875" bestFit="1" customWidth="1"/>
    <col min="306" max="306" width="12.42578125" bestFit="1" customWidth="1"/>
    <col min="307" max="307" width="9.85546875" bestFit="1" customWidth="1"/>
    <col min="308" max="308" width="12.42578125" bestFit="1" customWidth="1"/>
    <col min="309" max="309" width="9.85546875" bestFit="1" customWidth="1"/>
    <col min="310" max="310" width="12.42578125" bestFit="1" customWidth="1"/>
    <col min="311" max="311" width="9.85546875" bestFit="1" customWidth="1"/>
    <col min="312" max="312" width="12.42578125" bestFit="1" customWidth="1"/>
    <col min="313" max="313" width="9.85546875" bestFit="1" customWidth="1"/>
    <col min="314" max="314" width="12.42578125" bestFit="1" customWidth="1"/>
    <col min="315" max="315" width="9.85546875" bestFit="1" customWidth="1"/>
    <col min="316" max="316" width="12.42578125" bestFit="1" customWidth="1"/>
    <col min="317" max="317" width="9.85546875" bestFit="1" customWidth="1"/>
    <col min="318" max="318" width="12.42578125" bestFit="1" customWidth="1"/>
    <col min="319" max="319" width="9.85546875" bestFit="1" customWidth="1"/>
    <col min="320" max="320" width="12.42578125" bestFit="1" customWidth="1"/>
    <col min="321" max="321" width="9.85546875" bestFit="1" customWidth="1"/>
    <col min="322" max="322" width="12.42578125" bestFit="1" customWidth="1"/>
    <col min="323" max="323" width="9.85546875" bestFit="1" customWidth="1"/>
    <col min="324" max="324" width="12.42578125" bestFit="1" customWidth="1"/>
    <col min="325" max="325" width="9.85546875" bestFit="1" customWidth="1"/>
    <col min="326" max="326" width="12.42578125" bestFit="1" customWidth="1"/>
    <col min="327" max="327" width="9.85546875" bestFit="1" customWidth="1"/>
    <col min="328" max="328" width="12.42578125" bestFit="1" customWidth="1"/>
    <col min="329" max="329" width="9.85546875" bestFit="1" customWidth="1"/>
    <col min="330" max="330" width="12.42578125" bestFit="1" customWidth="1"/>
    <col min="331" max="331" width="9.85546875" bestFit="1" customWidth="1"/>
    <col min="332" max="332" width="12.42578125" bestFit="1" customWidth="1"/>
    <col min="333" max="333" width="9.85546875" bestFit="1" customWidth="1"/>
    <col min="334" max="334" width="12.42578125" bestFit="1" customWidth="1"/>
    <col min="335" max="335" width="9.85546875" bestFit="1" customWidth="1"/>
    <col min="336" max="336" width="12.42578125" bestFit="1" customWidth="1"/>
    <col min="337" max="337" width="9.85546875" bestFit="1" customWidth="1"/>
    <col min="338" max="338" width="12.42578125" bestFit="1" customWidth="1"/>
    <col min="339" max="339" width="9.85546875" bestFit="1" customWidth="1"/>
    <col min="340" max="340" width="12.42578125" bestFit="1" customWidth="1"/>
    <col min="341" max="341" width="9.85546875" bestFit="1" customWidth="1"/>
    <col min="342" max="342" width="12.42578125" bestFit="1" customWidth="1"/>
    <col min="343" max="343" width="9.85546875" bestFit="1" customWidth="1"/>
    <col min="344" max="344" width="12.42578125" bestFit="1" customWidth="1"/>
    <col min="345" max="345" width="9.85546875" bestFit="1" customWidth="1"/>
    <col min="346" max="346" width="12.42578125" bestFit="1" customWidth="1"/>
    <col min="347" max="347" width="11.28515625" bestFit="1" customWidth="1"/>
  </cols>
  <sheetData>
    <row r="1" spans="1:10" x14ac:dyDescent="0.25">
      <c r="A1" s="37" t="s">
        <v>297</v>
      </c>
      <c r="B1" t="s">
        <v>298</v>
      </c>
    </row>
    <row r="2" spans="1:10" x14ac:dyDescent="0.25">
      <c r="A2" s="37" t="s">
        <v>233</v>
      </c>
      <c r="B2" t="s">
        <v>301</v>
      </c>
    </row>
    <row r="4" spans="1:10" x14ac:dyDescent="0.25">
      <c r="B4" s="37" t="s">
        <v>291</v>
      </c>
    </row>
    <row r="5" spans="1:10" x14ac:dyDescent="0.25">
      <c r="B5" t="s">
        <v>292</v>
      </c>
      <c r="E5" t="s">
        <v>293</v>
      </c>
      <c r="H5" t="s">
        <v>294</v>
      </c>
      <c r="I5" t="s">
        <v>295</v>
      </c>
      <c r="J5" t="s">
        <v>299</v>
      </c>
    </row>
    <row r="6" spans="1:10" x14ac:dyDescent="0.25">
      <c r="A6" s="37" t="s">
        <v>288</v>
      </c>
      <c r="B6" t="s">
        <v>290</v>
      </c>
      <c r="C6" t="s">
        <v>296</v>
      </c>
      <c r="D6" t="s">
        <v>300</v>
      </c>
      <c r="E6" t="s">
        <v>290</v>
      </c>
      <c r="F6" t="s">
        <v>296</v>
      </c>
      <c r="G6" t="s">
        <v>300</v>
      </c>
    </row>
    <row r="7" spans="1:10" x14ac:dyDescent="0.25">
      <c r="A7" s="38" t="s">
        <v>270</v>
      </c>
      <c r="B7">
        <v>17</v>
      </c>
      <c r="C7" s="39">
        <v>-111698.84000000001</v>
      </c>
      <c r="D7" s="39">
        <v>51166.380000000005</v>
      </c>
      <c r="E7">
        <v>47</v>
      </c>
      <c r="F7" s="39">
        <v>166704.12999999998</v>
      </c>
      <c r="G7" s="39">
        <v>113444.75000000004</v>
      </c>
      <c r="H7">
        <v>64</v>
      </c>
      <c r="I7" s="39">
        <v>55005.289999999964</v>
      </c>
      <c r="J7" s="39">
        <v>164611.13000000003</v>
      </c>
    </row>
    <row r="8" spans="1:10" x14ac:dyDescent="0.25">
      <c r="A8" s="38" t="s">
        <v>275</v>
      </c>
      <c r="B8">
        <v>5</v>
      </c>
      <c r="C8" s="39">
        <v>-30282.010000000002</v>
      </c>
      <c r="D8" s="39">
        <v>20895.28</v>
      </c>
      <c r="F8" s="39"/>
      <c r="G8" s="39"/>
      <c r="H8">
        <v>5</v>
      </c>
      <c r="I8" s="39">
        <v>-30282.010000000002</v>
      </c>
      <c r="J8" s="39">
        <v>20895.28</v>
      </c>
    </row>
    <row r="9" spans="1:10" x14ac:dyDescent="0.25">
      <c r="A9" s="38" t="s">
        <v>272</v>
      </c>
      <c r="C9" s="39"/>
      <c r="D9" s="39"/>
      <c r="E9">
        <v>1</v>
      </c>
      <c r="F9" s="39">
        <v>2.17</v>
      </c>
      <c r="G9" s="39">
        <v>215.22</v>
      </c>
      <c r="H9">
        <v>1</v>
      </c>
      <c r="I9" s="39">
        <v>2.17</v>
      </c>
      <c r="J9" s="39">
        <v>215.22</v>
      </c>
    </row>
    <row r="10" spans="1:10" x14ac:dyDescent="0.25">
      <c r="A10" s="38" t="s">
        <v>273</v>
      </c>
      <c r="B10">
        <v>4</v>
      </c>
      <c r="C10" s="39">
        <v>-24335.980000000003</v>
      </c>
      <c r="D10" s="39">
        <v>10694.77</v>
      </c>
      <c r="E10">
        <v>27</v>
      </c>
      <c r="F10" s="39">
        <v>104415.65</v>
      </c>
      <c r="G10" s="39">
        <v>73954.28</v>
      </c>
      <c r="H10">
        <v>31</v>
      </c>
      <c r="I10" s="39">
        <v>80079.67</v>
      </c>
      <c r="J10" s="39">
        <v>84649.049999999988</v>
      </c>
    </row>
    <row r="11" spans="1:10" x14ac:dyDescent="0.25">
      <c r="A11" s="38" t="s">
        <v>271</v>
      </c>
      <c r="B11">
        <v>4</v>
      </c>
      <c r="C11" s="39">
        <v>-35546.720000000001</v>
      </c>
      <c r="D11" s="39">
        <v>2912.96</v>
      </c>
      <c r="E11">
        <v>13</v>
      </c>
      <c r="F11" s="39">
        <v>11659.690000000002</v>
      </c>
      <c r="G11" s="39">
        <v>3070.81</v>
      </c>
      <c r="H11">
        <v>17</v>
      </c>
      <c r="I11" s="39">
        <v>-23887.030000000002</v>
      </c>
      <c r="J11" s="39">
        <v>5983.77</v>
      </c>
    </row>
    <row r="12" spans="1:10" x14ac:dyDescent="0.25">
      <c r="A12" s="38" t="s">
        <v>274</v>
      </c>
      <c r="C12" s="39"/>
      <c r="D12" s="39"/>
      <c r="E12">
        <v>5</v>
      </c>
      <c r="F12" s="39">
        <v>11052.48</v>
      </c>
      <c r="G12" s="39">
        <v>7525.01</v>
      </c>
      <c r="H12">
        <v>5</v>
      </c>
      <c r="I12" s="39">
        <v>11052.48</v>
      </c>
      <c r="J12" s="39">
        <v>7525.01</v>
      </c>
    </row>
    <row r="13" spans="1:10" x14ac:dyDescent="0.25">
      <c r="A13" s="38" t="s">
        <v>289</v>
      </c>
      <c r="B13">
        <v>30</v>
      </c>
      <c r="C13" s="39">
        <v>-201863.55</v>
      </c>
      <c r="D13" s="39">
        <v>85669.389999999985</v>
      </c>
      <c r="E13">
        <v>93</v>
      </c>
      <c r="F13" s="39">
        <v>293834.12</v>
      </c>
      <c r="G13" s="39">
        <v>198210.07000000009</v>
      </c>
      <c r="H13">
        <v>123</v>
      </c>
      <c r="I13" s="39">
        <v>91970.569999999963</v>
      </c>
      <c r="J13" s="39">
        <v>283879.46000000008</v>
      </c>
    </row>
    <row r="16" spans="1:10" x14ac:dyDescent="0.25">
      <c r="B16">
        <f>47/64</f>
        <v>0.734375</v>
      </c>
    </row>
    <row r="17" spans="2:2" x14ac:dyDescent="0.25">
      <c r="B17">
        <f>27/31</f>
        <v>0.87096774193548387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4A0F8-CB54-4F0C-965C-B6AB7FC88C1B}">
  <dimension ref="A1:CQ249"/>
  <sheetViews>
    <sheetView workbookViewId="0">
      <pane xSplit="1" ySplit="1" topLeftCell="BR205" activePane="bottomRight" state="frozen"/>
      <selection pane="topRight" activeCell="B1" sqref="B1"/>
      <selection pane="bottomLeft" activeCell="A2" sqref="A2"/>
      <selection pane="bottomRight" activeCell="BX225" sqref="BX225"/>
    </sheetView>
  </sheetViews>
  <sheetFormatPr defaultRowHeight="15" x14ac:dyDescent="0.25"/>
  <cols>
    <col min="2" max="3" width="10.7109375" style="23" bestFit="1" customWidth="1"/>
    <col min="4" max="4" width="9.7109375" style="23" bestFit="1" customWidth="1"/>
    <col min="5" max="5" width="9.28515625" style="23" bestFit="1" customWidth="1"/>
    <col min="6" max="7" width="9.7109375" style="23" bestFit="1" customWidth="1"/>
    <col min="8" max="13" width="9.28515625" style="23" bestFit="1" customWidth="1"/>
    <col min="14" max="14" width="10.7109375" style="23" bestFit="1" customWidth="1"/>
    <col min="15" max="16" width="9.7109375" style="23" bestFit="1" customWidth="1"/>
    <col min="17" max="17" width="9.28515625" style="23" bestFit="1" customWidth="1"/>
    <col min="18" max="18" width="10.7109375" style="23" bestFit="1" customWidth="1"/>
    <col min="19" max="20" width="9.7109375" style="23" bestFit="1" customWidth="1"/>
    <col min="21" max="21" width="10.7109375" style="23" bestFit="1" customWidth="1"/>
    <col min="22" max="22" width="12.140625" style="23" bestFit="1" customWidth="1"/>
    <col min="23" max="24" width="12.42578125" style="23" bestFit="1" customWidth="1"/>
    <col min="25" max="25" width="11" style="23" bestFit="1" customWidth="1"/>
    <col min="26" max="26" width="10" style="23" bestFit="1" customWidth="1"/>
    <col min="27" max="33" width="11" style="23" bestFit="1" customWidth="1"/>
    <col min="34" max="34" width="11" style="23" customWidth="1"/>
    <col min="35" max="35" width="11" style="23" bestFit="1" customWidth="1"/>
    <col min="36" max="38" width="12.42578125" style="23" bestFit="1" customWidth="1"/>
    <col min="39" max="39" width="9.28515625" style="23" bestFit="1" customWidth="1"/>
    <col min="40" max="41" width="13.28515625" style="23" bestFit="1" customWidth="1"/>
    <col min="42" max="42" width="11.5703125" style="23" bestFit="1" customWidth="1"/>
    <col min="43" max="43" width="10.5703125" style="23" bestFit="1" customWidth="1"/>
    <col min="44" max="44" width="11.5703125" style="23" bestFit="1" customWidth="1"/>
    <col min="45" max="45" width="13.28515625" style="23" bestFit="1" customWidth="1"/>
    <col min="46" max="46" width="10.5703125" style="23" bestFit="1" customWidth="1"/>
    <col min="47" max="47" width="9.28515625" style="23" bestFit="1" customWidth="1"/>
    <col min="48" max="48" width="9.5703125" style="23" bestFit="1" customWidth="1"/>
    <col min="49" max="49" width="10.5703125" style="23" bestFit="1" customWidth="1"/>
    <col min="50" max="50" width="9.28515625" style="23" bestFit="1" customWidth="1"/>
    <col min="51" max="51" width="10.5703125" style="23" bestFit="1" customWidth="1"/>
    <col min="52" max="52" width="13.28515625" style="23" bestFit="1" customWidth="1"/>
    <col min="53" max="54" width="11.5703125" style="23" bestFit="1" customWidth="1"/>
    <col min="55" max="55" width="10.5703125" style="23" bestFit="1" customWidth="1"/>
    <col min="56" max="56" width="13.28515625" style="23" bestFit="1" customWidth="1"/>
    <col min="57" max="58" width="11.5703125" style="23" bestFit="1" customWidth="1"/>
    <col min="59" max="59" width="14.28515625" style="23" bestFit="1" customWidth="1"/>
    <col min="60" max="60" width="14.28515625" style="23" customWidth="1"/>
    <col min="61" max="62" width="14.28515625" style="23" bestFit="1" customWidth="1"/>
    <col min="63" max="63" width="13.28515625" style="23" bestFit="1" customWidth="1"/>
    <col min="64" max="64" width="11.5703125" style="23" bestFit="1" customWidth="1"/>
    <col min="65" max="71" width="13.28515625" style="23" bestFit="1" customWidth="1"/>
    <col min="72" max="72" width="13.28515625" style="23" customWidth="1"/>
    <col min="73" max="73" width="13.28515625" style="23" bestFit="1" customWidth="1"/>
    <col min="74" max="76" width="14.28515625" style="23" bestFit="1" customWidth="1"/>
    <col min="77" max="78" width="23.5703125" customWidth="1"/>
    <col min="79" max="79" width="11.7109375" customWidth="1"/>
    <col min="80" max="82" width="10.85546875" customWidth="1"/>
    <col min="83" max="83" width="10.5703125" customWidth="1"/>
    <col min="84" max="84" width="11.28515625" customWidth="1"/>
    <col min="85" max="85" width="10.85546875" customWidth="1"/>
    <col min="86" max="86" width="10" customWidth="1"/>
    <col min="87" max="87" width="8" customWidth="1"/>
    <col min="88" max="88" width="8.140625" customWidth="1"/>
  </cols>
  <sheetData>
    <row r="1" spans="1:95" ht="115.5" x14ac:dyDescent="0.25">
      <c r="A1" s="1" t="s">
        <v>233</v>
      </c>
      <c r="B1" s="3" t="s">
        <v>235</v>
      </c>
      <c r="C1" s="3" t="s">
        <v>236</v>
      </c>
      <c r="D1" s="3" t="s">
        <v>237</v>
      </c>
      <c r="E1" s="4" t="s">
        <v>0</v>
      </c>
      <c r="F1" s="5" t="s">
        <v>1</v>
      </c>
      <c r="G1" s="3" t="s">
        <v>238</v>
      </c>
      <c r="H1" s="3" t="s">
        <v>239</v>
      </c>
      <c r="I1" s="3" t="s">
        <v>240</v>
      </c>
      <c r="J1" s="3" t="s">
        <v>241</v>
      </c>
      <c r="K1" s="5" t="s">
        <v>2</v>
      </c>
      <c r="L1" s="5" t="s">
        <v>3</v>
      </c>
      <c r="M1" s="6" t="s">
        <v>242</v>
      </c>
      <c r="N1" s="3" t="s">
        <v>243</v>
      </c>
      <c r="O1" s="3" t="s">
        <v>244</v>
      </c>
      <c r="P1" s="4" t="s">
        <v>4</v>
      </c>
      <c r="Q1" s="5" t="s">
        <v>5</v>
      </c>
      <c r="R1" s="3" t="s">
        <v>245</v>
      </c>
      <c r="S1" s="7" t="s">
        <v>6</v>
      </c>
      <c r="T1" s="3" t="s">
        <v>246</v>
      </c>
      <c r="U1" s="8" t="s">
        <v>7</v>
      </c>
      <c r="V1" s="8" t="s">
        <v>260</v>
      </c>
      <c r="W1" s="9" t="s">
        <v>247</v>
      </c>
      <c r="X1" s="10" t="s">
        <v>248</v>
      </c>
      <c r="Y1" s="11" t="s">
        <v>249</v>
      </c>
      <c r="Z1" s="10" t="s">
        <v>250</v>
      </c>
      <c r="AA1" s="12" t="s">
        <v>251</v>
      </c>
      <c r="AB1" s="12" t="s">
        <v>252</v>
      </c>
      <c r="AC1" s="13" t="s">
        <v>231</v>
      </c>
      <c r="AD1" s="13" t="s">
        <v>232</v>
      </c>
      <c r="AE1" s="11" t="s">
        <v>253</v>
      </c>
      <c r="AF1" s="12" t="s">
        <v>254</v>
      </c>
      <c r="AG1" s="14" t="s">
        <v>255</v>
      </c>
      <c r="AH1" s="35" t="s">
        <v>261</v>
      </c>
      <c r="AI1" s="15" t="s">
        <v>256</v>
      </c>
      <c r="AJ1" s="15" t="s">
        <v>257</v>
      </c>
      <c r="AK1" s="15" t="s">
        <v>258</v>
      </c>
      <c r="AL1" s="15" t="s">
        <v>259</v>
      </c>
      <c r="AM1" s="16" t="s">
        <v>234</v>
      </c>
      <c r="AN1" s="5" t="str">
        <f t="shared" ref="AN1:BT1" si="0" xml:space="preserve"> "based to 1974 "&amp;B1</f>
        <v>based to 1974 Income tax</v>
      </c>
      <c r="AO1" s="5" t="str">
        <f t="shared" si="0"/>
        <v>based to 1974 National Insurance Contributions</v>
      </c>
      <c r="AP1" s="5" t="str">
        <f t="shared" si="0"/>
        <v>based to 1974 Capital Gains Tax</v>
      </c>
      <c r="AQ1" s="5" t="str">
        <f t="shared" si="0"/>
        <v>based to 1974 Death duties/Inheritance tax</v>
      </c>
      <c r="AR1" s="5" t="str">
        <f t="shared" si="0"/>
        <v>based to 1974 Business rates</v>
      </c>
      <c r="AS1" s="5" t="str">
        <f t="shared" si="0"/>
        <v>based to 1974 Corporation tax (profits taxes prior to 1966-67)</v>
      </c>
      <c r="AT1" s="5" t="str">
        <f t="shared" si="0"/>
        <v>based to 1974 Petroleum Revenue tax (includes supplementary petroleum duty)</v>
      </c>
      <c r="AU1" s="5" t="str">
        <f t="shared" si="0"/>
        <v>based to 1974 Petroleum royalties</v>
      </c>
      <c r="AV1" s="5" t="str">
        <f t="shared" si="0"/>
        <v>based to 1974 Gas Levy</v>
      </c>
      <c r="AW1" s="5" t="str">
        <f t="shared" si="0"/>
        <v>based to 1974 Energy profits levy</v>
      </c>
      <c r="AX1" s="5" t="str">
        <f t="shared" si="0"/>
        <v>based to 1974 Land and Assessed Taxes</v>
      </c>
      <c r="AY1" s="5" t="str">
        <f t="shared" si="0"/>
        <v>based to 1974 Other business taxes</v>
      </c>
      <c r="AZ1" s="5" t="str">
        <f t="shared" si="0"/>
        <v>based to 1974 VAT (Purchase tax prior to 1973)</v>
      </c>
      <c r="BA1" s="5" t="str">
        <f t="shared" si="0"/>
        <v>based to 1974 Custom and excise duties</v>
      </c>
      <c r="BB1" s="5" t="str">
        <f t="shared" si="0"/>
        <v>based to 1974 Stamp duties</v>
      </c>
      <c r="BC1" s="5" t="str">
        <f t="shared" si="0"/>
        <v>based to 1974 License fee receipts</v>
      </c>
      <c r="BD1" s="5" t="str">
        <f t="shared" si="0"/>
        <v>based to 1974 Other Central Government Receipts</v>
      </c>
      <c r="BE1" s="5" t="str">
        <f t="shared" si="0"/>
        <v>based to 1974 Council Tax (community charge and domestic rates prior to 1993)</v>
      </c>
      <c r="BF1" s="5" t="str">
        <f t="shared" si="0"/>
        <v>based to 1974 Other public sector taxes and receipts</v>
      </c>
      <c r="BG1" s="5" t="str">
        <f t="shared" si="0"/>
        <v>based to 1974 National Accounts Taxes</v>
      </c>
      <c r="BH1" s="5" t="str">
        <f t="shared" si="0"/>
        <v>based to 1974 Total Govt Recipts</v>
      </c>
      <c r="BI1" s="5" t="str">
        <f t="shared" si="0"/>
        <v>based to 1974 Total Central Government spending</v>
      </c>
      <c r="BJ1" s="5" t="str">
        <f t="shared" si="0"/>
        <v>based to 1974 Current spending</v>
      </c>
      <c r="BK1" s="5" t="str">
        <f t="shared" si="0"/>
        <v>based to 1974 Public sector gross investment</v>
      </c>
      <c r="BL1" s="5" t="str">
        <f t="shared" si="0"/>
        <v>based to 1974 Defence</v>
      </c>
      <c r="BM1" s="5" t="str">
        <f t="shared" si="0"/>
        <v>based to 1974 Health</v>
      </c>
      <c r="BN1" s="5" t="str">
        <f t="shared" si="0"/>
        <v>based to 1974 Social Security</v>
      </c>
      <c r="BO1" s="5" t="str">
        <f t="shared" si="0"/>
        <v>based to 1974 o/w pensioners</v>
      </c>
      <c r="BP1" s="5" t="str">
        <f t="shared" si="0"/>
        <v>based to 1974 o/w non-pensioners</v>
      </c>
      <c r="BQ1" s="5" t="str">
        <f t="shared" si="0"/>
        <v>based to 1974 Education</v>
      </c>
      <c r="BR1" s="5" t="str">
        <f t="shared" si="0"/>
        <v>based to 1974 Debt Interest</v>
      </c>
      <c r="BS1" s="5" t="str">
        <f t="shared" si="0"/>
        <v>based to 1974 Other Public Sector Spending</v>
      </c>
      <c r="BT1" s="5" t="str">
        <f t="shared" si="0"/>
        <v>based to 1974 Deficit/surplus</v>
      </c>
      <c r="BU1" s="5" t="str">
        <f t="shared" ref="BU1:BX1" si="1" xml:space="preserve"> "based to 1974 "&amp;AI1</f>
        <v>based to 1974 Public sector net borrowing
(PSNB)</v>
      </c>
      <c r="BV1" s="5" t="str">
        <f t="shared" si="1"/>
        <v>based to 1974 Public sector net debt (PSND)</v>
      </c>
      <c r="BW1" s="5" t="str">
        <f t="shared" si="1"/>
        <v>based to 1974 Nominal GDP (£m)</v>
      </c>
      <c r="BX1" s="5" t="str">
        <f t="shared" si="1"/>
        <v>based to 1974 Nominal GDP (March-centred, £m)</v>
      </c>
      <c r="BY1" s="5" t="s">
        <v>262</v>
      </c>
      <c r="BZ1" s="5"/>
      <c r="CA1" s="5" t="s">
        <v>305</v>
      </c>
      <c r="CB1" s="5" t="s">
        <v>282</v>
      </c>
      <c r="CC1" s="5" t="s">
        <v>283</v>
      </c>
      <c r="CD1" s="5" t="s">
        <v>287</v>
      </c>
      <c r="CE1" s="5" t="s">
        <v>280</v>
      </c>
      <c r="CF1" s="3" t="s">
        <v>278</v>
      </c>
      <c r="CG1" s="3" t="s">
        <v>279</v>
      </c>
      <c r="CH1" s="3" t="s">
        <v>284</v>
      </c>
      <c r="CI1" s="5" t="s">
        <v>276</v>
      </c>
      <c r="CJ1" s="5" t="s">
        <v>277</v>
      </c>
      <c r="CK1" s="3" t="s">
        <v>265</v>
      </c>
      <c r="CL1" s="3" t="s">
        <v>281</v>
      </c>
      <c r="CM1" s="3" t="s">
        <v>286</v>
      </c>
      <c r="CN1" s="5" t="s">
        <v>264</v>
      </c>
      <c r="CO1" s="5" t="s">
        <v>263</v>
      </c>
      <c r="CP1" s="5" t="s">
        <v>302</v>
      </c>
      <c r="CQ1" s="5" t="s">
        <v>304</v>
      </c>
    </row>
    <row r="2" spans="1:95" x14ac:dyDescent="0.25">
      <c r="A2" s="2" t="s">
        <v>8</v>
      </c>
      <c r="B2" s="17">
        <v>4.8347499999999997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4.9697499999999994</v>
      </c>
      <c r="M2" s="17">
        <v>0</v>
      </c>
      <c r="N2" s="17">
        <v>0</v>
      </c>
      <c r="O2" s="17">
        <v>18.116999999999994</v>
      </c>
      <c r="P2" s="17">
        <v>2.7657499999999997</v>
      </c>
      <c r="Q2" s="17">
        <v>0</v>
      </c>
      <c r="R2" s="17">
        <v>2.7765000000000057</v>
      </c>
      <c r="S2" s="17">
        <v>0</v>
      </c>
      <c r="T2" s="17">
        <v>0</v>
      </c>
      <c r="U2" s="17">
        <v>0</v>
      </c>
      <c r="V2" s="17">
        <f>SUM(B2:T2)</f>
        <v>33.463750000000005</v>
      </c>
      <c r="W2" s="18">
        <v>49.887500000000003</v>
      </c>
      <c r="X2" s="17">
        <v>0</v>
      </c>
      <c r="Y2" s="17">
        <v>0</v>
      </c>
      <c r="Z2" s="19">
        <v>32.237000000000002</v>
      </c>
      <c r="AA2" s="17">
        <v>0</v>
      </c>
      <c r="AB2" s="17">
        <v>0</v>
      </c>
      <c r="AC2" s="17">
        <v>0</v>
      </c>
      <c r="AD2" s="17">
        <v>0</v>
      </c>
      <c r="AE2" s="17">
        <v>0</v>
      </c>
      <c r="AF2" s="19">
        <v>14.350000000000001</v>
      </c>
      <c r="AG2" s="17">
        <v>0</v>
      </c>
      <c r="AH2" s="17">
        <f>V2-W2</f>
        <v>-16.423749999999998</v>
      </c>
      <c r="AI2" s="20">
        <v>21.154499999999999</v>
      </c>
      <c r="AJ2" s="21">
        <v>508.30567245691691</v>
      </c>
      <c r="AK2" s="22">
        <v>354.83578992533222</v>
      </c>
      <c r="AL2" s="22">
        <v>392.87716587804039</v>
      </c>
      <c r="AM2" s="16">
        <v>13.5</v>
      </c>
      <c r="AN2" s="23">
        <f t="shared" ref="AN2:AN65" si="2">_xlfn.SINGLE(ROUND((B2/$AM2)*100,2))</f>
        <v>35.81</v>
      </c>
      <c r="AO2" s="23">
        <f t="shared" ref="AO2:AO65" si="3">_xlfn.SINGLE(ROUND((C2/$AM2)*100,2))</f>
        <v>0</v>
      </c>
      <c r="AP2" s="23">
        <f t="shared" ref="AP2:AP65" si="4">_xlfn.SINGLE(ROUND((D2/$AM2)*100,2))</f>
        <v>0</v>
      </c>
      <c r="AQ2" s="23">
        <f t="shared" ref="AQ2:AQ65" si="5">_xlfn.SINGLE(ROUND((E2/$AM2)*100,2))</f>
        <v>0</v>
      </c>
      <c r="AR2" s="23">
        <f t="shared" ref="AR2:AR65" si="6">_xlfn.SINGLE(ROUND((F2/$AM2)*100,2))</f>
        <v>0</v>
      </c>
      <c r="AS2" s="23">
        <f t="shared" ref="AS2:AS65" si="7">_xlfn.SINGLE(ROUND((G2/$AM2)*100,2))</f>
        <v>0</v>
      </c>
      <c r="AT2" s="23">
        <f t="shared" ref="AT2:AT65" si="8">_xlfn.SINGLE(ROUND((H2/$AM2)*100,2))</f>
        <v>0</v>
      </c>
      <c r="AU2" s="23">
        <f t="shared" ref="AU2:AU65" si="9">_xlfn.SINGLE(ROUND((I2/$AM2)*100,2))</f>
        <v>0</v>
      </c>
      <c r="AV2" s="23">
        <f t="shared" ref="AV2:AV65" si="10">_xlfn.SINGLE(ROUND((J2/$AM2)*100,2))</f>
        <v>0</v>
      </c>
      <c r="AW2" s="23">
        <f t="shared" ref="AW2:AW65" si="11">_xlfn.SINGLE(ROUND((K2/$AM2)*100,2))</f>
        <v>0</v>
      </c>
      <c r="AX2" s="23">
        <f t="shared" ref="AX2:AX65" si="12">_xlfn.SINGLE(ROUND((L2/$AM2)*100,2))</f>
        <v>36.81</v>
      </c>
      <c r="AY2" s="23">
        <f t="shared" ref="AY2:AY65" si="13">_xlfn.SINGLE(ROUND((M2/$AM2)*100,2))</f>
        <v>0</v>
      </c>
      <c r="AZ2" s="23">
        <f t="shared" ref="AZ2:AZ65" si="14">_xlfn.SINGLE(ROUND((N2/$AM2)*100,2))</f>
        <v>0</v>
      </c>
      <c r="BA2" s="23">
        <f t="shared" ref="BA2:BA65" si="15">_xlfn.SINGLE(ROUND((O2/$AM2)*100,2))</f>
        <v>134.19999999999999</v>
      </c>
      <c r="BB2" s="23">
        <f t="shared" ref="BB2:BB65" si="16">_xlfn.SINGLE(ROUND((P2/$AM2)*100,2))</f>
        <v>20.49</v>
      </c>
      <c r="BC2" s="23">
        <f t="shared" ref="BC2:BC65" si="17">_xlfn.SINGLE(ROUND((Q2/$AM2)*100,2))</f>
        <v>0</v>
      </c>
      <c r="BD2" s="23">
        <f t="shared" ref="BD2:BD65" si="18">_xlfn.SINGLE(ROUND((R2/$AM2)*100,2))</f>
        <v>20.57</v>
      </c>
      <c r="BE2" s="23">
        <f t="shared" ref="BE2:BE65" si="19">_xlfn.SINGLE(ROUND((S2/$AM2)*100,2))</f>
        <v>0</v>
      </c>
      <c r="BF2" s="23">
        <f t="shared" ref="BF2:BF65" si="20">_xlfn.SINGLE(ROUND((T2/$AM2)*100,2))</f>
        <v>0</v>
      </c>
      <c r="BG2" s="23">
        <f t="shared" ref="BG2:BG65" si="21">_xlfn.SINGLE(ROUND((U2/$AM2)*100,2))</f>
        <v>0</v>
      </c>
      <c r="BH2" s="23">
        <f t="shared" ref="BH2:BH65" si="22">_xlfn.SINGLE(ROUND((V2/$AM2)*100,2))</f>
        <v>247.88</v>
      </c>
      <c r="BI2" s="23">
        <f t="shared" ref="BI2:BI65" si="23">_xlfn.SINGLE(ROUND((W2/$AM2)*100,2))</f>
        <v>369.54</v>
      </c>
      <c r="BJ2" s="23">
        <f t="shared" ref="BJ2:BJ65" si="24">_xlfn.SINGLE(ROUND((X2/$AM2)*100,2))</f>
        <v>0</v>
      </c>
      <c r="BK2" s="23">
        <f t="shared" ref="BK2:BK65" si="25">_xlfn.SINGLE(ROUND((Y2/$AM2)*100,2))</f>
        <v>0</v>
      </c>
      <c r="BL2" s="23">
        <f t="shared" ref="BL2:BL65" si="26">_xlfn.SINGLE(ROUND((Z2/$AM2)*100,2))</f>
        <v>238.79</v>
      </c>
      <c r="BM2" s="23">
        <f t="shared" ref="BM2:BM65" si="27">_xlfn.SINGLE(ROUND((AA2/$AM2)*100,2))</f>
        <v>0</v>
      </c>
      <c r="BN2" s="23">
        <f t="shared" ref="BN2:BN65" si="28">_xlfn.SINGLE(ROUND((AB2/$AM2)*100,2))</f>
        <v>0</v>
      </c>
      <c r="BO2" s="23">
        <f t="shared" ref="BO2:BO65" si="29">_xlfn.SINGLE(ROUND((AC2/$AM2)*100,2))</f>
        <v>0</v>
      </c>
      <c r="BP2" s="23">
        <f t="shared" ref="BP2:BP65" si="30">_xlfn.SINGLE(ROUND((AD2/$AM2)*100,2))</f>
        <v>0</v>
      </c>
      <c r="BQ2" s="23">
        <f t="shared" ref="BQ2:BQ65" si="31">_xlfn.SINGLE(ROUND((AE2/$AM2)*100,2))</f>
        <v>0</v>
      </c>
      <c r="BR2" s="23">
        <f t="shared" ref="BR2:BR65" si="32">_xlfn.SINGLE(ROUND((AF2/$AM2)*100,2))</f>
        <v>106.3</v>
      </c>
      <c r="BS2" s="23">
        <f t="shared" ref="BS2:BS65" si="33">_xlfn.SINGLE(ROUND((AG2/$AM2)*100,2))</f>
        <v>0</v>
      </c>
      <c r="BT2" s="23">
        <f t="shared" ref="BT2:BX17" si="34">_xlfn.SINGLE(ROUND((AH2/$AM2)*100,2))</f>
        <v>-121.66</v>
      </c>
      <c r="BU2" s="23">
        <f t="shared" si="34"/>
        <v>156.69999999999999</v>
      </c>
      <c r="BV2" s="23">
        <f t="shared" si="34"/>
        <v>3765.23</v>
      </c>
      <c r="BW2" s="23">
        <f t="shared" si="34"/>
        <v>2628.41</v>
      </c>
      <c r="BX2" s="23">
        <f t="shared" si="34"/>
        <v>2910.2</v>
      </c>
      <c r="BY2" t="s">
        <v>268</v>
      </c>
      <c r="CA2">
        <v>300000</v>
      </c>
      <c r="CB2" s="36">
        <v>0.02</v>
      </c>
      <c r="CC2" s="36">
        <v>0.04</v>
      </c>
      <c r="CD2" s="36">
        <v>1E-3</v>
      </c>
      <c r="CE2" t="s">
        <v>266</v>
      </c>
      <c r="CF2" t="s">
        <v>267</v>
      </c>
      <c r="CG2" t="s">
        <v>266</v>
      </c>
      <c r="CH2" t="s">
        <v>267</v>
      </c>
      <c r="CI2" t="s">
        <v>266</v>
      </c>
      <c r="CJ2" t="s">
        <v>267</v>
      </c>
      <c r="CK2" t="s">
        <v>267</v>
      </c>
      <c r="CL2" t="s">
        <v>266</v>
      </c>
      <c r="CM2" t="s">
        <v>285</v>
      </c>
      <c r="CN2" t="s">
        <v>285</v>
      </c>
      <c r="CO2" t="s">
        <v>285</v>
      </c>
      <c r="CP2" t="s">
        <v>303</v>
      </c>
    </row>
    <row r="3" spans="1:95" x14ac:dyDescent="0.25">
      <c r="A3" s="2" t="s">
        <v>9</v>
      </c>
      <c r="B3" s="17">
        <v>5.1749999999999998</v>
      </c>
      <c r="C3" s="17">
        <v>0</v>
      </c>
      <c r="D3" s="17">
        <v>0</v>
      </c>
      <c r="E3" s="17">
        <v>0</v>
      </c>
      <c r="F3" s="17">
        <v>0</v>
      </c>
      <c r="G3" s="17">
        <v>0</v>
      </c>
      <c r="H3" s="17">
        <v>0</v>
      </c>
      <c r="I3" s="17">
        <v>0</v>
      </c>
      <c r="J3" s="17">
        <v>0</v>
      </c>
      <c r="K3" s="17">
        <v>0</v>
      </c>
      <c r="L3" s="17">
        <v>4.7749999999999995</v>
      </c>
      <c r="M3" s="17">
        <v>0</v>
      </c>
      <c r="N3" s="17">
        <v>0</v>
      </c>
      <c r="O3" s="17">
        <v>21.041749999999997</v>
      </c>
      <c r="P3" s="17">
        <v>3.2500000000000004</v>
      </c>
      <c r="Q3" s="17">
        <v>0</v>
      </c>
      <c r="R3" s="17">
        <v>5.3832500000000039</v>
      </c>
      <c r="S3" s="17">
        <v>0</v>
      </c>
      <c r="T3" s="17">
        <v>0</v>
      </c>
      <c r="U3" s="17">
        <v>0</v>
      </c>
      <c r="V3" s="17">
        <f t="shared" ref="V3:V66" si="35">SUM(B3:T3)</f>
        <v>39.625</v>
      </c>
      <c r="W3" s="18">
        <v>54.6175</v>
      </c>
      <c r="X3" s="17">
        <v>0</v>
      </c>
      <c r="Y3" s="17">
        <v>0</v>
      </c>
      <c r="Z3" s="19">
        <v>33.104750000000003</v>
      </c>
      <c r="AA3" s="17">
        <v>0</v>
      </c>
      <c r="AB3" s="17">
        <v>0</v>
      </c>
      <c r="AC3" s="17">
        <v>0</v>
      </c>
      <c r="AD3" s="17">
        <v>0</v>
      </c>
      <c r="AE3" s="17">
        <v>0</v>
      </c>
      <c r="AF3" s="19">
        <v>17.537500000000001</v>
      </c>
      <c r="AG3" s="17">
        <v>0</v>
      </c>
      <c r="AH3" s="17">
        <f t="shared" ref="AH3:AH66" si="36">V3-W3</f>
        <v>-14.9925</v>
      </c>
      <c r="AI3" s="20">
        <v>23.199999999999996</v>
      </c>
      <c r="AJ3" s="21">
        <v>547.94543360464684</v>
      </c>
      <c r="AK3" s="22">
        <v>398.88900776643885</v>
      </c>
      <c r="AL3" s="22">
        <v>372.87131559052773</v>
      </c>
      <c r="AM3" s="16">
        <v>15.1</v>
      </c>
      <c r="AN3" s="23">
        <f t="shared" si="2"/>
        <v>34.270000000000003</v>
      </c>
      <c r="AO3" s="23">
        <f t="shared" si="3"/>
        <v>0</v>
      </c>
      <c r="AP3" s="23">
        <f t="shared" si="4"/>
        <v>0</v>
      </c>
      <c r="AQ3" s="23">
        <f t="shared" si="5"/>
        <v>0</v>
      </c>
      <c r="AR3" s="23">
        <f t="shared" si="6"/>
        <v>0</v>
      </c>
      <c r="AS3" s="23">
        <f t="shared" si="7"/>
        <v>0</v>
      </c>
      <c r="AT3" s="23">
        <f t="shared" si="8"/>
        <v>0</v>
      </c>
      <c r="AU3" s="23">
        <f t="shared" si="9"/>
        <v>0</v>
      </c>
      <c r="AV3" s="23">
        <f t="shared" si="10"/>
        <v>0</v>
      </c>
      <c r="AW3" s="23">
        <f t="shared" si="11"/>
        <v>0</v>
      </c>
      <c r="AX3" s="23">
        <f t="shared" si="12"/>
        <v>31.62</v>
      </c>
      <c r="AY3" s="23">
        <f t="shared" si="13"/>
        <v>0</v>
      </c>
      <c r="AZ3" s="23">
        <f t="shared" si="14"/>
        <v>0</v>
      </c>
      <c r="BA3" s="23">
        <f t="shared" si="15"/>
        <v>139.35</v>
      </c>
      <c r="BB3" s="23">
        <f t="shared" si="16"/>
        <v>21.52</v>
      </c>
      <c r="BC3" s="23">
        <f t="shared" si="17"/>
        <v>0</v>
      </c>
      <c r="BD3" s="23">
        <f t="shared" si="18"/>
        <v>35.65</v>
      </c>
      <c r="BE3" s="23">
        <f t="shared" si="19"/>
        <v>0</v>
      </c>
      <c r="BF3" s="23">
        <f t="shared" si="20"/>
        <v>0</v>
      </c>
      <c r="BG3" s="23">
        <f t="shared" si="21"/>
        <v>0</v>
      </c>
      <c r="BH3" s="23">
        <f t="shared" si="22"/>
        <v>262.42</v>
      </c>
      <c r="BI3" s="23">
        <f t="shared" si="23"/>
        <v>361.71</v>
      </c>
      <c r="BJ3" s="23">
        <f t="shared" si="24"/>
        <v>0</v>
      </c>
      <c r="BK3" s="23">
        <f t="shared" si="25"/>
        <v>0</v>
      </c>
      <c r="BL3" s="23">
        <f t="shared" si="26"/>
        <v>219.24</v>
      </c>
      <c r="BM3" s="23">
        <f t="shared" si="27"/>
        <v>0</v>
      </c>
      <c r="BN3" s="23">
        <f t="shared" si="28"/>
        <v>0</v>
      </c>
      <c r="BO3" s="23">
        <f t="shared" si="29"/>
        <v>0</v>
      </c>
      <c r="BP3" s="23">
        <f t="shared" si="30"/>
        <v>0</v>
      </c>
      <c r="BQ3" s="23">
        <f t="shared" si="31"/>
        <v>0</v>
      </c>
      <c r="BR3" s="23">
        <f t="shared" si="32"/>
        <v>116.14</v>
      </c>
      <c r="BS3" s="23">
        <f t="shared" si="33"/>
        <v>0</v>
      </c>
      <c r="BT3" s="23">
        <f t="shared" si="34"/>
        <v>-99.29</v>
      </c>
      <c r="BU3" s="23">
        <f t="shared" si="34"/>
        <v>153.63999999999999</v>
      </c>
      <c r="BV3" s="23">
        <f t="shared" si="34"/>
        <v>3628.78</v>
      </c>
      <c r="BW3" s="23">
        <f t="shared" si="34"/>
        <v>2641.65</v>
      </c>
      <c r="BX3" s="23">
        <f t="shared" si="34"/>
        <v>2469.35</v>
      </c>
      <c r="BY3" t="s">
        <v>268</v>
      </c>
      <c r="CB3" s="36">
        <v>0.02</v>
      </c>
      <c r="CC3" s="36">
        <v>0.04</v>
      </c>
      <c r="CD3" s="36">
        <v>1E-3</v>
      </c>
      <c r="CE3" t="s">
        <v>266</v>
      </c>
      <c r="CF3" t="s">
        <v>267</v>
      </c>
      <c r="CG3" t="s">
        <v>266</v>
      </c>
      <c r="CH3" t="s">
        <v>267</v>
      </c>
      <c r="CI3" t="s">
        <v>266</v>
      </c>
      <c r="CJ3" t="s">
        <v>267</v>
      </c>
      <c r="CK3" t="s">
        <v>267</v>
      </c>
      <c r="CL3" t="s">
        <v>266</v>
      </c>
      <c r="CM3" t="s">
        <v>285</v>
      </c>
      <c r="CN3" t="s">
        <v>285</v>
      </c>
      <c r="CO3" t="s">
        <v>285</v>
      </c>
      <c r="CP3" t="s">
        <v>303</v>
      </c>
    </row>
    <row r="4" spans="1:95" x14ac:dyDescent="0.25">
      <c r="A4" s="2" t="s">
        <v>10</v>
      </c>
      <c r="B4" s="17">
        <v>2.5749999999999997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5.4249999999999998</v>
      </c>
      <c r="M4" s="17">
        <v>0</v>
      </c>
      <c r="N4" s="17">
        <v>0</v>
      </c>
      <c r="O4" s="17">
        <v>24.118750000000002</v>
      </c>
      <c r="P4" s="17">
        <v>3.4499999999999997</v>
      </c>
      <c r="Q4" s="17">
        <v>0</v>
      </c>
      <c r="R4" s="17">
        <v>5.9312499999999986</v>
      </c>
      <c r="S4" s="17">
        <v>0</v>
      </c>
      <c r="T4" s="17">
        <v>0</v>
      </c>
      <c r="U4" s="17">
        <v>0</v>
      </c>
      <c r="V4" s="17">
        <f t="shared" si="35"/>
        <v>41.500000000000007</v>
      </c>
      <c r="W4" s="18">
        <v>62.825000000000003</v>
      </c>
      <c r="X4" s="17">
        <v>0</v>
      </c>
      <c r="Y4" s="17">
        <v>0</v>
      </c>
      <c r="Z4" s="19">
        <v>34.375000000000007</v>
      </c>
      <c r="AA4" s="17">
        <v>0</v>
      </c>
      <c r="AB4" s="17">
        <v>0</v>
      </c>
      <c r="AC4" s="17">
        <v>0</v>
      </c>
      <c r="AD4" s="17">
        <v>0</v>
      </c>
      <c r="AE4" s="17">
        <v>0</v>
      </c>
      <c r="AF4" s="19">
        <v>20.024999999999999</v>
      </c>
      <c r="AG4" s="17">
        <v>0</v>
      </c>
      <c r="AH4" s="17">
        <f t="shared" si="36"/>
        <v>-21.324999999999996</v>
      </c>
      <c r="AI4" s="20">
        <v>12.849999999999996</v>
      </c>
      <c r="AJ4" s="21">
        <v>564.35962040811933</v>
      </c>
      <c r="AK4" s="22">
        <v>358.8473487411959</v>
      </c>
      <c r="AL4" s="22">
        <v>356.81710721844348</v>
      </c>
      <c r="AM4" s="16">
        <v>11.6</v>
      </c>
      <c r="AN4" s="23">
        <f t="shared" si="2"/>
        <v>22.2</v>
      </c>
      <c r="AO4" s="23">
        <f t="shared" si="3"/>
        <v>0</v>
      </c>
      <c r="AP4" s="23">
        <f t="shared" si="4"/>
        <v>0</v>
      </c>
      <c r="AQ4" s="23">
        <f t="shared" si="5"/>
        <v>0</v>
      </c>
      <c r="AR4" s="23">
        <f t="shared" si="6"/>
        <v>0</v>
      </c>
      <c r="AS4" s="23">
        <f t="shared" si="7"/>
        <v>0</v>
      </c>
      <c r="AT4" s="23">
        <f t="shared" si="8"/>
        <v>0</v>
      </c>
      <c r="AU4" s="23">
        <f t="shared" si="9"/>
        <v>0</v>
      </c>
      <c r="AV4" s="23">
        <f t="shared" si="10"/>
        <v>0</v>
      </c>
      <c r="AW4" s="23">
        <f t="shared" si="11"/>
        <v>0</v>
      </c>
      <c r="AX4" s="23">
        <f t="shared" si="12"/>
        <v>46.77</v>
      </c>
      <c r="AY4" s="23">
        <f t="shared" si="13"/>
        <v>0</v>
      </c>
      <c r="AZ4" s="23">
        <f t="shared" si="14"/>
        <v>0</v>
      </c>
      <c r="BA4" s="23">
        <f t="shared" si="15"/>
        <v>207.92</v>
      </c>
      <c r="BB4" s="23">
        <f t="shared" si="16"/>
        <v>29.74</v>
      </c>
      <c r="BC4" s="23">
        <f t="shared" si="17"/>
        <v>0</v>
      </c>
      <c r="BD4" s="23">
        <f t="shared" si="18"/>
        <v>51.13</v>
      </c>
      <c r="BE4" s="23">
        <f t="shared" si="19"/>
        <v>0</v>
      </c>
      <c r="BF4" s="23">
        <f t="shared" si="20"/>
        <v>0</v>
      </c>
      <c r="BG4" s="23">
        <f t="shared" si="21"/>
        <v>0</v>
      </c>
      <c r="BH4" s="23">
        <f t="shared" si="22"/>
        <v>357.76</v>
      </c>
      <c r="BI4" s="23">
        <f t="shared" si="23"/>
        <v>541.59</v>
      </c>
      <c r="BJ4" s="23">
        <f t="shared" si="24"/>
        <v>0</v>
      </c>
      <c r="BK4" s="23">
        <f t="shared" si="25"/>
        <v>0</v>
      </c>
      <c r="BL4" s="23">
        <f t="shared" si="26"/>
        <v>296.33999999999997</v>
      </c>
      <c r="BM4" s="23">
        <f t="shared" si="27"/>
        <v>0</v>
      </c>
      <c r="BN4" s="23">
        <f t="shared" si="28"/>
        <v>0</v>
      </c>
      <c r="BO4" s="23">
        <f t="shared" si="29"/>
        <v>0</v>
      </c>
      <c r="BP4" s="23">
        <f t="shared" si="30"/>
        <v>0</v>
      </c>
      <c r="BQ4" s="23">
        <f t="shared" si="31"/>
        <v>0</v>
      </c>
      <c r="BR4" s="23">
        <f t="shared" si="32"/>
        <v>172.63</v>
      </c>
      <c r="BS4" s="23">
        <f t="shared" si="33"/>
        <v>0</v>
      </c>
      <c r="BT4" s="23">
        <f t="shared" si="34"/>
        <v>-183.84</v>
      </c>
      <c r="BU4" s="23">
        <f t="shared" si="34"/>
        <v>110.78</v>
      </c>
      <c r="BV4" s="23">
        <f t="shared" si="34"/>
        <v>4865.17</v>
      </c>
      <c r="BW4" s="23">
        <f t="shared" si="34"/>
        <v>3093.51</v>
      </c>
      <c r="BX4" s="23">
        <f t="shared" si="34"/>
        <v>3076.01</v>
      </c>
      <c r="BY4" t="s">
        <v>268</v>
      </c>
      <c r="CB4" s="36">
        <v>0.02</v>
      </c>
      <c r="CC4" s="36">
        <v>0.04</v>
      </c>
      <c r="CD4" s="36">
        <v>1E-3</v>
      </c>
      <c r="CE4" t="s">
        <v>266</v>
      </c>
      <c r="CF4" t="s">
        <v>267</v>
      </c>
      <c r="CG4" t="s">
        <v>266</v>
      </c>
      <c r="CH4" t="s">
        <v>267</v>
      </c>
      <c r="CI4" t="s">
        <v>266</v>
      </c>
      <c r="CJ4" t="s">
        <v>267</v>
      </c>
      <c r="CK4" t="s">
        <v>267</v>
      </c>
      <c r="CL4" t="s">
        <v>266</v>
      </c>
      <c r="CM4" t="s">
        <v>285</v>
      </c>
      <c r="CN4" t="s">
        <v>285</v>
      </c>
      <c r="CO4" t="s">
        <v>285</v>
      </c>
      <c r="CP4" t="s">
        <v>303</v>
      </c>
      <c r="CQ4" t="s">
        <v>303</v>
      </c>
    </row>
    <row r="5" spans="1:95" x14ac:dyDescent="0.25">
      <c r="A5" s="2" t="s">
        <v>11</v>
      </c>
      <c r="B5" s="17">
        <v>1.2250000000000001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17">
        <v>0</v>
      </c>
      <c r="L5" s="17">
        <v>5.85</v>
      </c>
      <c r="M5" s="17">
        <v>0</v>
      </c>
      <c r="N5" s="17">
        <v>0</v>
      </c>
      <c r="O5" s="17">
        <v>27.933750000000007</v>
      </c>
      <c r="P5" s="17">
        <v>3.6750000000000003</v>
      </c>
      <c r="Q5" s="17">
        <v>0</v>
      </c>
      <c r="R5" s="17">
        <v>5.6662499999999909</v>
      </c>
      <c r="S5" s="17">
        <v>0</v>
      </c>
      <c r="T5" s="17">
        <v>0</v>
      </c>
      <c r="U5" s="17">
        <v>0</v>
      </c>
      <c r="V5" s="17">
        <f t="shared" si="35"/>
        <v>44.349999999999994</v>
      </c>
      <c r="W5" s="18">
        <v>54.349999999999994</v>
      </c>
      <c r="X5" s="17">
        <v>0</v>
      </c>
      <c r="Y5" s="17">
        <v>0</v>
      </c>
      <c r="Z5" s="19">
        <v>24.875</v>
      </c>
      <c r="AA5" s="17">
        <v>0</v>
      </c>
      <c r="AB5" s="17">
        <v>0</v>
      </c>
      <c r="AC5" s="17">
        <v>0</v>
      </c>
      <c r="AD5" s="17">
        <v>0</v>
      </c>
      <c r="AE5" s="17">
        <v>0</v>
      </c>
      <c r="AF5" s="19">
        <v>20.474999999999998</v>
      </c>
      <c r="AG5" s="17">
        <v>0</v>
      </c>
      <c r="AH5" s="17">
        <f t="shared" si="36"/>
        <v>-10</v>
      </c>
      <c r="AI5" s="20">
        <v>11.1</v>
      </c>
      <c r="AJ5" s="21">
        <v>578.51146975628365</v>
      </c>
      <c r="AK5" s="22">
        <v>361.33797335420979</v>
      </c>
      <c r="AL5" s="22">
        <v>372.40994714849472</v>
      </c>
      <c r="AM5" s="16">
        <v>11</v>
      </c>
      <c r="AN5" s="23">
        <f t="shared" si="2"/>
        <v>11.14</v>
      </c>
      <c r="AO5" s="23">
        <f t="shared" si="3"/>
        <v>0</v>
      </c>
      <c r="AP5" s="23">
        <f t="shared" si="4"/>
        <v>0</v>
      </c>
      <c r="AQ5" s="23">
        <f t="shared" si="5"/>
        <v>0</v>
      </c>
      <c r="AR5" s="23">
        <f t="shared" si="6"/>
        <v>0</v>
      </c>
      <c r="AS5" s="23">
        <f t="shared" si="7"/>
        <v>0</v>
      </c>
      <c r="AT5" s="23">
        <f t="shared" si="8"/>
        <v>0</v>
      </c>
      <c r="AU5" s="23">
        <f t="shared" si="9"/>
        <v>0</v>
      </c>
      <c r="AV5" s="23">
        <f t="shared" si="10"/>
        <v>0</v>
      </c>
      <c r="AW5" s="23">
        <f t="shared" si="11"/>
        <v>0</v>
      </c>
      <c r="AX5" s="23">
        <f t="shared" si="12"/>
        <v>53.18</v>
      </c>
      <c r="AY5" s="23">
        <f t="shared" si="13"/>
        <v>0</v>
      </c>
      <c r="AZ5" s="23">
        <f t="shared" si="14"/>
        <v>0</v>
      </c>
      <c r="BA5" s="23">
        <f t="shared" si="15"/>
        <v>253.94</v>
      </c>
      <c r="BB5" s="23">
        <f t="shared" si="16"/>
        <v>33.409999999999997</v>
      </c>
      <c r="BC5" s="23">
        <f t="shared" si="17"/>
        <v>0</v>
      </c>
      <c r="BD5" s="23">
        <f t="shared" si="18"/>
        <v>51.51</v>
      </c>
      <c r="BE5" s="23">
        <f t="shared" si="19"/>
        <v>0</v>
      </c>
      <c r="BF5" s="23">
        <f t="shared" si="20"/>
        <v>0</v>
      </c>
      <c r="BG5" s="23">
        <f t="shared" si="21"/>
        <v>0</v>
      </c>
      <c r="BH5" s="23">
        <f t="shared" si="22"/>
        <v>403.18</v>
      </c>
      <c r="BI5" s="23">
        <f t="shared" si="23"/>
        <v>494.09</v>
      </c>
      <c r="BJ5" s="23">
        <f t="shared" si="24"/>
        <v>0</v>
      </c>
      <c r="BK5" s="23">
        <f t="shared" si="25"/>
        <v>0</v>
      </c>
      <c r="BL5" s="23">
        <f t="shared" si="26"/>
        <v>226.14</v>
      </c>
      <c r="BM5" s="23">
        <f t="shared" si="27"/>
        <v>0</v>
      </c>
      <c r="BN5" s="23">
        <f t="shared" si="28"/>
        <v>0</v>
      </c>
      <c r="BO5" s="23">
        <f t="shared" si="29"/>
        <v>0</v>
      </c>
      <c r="BP5" s="23">
        <f t="shared" si="30"/>
        <v>0</v>
      </c>
      <c r="BQ5" s="23">
        <f t="shared" si="31"/>
        <v>0</v>
      </c>
      <c r="BR5" s="23">
        <f t="shared" si="32"/>
        <v>186.14</v>
      </c>
      <c r="BS5" s="23">
        <f t="shared" si="33"/>
        <v>0</v>
      </c>
      <c r="BT5" s="23">
        <f t="shared" si="34"/>
        <v>-90.91</v>
      </c>
      <c r="BU5" s="23">
        <f t="shared" si="34"/>
        <v>100.91</v>
      </c>
      <c r="BV5" s="23">
        <f t="shared" si="34"/>
        <v>5259.2</v>
      </c>
      <c r="BW5" s="23">
        <f t="shared" si="34"/>
        <v>3284.89</v>
      </c>
      <c r="BX5" s="23">
        <f t="shared" si="34"/>
        <v>3385.54</v>
      </c>
      <c r="BY5" t="s">
        <v>268</v>
      </c>
      <c r="CB5" s="36">
        <v>0.02</v>
      </c>
      <c r="CC5" s="36">
        <v>0.04</v>
      </c>
      <c r="CD5" s="36">
        <v>1E-3</v>
      </c>
      <c r="CE5" t="s">
        <v>266</v>
      </c>
      <c r="CF5" t="s">
        <v>267</v>
      </c>
      <c r="CG5" t="s">
        <v>266</v>
      </c>
      <c r="CH5" t="s">
        <v>267</v>
      </c>
      <c r="CI5" t="s">
        <v>266</v>
      </c>
      <c r="CJ5" t="s">
        <v>267</v>
      </c>
      <c r="CK5" t="s">
        <v>267</v>
      </c>
      <c r="CL5" t="s">
        <v>266</v>
      </c>
      <c r="CM5" t="s">
        <v>285</v>
      </c>
      <c r="CN5" t="s">
        <v>285</v>
      </c>
      <c r="CO5" t="s">
        <v>285</v>
      </c>
      <c r="CP5" t="s">
        <v>303</v>
      </c>
      <c r="CQ5" t="s">
        <v>303</v>
      </c>
    </row>
    <row r="6" spans="1:95" x14ac:dyDescent="0.25">
      <c r="A6" s="2" t="s">
        <v>12</v>
      </c>
      <c r="B6" s="17">
        <v>3.9250000000000003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6.0750000000000002</v>
      </c>
      <c r="M6" s="17">
        <v>0</v>
      </c>
      <c r="N6" s="17">
        <v>0</v>
      </c>
      <c r="O6" s="17">
        <v>31.4785</v>
      </c>
      <c r="P6" s="17">
        <v>4.0749999999999993</v>
      </c>
      <c r="Q6" s="17">
        <v>0</v>
      </c>
      <c r="R6" s="17">
        <v>5.846500000000006</v>
      </c>
      <c r="S6" s="17">
        <v>0</v>
      </c>
      <c r="T6" s="17">
        <v>0</v>
      </c>
      <c r="U6" s="17">
        <v>0</v>
      </c>
      <c r="V6" s="17">
        <f t="shared" si="35"/>
        <v>51.400000000000006</v>
      </c>
      <c r="W6" s="18">
        <v>55.45</v>
      </c>
      <c r="X6" s="17">
        <v>0</v>
      </c>
      <c r="Y6" s="17">
        <v>0</v>
      </c>
      <c r="Z6" s="19">
        <v>26.225000000000001</v>
      </c>
      <c r="AA6" s="17">
        <v>0</v>
      </c>
      <c r="AB6" s="17">
        <v>0</v>
      </c>
      <c r="AC6" s="17">
        <v>0</v>
      </c>
      <c r="AD6" s="17">
        <v>0</v>
      </c>
      <c r="AE6" s="17">
        <v>0</v>
      </c>
      <c r="AF6" s="19">
        <v>20.7</v>
      </c>
      <c r="AG6" s="17">
        <v>0</v>
      </c>
      <c r="AH6" s="17">
        <f t="shared" si="36"/>
        <v>-4.0499999999999972</v>
      </c>
      <c r="AI6" s="20">
        <v>13.549999999999997</v>
      </c>
      <c r="AJ6" s="21">
        <v>602.60813959862139</v>
      </c>
      <c r="AK6" s="22">
        <v>386.37496243937028</v>
      </c>
      <c r="AL6" s="22">
        <v>403.2330192268364</v>
      </c>
      <c r="AM6" s="16">
        <v>11.3</v>
      </c>
      <c r="AN6" s="23">
        <f t="shared" si="2"/>
        <v>34.729999999999997</v>
      </c>
      <c r="AO6" s="23">
        <f t="shared" si="3"/>
        <v>0</v>
      </c>
      <c r="AP6" s="23">
        <f t="shared" si="4"/>
        <v>0</v>
      </c>
      <c r="AQ6" s="23">
        <f t="shared" si="5"/>
        <v>0</v>
      </c>
      <c r="AR6" s="23">
        <f t="shared" si="6"/>
        <v>0</v>
      </c>
      <c r="AS6" s="23">
        <f t="shared" si="7"/>
        <v>0</v>
      </c>
      <c r="AT6" s="23">
        <f t="shared" si="8"/>
        <v>0</v>
      </c>
      <c r="AU6" s="23">
        <f t="shared" si="9"/>
        <v>0</v>
      </c>
      <c r="AV6" s="23">
        <f t="shared" si="10"/>
        <v>0</v>
      </c>
      <c r="AW6" s="23">
        <f t="shared" si="11"/>
        <v>0</v>
      </c>
      <c r="AX6" s="23">
        <f t="shared" si="12"/>
        <v>53.76</v>
      </c>
      <c r="AY6" s="23">
        <f t="shared" si="13"/>
        <v>0</v>
      </c>
      <c r="AZ6" s="23">
        <f t="shared" si="14"/>
        <v>0</v>
      </c>
      <c r="BA6" s="23">
        <f t="shared" si="15"/>
        <v>278.57</v>
      </c>
      <c r="BB6" s="23">
        <f t="shared" si="16"/>
        <v>36.06</v>
      </c>
      <c r="BC6" s="23">
        <f t="shared" si="17"/>
        <v>0</v>
      </c>
      <c r="BD6" s="23">
        <f t="shared" si="18"/>
        <v>51.74</v>
      </c>
      <c r="BE6" s="23">
        <f t="shared" si="19"/>
        <v>0</v>
      </c>
      <c r="BF6" s="23">
        <f t="shared" si="20"/>
        <v>0</v>
      </c>
      <c r="BG6" s="23">
        <f t="shared" si="21"/>
        <v>0</v>
      </c>
      <c r="BH6" s="23">
        <f t="shared" si="22"/>
        <v>454.87</v>
      </c>
      <c r="BI6" s="23">
        <f t="shared" si="23"/>
        <v>490.71</v>
      </c>
      <c r="BJ6" s="23">
        <f t="shared" si="24"/>
        <v>0</v>
      </c>
      <c r="BK6" s="23">
        <f t="shared" si="25"/>
        <v>0</v>
      </c>
      <c r="BL6" s="23">
        <f t="shared" si="26"/>
        <v>232.08</v>
      </c>
      <c r="BM6" s="23">
        <f t="shared" si="27"/>
        <v>0</v>
      </c>
      <c r="BN6" s="23">
        <f t="shared" si="28"/>
        <v>0</v>
      </c>
      <c r="BO6" s="23">
        <f t="shared" si="29"/>
        <v>0</v>
      </c>
      <c r="BP6" s="23">
        <f t="shared" si="30"/>
        <v>0</v>
      </c>
      <c r="BQ6" s="23">
        <f t="shared" si="31"/>
        <v>0</v>
      </c>
      <c r="BR6" s="23">
        <f t="shared" si="32"/>
        <v>183.19</v>
      </c>
      <c r="BS6" s="23">
        <f t="shared" si="33"/>
        <v>0</v>
      </c>
      <c r="BT6" s="23">
        <f t="shared" si="34"/>
        <v>-35.840000000000003</v>
      </c>
      <c r="BU6" s="23">
        <f t="shared" si="34"/>
        <v>119.91</v>
      </c>
      <c r="BV6" s="23">
        <f t="shared" si="34"/>
        <v>5332.82</v>
      </c>
      <c r="BW6" s="23">
        <f t="shared" si="34"/>
        <v>3419.25</v>
      </c>
      <c r="BX6" s="23">
        <f t="shared" si="34"/>
        <v>3568.43</v>
      </c>
      <c r="BY6" t="s">
        <v>268</v>
      </c>
      <c r="CB6" s="36">
        <v>0.02</v>
      </c>
      <c r="CC6" s="36">
        <v>0.04</v>
      </c>
      <c r="CD6" s="36">
        <v>1E-3</v>
      </c>
      <c r="CE6" t="s">
        <v>266</v>
      </c>
      <c r="CF6" t="s">
        <v>267</v>
      </c>
      <c r="CG6" t="s">
        <v>266</v>
      </c>
      <c r="CH6" t="s">
        <v>267</v>
      </c>
      <c r="CI6" t="s">
        <v>266</v>
      </c>
      <c r="CJ6" t="s">
        <v>267</v>
      </c>
      <c r="CK6" t="s">
        <v>267</v>
      </c>
      <c r="CL6" t="s">
        <v>266</v>
      </c>
      <c r="CM6" t="s">
        <v>285</v>
      </c>
      <c r="CN6" t="s">
        <v>285</v>
      </c>
      <c r="CO6" t="s">
        <v>285</v>
      </c>
      <c r="CP6" t="s">
        <v>303</v>
      </c>
      <c r="CQ6" t="s">
        <v>303</v>
      </c>
    </row>
    <row r="7" spans="1:95" x14ac:dyDescent="0.25">
      <c r="A7" s="2" t="s">
        <v>13</v>
      </c>
      <c r="B7" s="17">
        <v>5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6.3249999999999993</v>
      </c>
      <c r="M7" s="17">
        <v>0</v>
      </c>
      <c r="N7" s="17">
        <v>0</v>
      </c>
      <c r="O7" s="17">
        <v>33.677500000000009</v>
      </c>
      <c r="P7" s="17">
        <v>4.6749999999999998</v>
      </c>
      <c r="Q7" s="17">
        <v>0</v>
      </c>
      <c r="R7" s="17">
        <v>6.5974999999999895</v>
      </c>
      <c r="S7" s="17">
        <v>0</v>
      </c>
      <c r="T7" s="17">
        <v>0</v>
      </c>
      <c r="U7" s="17">
        <v>0</v>
      </c>
      <c r="V7" s="17">
        <f t="shared" si="35"/>
        <v>56.274999999999999</v>
      </c>
      <c r="W7" s="18">
        <v>64.949999999999989</v>
      </c>
      <c r="X7" s="17">
        <v>0</v>
      </c>
      <c r="Y7" s="17">
        <v>0</v>
      </c>
      <c r="Z7" s="19">
        <v>35.6</v>
      </c>
      <c r="AA7" s="17">
        <v>0</v>
      </c>
      <c r="AB7" s="17">
        <v>0</v>
      </c>
      <c r="AC7" s="17">
        <v>0</v>
      </c>
      <c r="AD7" s="17">
        <v>0</v>
      </c>
      <c r="AE7" s="17">
        <v>0</v>
      </c>
      <c r="AF7" s="19">
        <v>21.099999999999998</v>
      </c>
      <c r="AG7" s="17">
        <v>0</v>
      </c>
      <c r="AH7" s="17">
        <f t="shared" si="36"/>
        <v>-8.6749999999999901</v>
      </c>
      <c r="AI7" s="20">
        <v>15.500000000000005</v>
      </c>
      <c r="AJ7" s="21">
        <v>629.01497417229507</v>
      </c>
      <c r="AK7" s="22">
        <v>413.10908784985043</v>
      </c>
      <c r="AL7" s="22">
        <v>416.00316830841257</v>
      </c>
      <c r="AM7" s="16">
        <v>13.1</v>
      </c>
      <c r="AN7" s="23">
        <f t="shared" si="2"/>
        <v>38.17</v>
      </c>
      <c r="AO7" s="23">
        <f t="shared" si="3"/>
        <v>0</v>
      </c>
      <c r="AP7" s="23">
        <f t="shared" si="4"/>
        <v>0</v>
      </c>
      <c r="AQ7" s="23">
        <f t="shared" si="5"/>
        <v>0</v>
      </c>
      <c r="AR7" s="23">
        <f t="shared" si="6"/>
        <v>0</v>
      </c>
      <c r="AS7" s="23">
        <f t="shared" si="7"/>
        <v>0</v>
      </c>
      <c r="AT7" s="23">
        <f t="shared" si="8"/>
        <v>0</v>
      </c>
      <c r="AU7" s="23">
        <f t="shared" si="9"/>
        <v>0</v>
      </c>
      <c r="AV7" s="23">
        <f t="shared" si="10"/>
        <v>0</v>
      </c>
      <c r="AW7" s="23">
        <f t="shared" si="11"/>
        <v>0</v>
      </c>
      <c r="AX7" s="23">
        <f t="shared" si="12"/>
        <v>48.28</v>
      </c>
      <c r="AY7" s="23">
        <f t="shared" si="13"/>
        <v>0</v>
      </c>
      <c r="AZ7" s="23">
        <f t="shared" si="14"/>
        <v>0</v>
      </c>
      <c r="BA7" s="23">
        <f t="shared" si="15"/>
        <v>257.08</v>
      </c>
      <c r="BB7" s="23">
        <f t="shared" si="16"/>
        <v>35.69</v>
      </c>
      <c r="BC7" s="23">
        <f t="shared" si="17"/>
        <v>0</v>
      </c>
      <c r="BD7" s="23">
        <f t="shared" si="18"/>
        <v>50.36</v>
      </c>
      <c r="BE7" s="23">
        <f t="shared" si="19"/>
        <v>0</v>
      </c>
      <c r="BF7" s="23">
        <f t="shared" si="20"/>
        <v>0</v>
      </c>
      <c r="BG7" s="23">
        <f t="shared" si="21"/>
        <v>0</v>
      </c>
      <c r="BH7" s="23">
        <f t="shared" si="22"/>
        <v>429.58</v>
      </c>
      <c r="BI7" s="23">
        <f t="shared" si="23"/>
        <v>495.8</v>
      </c>
      <c r="BJ7" s="23">
        <f t="shared" si="24"/>
        <v>0</v>
      </c>
      <c r="BK7" s="23">
        <f t="shared" si="25"/>
        <v>0</v>
      </c>
      <c r="BL7" s="23">
        <f t="shared" si="26"/>
        <v>271.76</v>
      </c>
      <c r="BM7" s="23">
        <f t="shared" si="27"/>
        <v>0</v>
      </c>
      <c r="BN7" s="23">
        <f t="shared" si="28"/>
        <v>0</v>
      </c>
      <c r="BO7" s="23">
        <f t="shared" si="29"/>
        <v>0</v>
      </c>
      <c r="BP7" s="23">
        <f t="shared" si="30"/>
        <v>0</v>
      </c>
      <c r="BQ7" s="23">
        <f t="shared" si="31"/>
        <v>0</v>
      </c>
      <c r="BR7" s="23">
        <f t="shared" si="32"/>
        <v>161.07</v>
      </c>
      <c r="BS7" s="23">
        <f t="shared" si="33"/>
        <v>0</v>
      </c>
      <c r="BT7" s="23">
        <f t="shared" si="34"/>
        <v>-66.22</v>
      </c>
      <c r="BU7" s="23">
        <f t="shared" si="34"/>
        <v>118.32</v>
      </c>
      <c r="BV7" s="23">
        <f t="shared" si="34"/>
        <v>4801.6400000000003</v>
      </c>
      <c r="BW7" s="23">
        <f t="shared" si="34"/>
        <v>3153.5</v>
      </c>
      <c r="BX7" s="23">
        <f t="shared" si="34"/>
        <v>3175.6</v>
      </c>
      <c r="BY7" t="s">
        <v>269</v>
      </c>
      <c r="CB7" s="36">
        <v>0.02</v>
      </c>
      <c r="CC7" s="36">
        <v>0.04</v>
      </c>
      <c r="CD7" s="36">
        <v>1E-3</v>
      </c>
      <c r="CE7" t="s">
        <v>266</v>
      </c>
      <c r="CF7" t="s">
        <v>267</v>
      </c>
      <c r="CG7" t="s">
        <v>266</v>
      </c>
      <c r="CH7" t="s">
        <v>267</v>
      </c>
      <c r="CI7" t="s">
        <v>266</v>
      </c>
      <c r="CJ7" t="s">
        <v>267</v>
      </c>
      <c r="CK7" t="s">
        <v>267</v>
      </c>
      <c r="CL7" t="s">
        <v>266</v>
      </c>
      <c r="CM7" t="s">
        <v>285</v>
      </c>
      <c r="CN7" t="s">
        <v>285</v>
      </c>
      <c r="CO7" t="s">
        <v>285</v>
      </c>
      <c r="CP7" t="s">
        <v>303</v>
      </c>
    </row>
    <row r="8" spans="1:95" x14ac:dyDescent="0.25">
      <c r="A8" s="2" t="s">
        <v>14</v>
      </c>
      <c r="B8" s="17">
        <v>7.2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6.5500000000000007</v>
      </c>
      <c r="M8" s="17">
        <v>0</v>
      </c>
      <c r="N8" s="17">
        <v>0</v>
      </c>
      <c r="O8" s="17">
        <v>35.978750000000005</v>
      </c>
      <c r="P8" s="17">
        <v>4.9250000000000007</v>
      </c>
      <c r="Q8" s="17">
        <v>0</v>
      </c>
      <c r="R8" s="17">
        <v>6.6212500000000034</v>
      </c>
      <c r="S8" s="17">
        <v>0</v>
      </c>
      <c r="T8" s="17">
        <v>0</v>
      </c>
      <c r="U8" s="17">
        <v>0</v>
      </c>
      <c r="V8" s="17">
        <f t="shared" si="35"/>
        <v>61.275000000000006</v>
      </c>
      <c r="W8" s="18">
        <v>71.775000000000006</v>
      </c>
      <c r="X8" s="17">
        <v>0</v>
      </c>
      <c r="Y8" s="17">
        <v>0</v>
      </c>
      <c r="Z8" s="19">
        <v>40.35</v>
      </c>
      <c r="AA8" s="17">
        <v>0</v>
      </c>
      <c r="AB8" s="17">
        <v>0</v>
      </c>
      <c r="AC8" s="17">
        <v>0</v>
      </c>
      <c r="AD8" s="17">
        <v>0</v>
      </c>
      <c r="AE8" s="17">
        <v>0</v>
      </c>
      <c r="AF8" s="19">
        <v>22.525000000000002</v>
      </c>
      <c r="AG8" s="17">
        <v>0</v>
      </c>
      <c r="AH8" s="17">
        <f t="shared" si="36"/>
        <v>-10.5</v>
      </c>
      <c r="AI8" s="20">
        <v>11.725000000000003</v>
      </c>
      <c r="AJ8" s="21">
        <v>648.61560000003692</v>
      </c>
      <c r="AK8" s="22">
        <v>424.44674204334007</v>
      </c>
      <c r="AL8" s="22">
        <v>438.43980905463286</v>
      </c>
      <c r="AM8" s="16">
        <v>12.6</v>
      </c>
      <c r="AN8" s="23">
        <f t="shared" si="2"/>
        <v>57.14</v>
      </c>
      <c r="AO8" s="23">
        <f t="shared" si="3"/>
        <v>0</v>
      </c>
      <c r="AP8" s="23">
        <f t="shared" si="4"/>
        <v>0</v>
      </c>
      <c r="AQ8" s="23">
        <f t="shared" si="5"/>
        <v>0</v>
      </c>
      <c r="AR8" s="23">
        <f t="shared" si="6"/>
        <v>0</v>
      </c>
      <c r="AS8" s="23">
        <f t="shared" si="7"/>
        <v>0</v>
      </c>
      <c r="AT8" s="23">
        <f t="shared" si="8"/>
        <v>0</v>
      </c>
      <c r="AU8" s="23">
        <f t="shared" si="9"/>
        <v>0</v>
      </c>
      <c r="AV8" s="23">
        <f t="shared" si="10"/>
        <v>0</v>
      </c>
      <c r="AW8" s="23">
        <f t="shared" si="11"/>
        <v>0</v>
      </c>
      <c r="AX8" s="23">
        <f t="shared" si="12"/>
        <v>51.98</v>
      </c>
      <c r="AY8" s="23">
        <f t="shared" si="13"/>
        <v>0</v>
      </c>
      <c r="AZ8" s="23">
        <f t="shared" si="14"/>
        <v>0</v>
      </c>
      <c r="BA8" s="23">
        <f t="shared" si="15"/>
        <v>285.55</v>
      </c>
      <c r="BB8" s="23">
        <f t="shared" si="16"/>
        <v>39.090000000000003</v>
      </c>
      <c r="BC8" s="23">
        <f t="shared" si="17"/>
        <v>0</v>
      </c>
      <c r="BD8" s="23">
        <f t="shared" si="18"/>
        <v>52.55</v>
      </c>
      <c r="BE8" s="23">
        <f t="shared" si="19"/>
        <v>0</v>
      </c>
      <c r="BF8" s="23">
        <f t="shared" si="20"/>
        <v>0</v>
      </c>
      <c r="BG8" s="23">
        <f t="shared" si="21"/>
        <v>0</v>
      </c>
      <c r="BH8" s="23">
        <f t="shared" si="22"/>
        <v>486.31</v>
      </c>
      <c r="BI8" s="23">
        <f t="shared" si="23"/>
        <v>569.64</v>
      </c>
      <c r="BJ8" s="23">
        <f t="shared" si="24"/>
        <v>0</v>
      </c>
      <c r="BK8" s="23">
        <f t="shared" si="25"/>
        <v>0</v>
      </c>
      <c r="BL8" s="23">
        <f t="shared" si="26"/>
        <v>320.24</v>
      </c>
      <c r="BM8" s="23">
        <f t="shared" si="27"/>
        <v>0</v>
      </c>
      <c r="BN8" s="23">
        <f t="shared" si="28"/>
        <v>0</v>
      </c>
      <c r="BO8" s="23">
        <f t="shared" si="29"/>
        <v>0</v>
      </c>
      <c r="BP8" s="23">
        <f t="shared" si="30"/>
        <v>0</v>
      </c>
      <c r="BQ8" s="23">
        <f t="shared" si="31"/>
        <v>0</v>
      </c>
      <c r="BR8" s="23">
        <f t="shared" si="32"/>
        <v>178.77</v>
      </c>
      <c r="BS8" s="23">
        <f t="shared" si="33"/>
        <v>0</v>
      </c>
      <c r="BT8" s="23">
        <f t="shared" si="34"/>
        <v>-83.33</v>
      </c>
      <c r="BU8" s="23">
        <f t="shared" si="34"/>
        <v>93.06</v>
      </c>
      <c r="BV8" s="23">
        <f t="shared" si="34"/>
        <v>5147.74</v>
      </c>
      <c r="BW8" s="23">
        <f t="shared" si="34"/>
        <v>3368.62</v>
      </c>
      <c r="BX8" s="23">
        <f t="shared" si="34"/>
        <v>3479.68</v>
      </c>
      <c r="BY8" t="s">
        <v>268</v>
      </c>
      <c r="CB8" s="36">
        <v>0.02</v>
      </c>
      <c r="CC8" s="36">
        <v>0.04</v>
      </c>
      <c r="CD8" s="36">
        <v>1E-3</v>
      </c>
      <c r="CE8" t="s">
        <v>266</v>
      </c>
      <c r="CF8" t="s">
        <v>267</v>
      </c>
      <c r="CG8" t="s">
        <v>266</v>
      </c>
      <c r="CH8" t="s">
        <v>267</v>
      </c>
      <c r="CI8" t="s">
        <v>266</v>
      </c>
      <c r="CJ8" t="s">
        <v>267</v>
      </c>
      <c r="CK8" t="s">
        <v>267</v>
      </c>
      <c r="CL8" t="s">
        <v>266</v>
      </c>
      <c r="CM8" t="s">
        <v>285</v>
      </c>
      <c r="CN8" t="s">
        <v>285</v>
      </c>
      <c r="CO8" t="s">
        <v>285</v>
      </c>
      <c r="CP8" t="s">
        <v>303</v>
      </c>
      <c r="CQ8" t="s">
        <v>303</v>
      </c>
    </row>
    <row r="9" spans="1:95" x14ac:dyDescent="0.25">
      <c r="A9" s="2" t="s">
        <v>15</v>
      </c>
      <c r="B9" s="17">
        <v>10.5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7.15</v>
      </c>
      <c r="M9" s="17">
        <v>0</v>
      </c>
      <c r="N9" s="17">
        <v>0</v>
      </c>
      <c r="O9" s="17">
        <v>39.577999999999996</v>
      </c>
      <c r="P9" s="17">
        <v>5.0999999999999996</v>
      </c>
      <c r="Q9" s="17">
        <v>0</v>
      </c>
      <c r="R9" s="17">
        <v>3.3219999999999956</v>
      </c>
      <c r="S9" s="17">
        <v>0</v>
      </c>
      <c r="T9" s="17">
        <v>0</v>
      </c>
      <c r="U9" s="17">
        <v>0</v>
      </c>
      <c r="V9" s="17">
        <f t="shared" si="35"/>
        <v>65.649999999999991</v>
      </c>
      <c r="W9" s="18">
        <v>73</v>
      </c>
      <c r="X9" s="17">
        <v>0</v>
      </c>
      <c r="Y9" s="17">
        <v>0</v>
      </c>
      <c r="Z9" s="19">
        <v>41.050000000000004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9">
        <v>23.349999999999998</v>
      </c>
      <c r="AG9" s="17">
        <v>0</v>
      </c>
      <c r="AH9" s="17">
        <f t="shared" si="36"/>
        <v>-7.3500000000000085</v>
      </c>
      <c r="AI9" s="20">
        <v>8.8249999999999993</v>
      </c>
      <c r="AJ9" s="21">
        <v>661.60210486193819</v>
      </c>
      <c r="AK9" s="22">
        <v>443.06465310520912</v>
      </c>
      <c r="AL9" s="22">
        <v>438.32127419506884</v>
      </c>
      <c r="AM9" s="16">
        <v>12.3</v>
      </c>
      <c r="AN9" s="23">
        <f t="shared" si="2"/>
        <v>85.37</v>
      </c>
      <c r="AO9" s="23">
        <f t="shared" si="3"/>
        <v>0</v>
      </c>
      <c r="AP9" s="23">
        <f t="shared" si="4"/>
        <v>0</v>
      </c>
      <c r="AQ9" s="23">
        <f t="shared" si="5"/>
        <v>0</v>
      </c>
      <c r="AR9" s="23">
        <f t="shared" si="6"/>
        <v>0</v>
      </c>
      <c r="AS9" s="23">
        <f t="shared" si="7"/>
        <v>0</v>
      </c>
      <c r="AT9" s="23">
        <f t="shared" si="8"/>
        <v>0</v>
      </c>
      <c r="AU9" s="23">
        <f t="shared" si="9"/>
        <v>0</v>
      </c>
      <c r="AV9" s="23">
        <f t="shared" si="10"/>
        <v>0</v>
      </c>
      <c r="AW9" s="23">
        <f t="shared" si="11"/>
        <v>0</v>
      </c>
      <c r="AX9" s="23">
        <f t="shared" si="12"/>
        <v>58.13</v>
      </c>
      <c r="AY9" s="23">
        <f t="shared" si="13"/>
        <v>0</v>
      </c>
      <c r="AZ9" s="23">
        <f t="shared" si="14"/>
        <v>0</v>
      </c>
      <c r="BA9" s="23">
        <f t="shared" si="15"/>
        <v>321.77</v>
      </c>
      <c r="BB9" s="23">
        <f t="shared" si="16"/>
        <v>41.46</v>
      </c>
      <c r="BC9" s="23">
        <f t="shared" si="17"/>
        <v>0</v>
      </c>
      <c r="BD9" s="23">
        <f t="shared" si="18"/>
        <v>27.01</v>
      </c>
      <c r="BE9" s="23">
        <f t="shared" si="19"/>
        <v>0</v>
      </c>
      <c r="BF9" s="23">
        <f t="shared" si="20"/>
        <v>0</v>
      </c>
      <c r="BG9" s="23">
        <f t="shared" si="21"/>
        <v>0</v>
      </c>
      <c r="BH9" s="23">
        <f t="shared" si="22"/>
        <v>533.74</v>
      </c>
      <c r="BI9" s="23">
        <f t="shared" si="23"/>
        <v>593.5</v>
      </c>
      <c r="BJ9" s="23">
        <f t="shared" si="24"/>
        <v>0</v>
      </c>
      <c r="BK9" s="23">
        <f t="shared" si="25"/>
        <v>0</v>
      </c>
      <c r="BL9" s="23">
        <f t="shared" si="26"/>
        <v>333.74</v>
      </c>
      <c r="BM9" s="23">
        <f t="shared" si="27"/>
        <v>0</v>
      </c>
      <c r="BN9" s="23">
        <f t="shared" si="28"/>
        <v>0</v>
      </c>
      <c r="BO9" s="23">
        <f t="shared" si="29"/>
        <v>0</v>
      </c>
      <c r="BP9" s="23">
        <f t="shared" si="30"/>
        <v>0</v>
      </c>
      <c r="BQ9" s="23">
        <f t="shared" si="31"/>
        <v>0</v>
      </c>
      <c r="BR9" s="23">
        <f t="shared" si="32"/>
        <v>189.84</v>
      </c>
      <c r="BS9" s="23">
        <f t="shared" si="33"/>
        <v>0</v>
      </c>
      <c r="BT9" s="23">
        <f t="shared" si="34"/>
        <v>-59.76</v>
      </c>
      <c r="BU9" s="23">
        <f t="shared" si="34"/>
        <v>71.75</v>
      </c>
      <c r="BV9" s="23">
        <f t="shared" si="34"/>
        <v>5378.88</v>
      </c>
      <c r="BW9" s="23">
        <f t="shared" si="34"/>
        <v>3602.15</v>
      </c>
      <c r="BX9" s="23">
        <f t="shared" si="34"/>
        <v>3563.59</v>
      </c>
      <c r="BY9" t="s">
        <v>268</v>
      </c>
      <c r="CB9" s="36">
        <v>0.02</v>
      </c>
      <c r="CC9" s="36">
        <v>0.04</v>
      </c>
      <c r="CD9" s="36">
        <v>1E-3</v>
      </c>
      <c r="CE9" t="s">
        <v>266</v>
      </c>
      <c r="CF9" t="s">
        <v>267</v>
      </c>
      <c r="CG9" t="s">
        <v>266</v>
      </c>
      <c r="CH9" t="s">
        <v>267</v>
      </c>
      <c r="CI9" t="s">
        <v>266</v>
      </c>
      <c r="CJ9" t="s">
        <v>267</v>
      </c>
      <c r="CK9" t="s">
        <v>267</v>
      </c>
      <c r="CL9" t="s">
        <v>266</v>
      </c>
      <c r="CM9" t="s">
        <v>285</v>
      </c>
      <c r="CN9" t="s">
        <v>285</v>
      </c>
      <c r="CO9" t="s">
        <v>285</v>
      </c>
      <c r="CP9" t="s">
        <v>303</v>
      </c>
    </row>
    <row r="10" spans="1:95" x14ac:dyDescent="0.25">
      <c r="A10" s="2" t="s">
        <v>16</v>
      </c>
      <c r="B10" s="17">
        <v>11.65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7.7999999999999989</v>
      </c>
      <c r="M10" s="17">
        <v>0</v>
      </c>
      <c r="N10" s="17">
        <v>0</v>
      </c>
      <c r="O10" s="17">
        <v>40.007500000000007</v>
      </c>
      <c r="P10" s="17">
        <v>5.5500000000000007</v>
      </c>
      <c r="Q10" s="17">
        <v>0</v>
      </c>
      <c r="R10" s="17">
        <v>3.4424999999999955</v>
      </c>
      <c r="S10" s="17">
        <v>0</v>
      </c>
      <c r="T10" s="17">
        <v>0</v>
      </c>
      <c r="U10" s="17">
        <v>0</v>
      </c>
      <c r="V10" s="17">
        <f t="shared" si="35"/>
        <v>68.45</v>
      </c>
      <c r="W10" s="18">
        <v>74.474999999999994</v>
      </c>
      <c r="X10" s="17">
        <v>0</v>
      </c>
      <c r="Y10" s="17">
        <v>0</v>
      </c>
      <c r="Z10" s="19">
        <v>41.875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19">
        <v>23.625</v>
      </c>
      <c r="AG10" s="17">
        <v>0</v>
      </c>
      <c r="AH10" s="17">
        <f t="shared" si="36"/>
        <v>-6.0249999999999915</v>
      </c>
      <c r="AI10" s="20">
        <v>10.424999999999997</v>
      </c>
      <c r="AJ10" s="21">
        <v>672.95560364991331</v>
      </c>
      <c r="AK10" s="22">
        <v>445.7376798921722</v>
      </c>
      <c r="AL10" s="22">
        <v>465.31387019651913</v>
      </c>
      <c r="AM10" s="16">
        <v>12.8</v>
      </c>
      <c r="AN10" s="23">
        <f t="shared" si="2"/>
        <v>91.02</v>
      </c>
      <c r="AO10" s="23">
        <f t="shared" si="3"/>
        <v>0</v>
      </c>
      <c r="AP10" s="23">
        <f t="shared" si="4"/>
        <v>0</v>
      </c>
      <c r="AQ10" s="23">
        <f t="shared" si="5"/>
        <v>0</v>
      </c>
      <c r="AR10" s="23">
        <f t="shared" si="6"/>
        <v>0</v>
      </c>
      <c r="AS10" s="23">
        <f t="shared" si="7"/>
        <v>0</v>
      </c>
      <c r="AT10" s="23">
        <f t="shared" si="8"/>
        <v>0</v>
      </c>
      <c r="AU10" s="23">
        <f t="shared" si="9"/>
        <v>0</v>
      </c>
      <c r="AV10" s="23">
        <f t="shared" si="10"/>
        <v>0</v>
      </c>
      <c r="AW10" s="23">
        <f t="shared" si="11"/>
        <v>0</v>
      </c>
      <c r="AX10" s="23">
        <f t="shared" si="12"/>
        <v>60.94</v>
      </c>
      <c r="AY10" s="23">
        <f t="shared" si="13"/>
        <v>0</v>
      </c>
      <c r="AZ10" s="23">
        <f t="shared" si="14"/>
        <v>0</v>
      </c>
      <c r="BA10" s="23">
        <f t="shared" si="15"/>
        <v>312.56</v>
      </c>
      <c r="BB10" s="23">
        <f t="shared" si="16"/>
        <v>43.36</v>
      </c>
      <c r="BC10" s="23">
        <f t="shared" si="17"/>
        <v>0</v>
      </c>
      <c r="BD10" s="23">
        <f t="shared" si="18"/>
        <v>26.89</v>
      </c>
      <c r="BE10" s="23">
        <f t="shared" si="19"/>
        <v>0</v>
      </c>
      <c r="BF10" s="23">
        <f t="shared" si="20"/>
        <v>0</v>
      </c>
      <c r="BG10" s="23">
        <f t="shared" si="21"/>
        <v>0</v>
      </c>
      <c r="BH10" s="23">
        <f t="shared" si="22"/>
        <v>534.77</v>
      </c>
      <c r="BI10" s="23">
        <f t="shared" si="23"/>
        <v>581.84</v>
      </c>
      <c r="BJ10" s="23">
        <f t="shared" si="24"/>
        <v>0</v>
      </c>
      <c r="BK10" s="23">
        <f t="shared" si="25"/>
        <v>0</v>
      </c>
      <c r="BL10" s="23">
        <f t="shared" si="26"/>
        <v>327.14999999999998</v>
      </c>
      <c r="BM10" s="23">
        <f t="shared" si="27"/>
        <v>0</v>
      </c>
      <c r="BN10" s="23">
        <f t="shared" si="28"/>
        <v>0</v>
      </c>
      <c r="BO10" s="23">
        <f t="shared" si="29"/>
        <v>0</v>
      </c>
      <c r="BP10" s="23">
        <f t="shared" si="30"/>
        <v>0</v>
      </c>
      <c r="BQ10" s="23">
        <f t="shared" si="31"/>
        <v>0</v>
      </c>
      <c r="BR10" s="23">
        <f t="shared" si="32"/>
        <v>184.57</v>
      </c>
      <c r="BS10" s="23">
        <f t="shared" si="33"/>
        <v>0</v>
      </c>
      <c r="BT10" s="23">
        <f t="shared" si="34"/>
        <v>-47.07</v>
      </c>
      <c r="BU10" s="23">
        <f t="shared" si="34"/>
        <v>81.45</v>
      </c>
      <c r="BV10" s="23">
        <f t="shared" si="34"/>
        <v>5257.47</v>
      </c>
      <c r="BW10" s="23">
        <f t="shared" si="34"/>
        <v>3482.33</v>
      </c>
      <c r="BX10" s="23">
        <f t="shared" si="34"/>
        <v>3635.26</v>
      </c>
      <c r="BY10" t="s">
        <v>268</v>
      </c>
      <c r="CB10" s="36">
        <v>0.02</v>
      </c>
      <c r="CC10" s="36">
        <v>0.04</v>
      </c>
      <c r="CD10" s="36">
        <v>1E-3</v>
      </c>
      <c r="CE10" t="s">
        <v>266</v>
      </c>
      <c r="CF10" t="s">
        <v>267</v>
      </c>
      <c r="CG10" t="s">
        <v>266</v>
      </c>
      <c r="CH10" t="s">
        <v>267</v>
      </c>
      <c r="CI10" t="s">
        <v>266</v>
      </c>
      <c r="CJ10" t="s">
        <v>267</v>
      </c>
      <c r="CK10" t="s">
        <v>267</v>
      </c>
      <c r="CL10" t="s">
        <v>266</v>
      </c>
      <c r="CM10" t="s">
        <v>285</v>
      </c>
      <c r="CN10" t="s">
        <v>285</v>
      </c>
      <c r="CO10" t="s">
        <v>285</v>
      </c>
      <c r="CP10" t="s">
        <v>303</v>
      </c>
      <c r="CQ10" t="s">
        <v>303</v>
      </c>
    </row>
    <row r="11" spans="1:95" x14ac:dyDescent="0.25">
      <c r="A11" s="2" t="s">
        <v>17</v>
      </c>
      <c r="B11" s="17">
        <v>12.675000000000001</v>
      </c>
      <c r="C11" s="17">
        <v>0</v>
      </c>
      <c r="D11" s="17">
        <v>0</v>
      </c>
      <c r="E11" s="17">
        <v>0</v>
      </c>
      <c r="F11" s="17">
        <v>0</v>
      </c>
      <c r="G11" s="17">
        <v>0</v>
      </c>
      <c r="H11" s="17">
        <v>0</v>
      </c>
      <c r="I11" s="17">
        <v>0</v>
      </c>
      <c r="J11" s="17">
        <v>0</v>
      </c>
      <c r="K11" s="17">
        <v>0</v>
      </c>
      <c r="L11" s="17">
        <v>8.2250000000000014</v>
      </c>
      <c r="M11" s="17">
        <v>0</v>
      </c>
      <c r="N11" s="17">
        <v>0</v>
      </c>
      <c r="O11" s="17">
        <v>39.743750000000006</v>
      </c>
      <c r="P11" s="17">
        <v>6.05</v>
      </c>
      <c r="Q11" s="17">
        <v>0</v>
      </c>
      <c r="R11" s="17">
        <v>3.4562499999999972</v>
      </c>
      <c r="S11" s="17">
        <v>0</v>
      </c>
      <c r="T11" s="17">
        <v>0</v>
      </c>
      <c r="U11" s="17">
        <v>0</v>
      </c>
      <c r="V11" s="17">
        <f t="shared" si="35"/>
        <v>70.150000000000006</v>
      </c>
      <c r="W11" s="18">
        <v>78.875</v>
      </c>
      <c r="X11" s="17">
        <v>0</v>
      </c>
      <c r="Y11" s="17">
        <v>0</v>
      </c>
      <c r="Z11" s="19">
        <v>45.674999999999997</v>
      </c>
      <c r="AA11" s="17">
        <v>0</v>
      </c>
      <c r="AB11" s="17">
        <v>0</v>
      </c>
      <c r="AC11" s="17">
        <v>0</v>
      </c>
      <c r="AD11" s="17">
        <v>0</v>
      </c>
      <c r="AE11" s="17">
        <v>0</v>
      </c>
      <c r="AF11" s="19">
        <v>23.375000000000004</v>
      </c>
      <c r="AG11" s="17">
        <v>0</v>
      </c>
      <c r="AH11" s="17">
        <f t="shared" si="36"/>
        <v>-8.7249999999999943</v>
      </c>
      <c r="AI11" s="20">
        <v>11.374999999999996</v>
      </c>
      <c r="AJ11" s="21">
        <v>683.50307469945506</v>
      </c>
      <c r="AK11" s="22">
        <v>486.79413241935038</v>
      </c>
      <c r="AL11" s="22">
        <v>510.17846656066581</v>
      </c>
      <c r="AM11" s="16">
        <v>14</v>
      </c>
      <c r="AN11" s="23">
        <f t="shared" si="2"/>
        <v>90.54</v>
      </c>
      <c r="AO11" s="23">
        <f t="shared" si="3"/>
        <v>0</v>
      </c>
      <c r="AP11" s="23">
        <f t="shared" si="4"/>
        <v>0</v>
      </c>
      <c r="AQ11" s="23">
        <f t="shared" si="5"/>
        <v>0</v>
      </c>
      <c r="AR11" s="23">
        <f t="shared" si="6"/>
        <v>0</v>
      </c>
      <c r="AS11" s="23">
        <f t="shared" si="7"/>
        <v>0</v>
      </c>
      <c r="AT11" s="23">
        <f t="shared" si="8"/>
        <v>0</v>
      </c>
      <c r="AU11" s="23">
        <f t="shared" si="9"/>
        <v>0</v>
      </c>
      <c r="AV11" s="23">
        <f t="shared" si="10"/>
        <v>0</v>
      </c>
      <c r="AW11" s="23">
        <f t="shared" si="11"/>
        <v>0</v>
      </c>
      <c r="AX11" s="23">
        <f t="shared" si="12"/>
        <v>58.75</v>
      </c>
      <c r="AY11" s="23">
        <f t="shared" si="13"/>
        <v>0</v>
      </c>
      <c r="AZ11" s="23">
        <f t="shared" si="14"/>
        <v>0</v>
      </c>
      <c r="BA11" s="23">
        <f t="shared" si="15"/>
        <v>283.88</v>
      </c>
      <c r="BB11" s="23">
        <f t="shared" si="16"/>
        <v>43.21</v>
      </c>
      <c r="BC11" s="23">
        <f t="shared" si="17"/>
        <v>0</v>
      </c>
      <c r="BD11" s="23">
        <f t="shared" si="18"/>
        <v>24.69</v>
      </c>
      <c r="BE11" s="23">
        <f t="shared" si="19"/>
        <v>0</v>
      </c>
      <c r="BF11" s="23">
        <f t="shared" si="20"/>
        <v>0</v>
      </c>
      <c r="BG11" s="23">
        <f t="shared" si="21"/>
        <v>0</v>
      </c>
      <c r="BH11" s="23">
        <f t="shared" si="22"/>
        <v>501.07</v>
      </c>
      <c r="BI11" s="23">
        <f t="shared" si="23"/>
        <v>563.39</v>
      </c>
      <c r="BJ11" s="23">
        <f t="shared" si="24"/>
        <v>0</v>
      </c>
      <c r="BK11" s="23">
        <f t="shared" si="25"/>
        <v>0</v>
      </c>
      <c r="BL11" s="23">
        <f t="shared" si="26"/>
        <v>326.25</v>
      </c>
      <c r="BM11" s="23">
        <f t="shared" si="27"/>
        <v>0</v>
      </c>
      <c r="BN11" s="23">
        <f t="shared" si="28"/>
        <v>0</v>
      </c>
      <c r="BO11" s="23">
        <f t="shared" si="29"/>
        <v>0</v>
      </c>
      <c r="BP11" s="23">
        <f t="shared" si="30"/>
        <v>0</v>
      </c>
      <c r="BQ11" s="23">
        <f t="shared" si="31"/>
        <v>0</v>
      </c>
      <c r="BR11" s="23">
        <f t="shared" si="32"/>
        <v>166.96</v>
      </c>
      <c r="BS11" s="23">
        <f t="shared" si="33"/>
        <v>0</v>
      </c>
      <c r="BT11" s="23">
        <f t="shared" si="34"/>
        <v>-62.32</v>
      </c>
      <c r="BU11" s="23">
        <f t="shared" si="34"/>
        <v>81.25</v>
      </c>
      <c r="BV11" s="23">
        <f t="shared" si="34"/>
        <v>4882.16</v>
      </c>
      <c r="BW11" s="23">
        <f t="shared" si="34"/>
        <v>3477.1</v>
      </c>
      <c r="BX11" s="23">
        <f t="shared" si="34"/>
        <v>3644.13</v>
      </c>
      <c r="BY11" t="s">
        <v>268</v>
      </c>
      <c r="CB11" s="36">
        <v>0.02</v>
      </c>
      <c r="CC11" s="36">
        <v>0.04</v>
      </c>
      <c r="CD11" s="36">
        <v>1E-3</v>
      </c>
      <c r="CE11" t="s">
        <v>266</v>
      </c>
      <c r="CF11" t="s">
        <v>267</v>
      </c>
      <c r="CG11" t="s">
        <v>266</v>
      </c>
      <c r="CH11" t="s">
        <v>267</v>
      </c>
      <c r="CI11" t="s">
        <v>266</v>
      </c>
      <c r="CJ11" t="s">
        <v>267</v>
      </c>
      <c r="CK11" t="s">
        <v>267</v>
      </c>
      <c r="CL11" t="s">
        <v>266</v>
      </c>
      <c r="CM11" t="s">
        <v>285</v>
      </c>
      <c r="CN11" t="s">
        <v>285</v>
      </c>
      <c r="CO11" t="s">
        <v>285</v>
      </c>
      <c r="CP11" t="s">
        <v>303</v>
      </c>
    </row>
    <row r="12" spans="1:95" x14ac:dyDescent="0.25">
      <c r="A12" s="2" t="s">
        <v>18</v>
      </c>
      <c r="B12" s="17">
        <v>13.425000000000001</v>
      </c>
      <c r="C12" s="17">
        <v>0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7.625</v>
      </c>
      <c r="M12" s="17">
        <v>0</v>
      </c>
      <c r="N12" s="17">
        <v>0</v>
      </c>
      <c r="O12" s="17">
        <v>41.000000000000007</v>
      </c>
      <c r="P12" s="17">
        <v>6.15</v>
      </c>
      <c r="Q12" s="17">
        <v>0</v>
      </c>
      <c r="R12" s="17">
        <v>4.2999999999999972</v>
      </c>
      <c r="S12" s="17">
        <v>0</v>
      </c>
      <c r="T12" s="17">
        <v>0</v>
      </c>
      <c r="U12" s="17">
        <v>0</v>
      </c>
      <c r="V12" s="17">
        <f t="shared" si="35"/>
        <v>72.500000000000014</v>
      </c>
      <c r="W12" s="18">
        <v>81.525000000000006</v>
      </c>
      <c r="X12" s="17">
        <v>0</v>
      </c>
      <c r="Y12" s="17">
        <v>0</v>
      </c>
      <c r="Z12" s="19">
        <v>48.224999999999994</v>
      </c>
      <c r="AA12" s="17">
        <v>0</v>
      </c>
      <c r="AB12" s="17">
        <v>0</v>
      </c>
      <c r="AC12" s="17">
        <v>0</v>
      </c>
      <c r="AD12" s="17">
        <v>0</v>
      </c>
      <c r="AE12" s="17">
        <v>0</v>
      </c>
      <c r="AF12" s="19">
        <v>24.25</v>
      </c>
      <c r="AG12" s="17">
        <v>0</v>
      </c>
      <c r="AH12" s="17">
        <f t="shared" si="36"/>
        <v>-9.0249999999999915</v>
      </c>
      <c r="AI12" s="20">
        <v>10.524999999999995</v>
      </c>
      <c r="AJ12" s="21">
        <v>692.2198981493043</v>
      </c>
      <c r="AK12" s="22">
        <v>516.54625242294969</v>
      </c>
      <c r="AL12" s="22">
        <v>505.89749000620208</v>
      </c>
      <c r="AM12" s="16">
        <v>14.4</v>
      </c>
      <c r="AN12" s="23">
        <f t="shared" si="2"/>
        <v>93.23</v>
      </c>
      <c r="AO12" s="23">
        <f t="shared" si="3"/>
        <v>0</v>
      </c>
      <c r="AP12" s="23">
        <f t="shared" si="4"/>
        <v>0</v>
      </c>
      <c r="AQ12" s="23">
        <f t="shared" si="5"/>
        <v>0</v>
      </c>
      <c r="AR12" s="23">
        <f t="shared" si="6"/>
        <v>0</v>
      </c>
      <c r="AS12" s="23">
        <f t="shared" si="7"/>
        <v>0</v>
      </c>
      <c r="AT12" s="23">
        <f t="shared" si="8"/>
        <v>0</v>
      </c>
      <c r="AU12" s="23">
        <f t="shared" si="9"/>
        <v>0</v>
      </c>
      <c r="AV12" s="23">
        <f t="shared" si="10"/>
        <v>0</v>
      </c>
      <c r="AW12" s="23">
        <f t="shared" si="11"/>
        <v>0</v>
      </c>
      <c r="AX12" s="23">
        <f t="shared" si="12"/>
        <v>52.95</v>
      </c>
      <c r="AY12" s="23">
        <f t="shared" si="13"/>
        <v>0</v>
      </c>
      <c r="AZ12" s="23">
        <f t="shared" si="14"/>
        <v>0</v>
      </c>
      <c r="BA12" s="23">
        <f t="shared" si="15"/>
        <v>284.72000000000003</v>
      </c>
      <c r="BB12" s="23">
        <f t="shared" si="16"/>
        <v>42.71</v>
      </c>
      <c r="BC12" s="23">
        <f t="shared" si="17"/>
        <v>0</v>
      </c>
      <c r="BD12" s="23">
        <f t="shared" si="18"/>
        <v>29.86</v>
      </c>
      <c r="BE12" s="23">
        <f t="shared" si="19"/>
        <v>0</v>
      </c>
      <c r="BF12" s="23">
        <f t="shared" si="20"/>
        <v>0</v>
      </c>
      <c r="BG12" s="23">
        <f t="shared" si="21"/>
        <v>0</v>
      </c>
      <c r="BH12" s="23">
        <f t="shared" si="22"/>
        <v>503.47</v>
      </c>
      <c r="BI12" s="23">
        <f t="shared" si="23"/>
        <v>566.15</v>
      </c>
      <c r="BJ12" s="23">
        <f t="shared" si="24"/>
        <v>0</v>
      </c>
      <c r="BK12" s="23">
        <f t="shared" si="25"/>
        <v>0</v>
      </c>
      <c r="BL12" s="23">
        <f t="shared" si="26"/>
        <v>334.9</v>
      </c>
      <c r="BM12" s="23">
        <f t="shared" si="27"/>
        <v>0</v>
      </c>
      <c r="BN12" s="23">
        <f t="shared" si="28"/>
        <v>0</v>
      </c>
      <c r="BO12" s="23">
        <f t="shared" si="29"/>
        <v>0</v>
      </c>
      <c r="BP12" s="23">
        <f t="shared" si="30"/>
        <v>0</v>
      </c>
      <c r="BQ12" s="23">
        <f t="shared" si="31"/>
        <v>0</v>
      </c>
      <c r="BR12" s="23">
        <f t="shared" si="32"/>
        <v>168.4</v>
      </c>
      <c r="BS12" s="23">
        <f t="shared" si="33"/>
        <v>0</v>
      </c>
      <c r="BT12" s="23">
        <f t="shared" si="34"/>
        <v>-62.67</v>
      </c>
      <c r="BU12" s="23">
        <f t="shared" si="34"/>
        <v>73.09</v>
      </c>
      <c r="BV12" s="23">
        <f t="shared" si="34"/>
        <v>4807.08</v>
      </c>
      <c r="BW12" s="23">
        <f t="shared" si="34"/>
        <v>3587.13</v>
      </c>
      <c r="BX12" s="23">
        <f t="shared" si="34"/>
        <v>3513.18</v>
      </c>
      <c r="BY12" t="s">
        <v>268</v>
      </c>
      <c r="CB12" s="36">
        <v>0.02</v>
      </c>
      <c r="CC12" s="36">
        <v>0.04</v>
      </c>
      <c r="CD12" s="36">
        <v>1E-3</v>
      </c>
      <c r="CE12" t="s">
        <v>266</v>
      </c>
      <c r="CF12" t="s">
        <v>267</v>
      </c>
      <c r="CG12" t="s">
        <v>266</v>
      </c>
      <c r="CH12" t="s">
        <v>267</v>
      </c>
      <c r="CI12" t="s">
        <v>266</v>
      </c>
      <c r="CJ12" t="s">
        <v>267</v>
      </c>
      <c r="CK12" t="s">
        <v>267</v>
      </c>
      <c r="CL12" t="s">
        <v>266</v>
      </c>
      <c r="CM12" t="s">
        <v>285</v>
      </c>
      <c r="CN12" t="s">
        <v>285</v>
      </c>
      <c r="CO12" t="s">
        <v>285</v>
      </c>
      <c r="CP12" t="s">
        <v>303</v>
      </c>
    </row>
    <row r="13" spans="1:95" x14ac:dyDescent="0.25">
      <c r="A13" s="2" t="s">
        <v>19</v>
      </c>
      <c r="B13" s="17">
        <v>13.174999999999999</v>
      </c>
      <c r="C13" s="17">
        <v>0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7.4250000000000007</v>
      </c>
      <c r="M13" s="17">
        <v>0</v>
      </c>
      <c r="N13" s="17">
        <v>0</v>
      </c>
      <c r="O13" s="17">
        <v>40.75</v>
      </c>
      <c r="P13" s="17">
        <v>6</v>
      </c>
      <c r="Q13" s="17">
        <v>0</v>
      </c>
      <c r="R13" s="17">
        <v>3.4750000000000085</v>
      </c>
      <c r="S13" s="17">
        <v>0</v>
      </c>
      <c r="T13" s="17">
        <v>0</v>
      </c>
      <c r="U13" s="17">
        <v>0</v>
      </c>
      <c r="V13" s="17">
        <f t="shared" si="35"/>
        <v>70.825000000000003</v>
      </c>
      <c r="W13" s="18">
        <v>83.024999999999991</v>
      </c>
      <c r="X13" s="17">
        <v>0</v>
      </c>
      <c r="Y13" s="17">
        <v>0</v>
      </c>
      <c r="Z13" s="19">
        <v>49.35</v>
      </c>
      <c r="AA13" s="17">
        <v>0</v>
      </c>
      <c r="AB13" s="17">
        <v>0</v>
      </c>
      <c r="AC13" s="17">
        <v>0</v>
      </c>
      <c r="AD13" s="17">
        <v>0</v>
      </c>
      <c r="AE13" s="17">
        <v>0</v>
      </c>
      <c r="AF13" s="19">
        <v>24.449999999999996</v>
      </c>
      <c r="AG13" s="17">
        <v>0</v>
      </c>
      <c r="AH13" s="17">
        <f t="shared" si="36"/>
        <v>-12.199999999999989</v>
      </c>
      <c r="AI13" s="20">
        <v>18.349999999999998</v>
      </c>
      <c r="AJ13" s="21">
        <v>711.34591610179473</v>
      </c>
      <c r="AK13" s="22">
        <v>502.70016569427582</v>
      </c>
      <c r="AL13" s="22">
        <v>506.95427948717088</v>
      </c>
      <c r="AM13" s="16">
        <v>14</v>
      </c>
      <c r="AN13" s="23">
        <f t="shared" si="2"/>
        <v>94.11</v>
      </c>
      <c r="AO13" s="23">
        <f t="shared" si="3"/>
        <v>0</v>
      </c>
      <c r="AP13" s="23">
        <f t="shared" si="4"/>
        <v>0</v>
      </c>
      <c r="AQ13" s="23">
        <f t="shared" si="5"/>
        <v>0</v>
      </c>
      <c r="AR13" s="23">
        <f t="shared" si="6"/>
        <v>0</v>
      </c>
      <c r="AS13" s="23">
        <f t="shared" si="7"/>
        <v>0</v>
      </c>
      <c r="AT13" s="23">
        <f t="shared" si="8"/>
        <v>0</v>
      </c>
      <c r="AU13" s="23">
        <f t="shared" si="9"/>
        <v>0</v>
      </c>
      <c r="AV13" s="23">
        <f t="shared" si="10"/>
        <v>0</v>
      </c>
      <c r="AW13" s="23">
        <f t="shared" si="11"/>
        <v>0</v>
      </c>
      <c r="AX13" s="23">
        <f t="shared" si="12"/>
        <v>53.04</v>
      </c>
      <c r="AY13" s="23">
        <f t="shared" si="13"/>
        <v>0</v>
      </c>
      <c r="AZ13" s="23">
        <f t="shared" si="14"/>
        <v>0</v>
      </c>
      <c r="BA13" s="23">
        <f t="shared" si="15"/>
        <v>291.07</v>
      </c>
      <c r="BB13" s="23">
        <f t="shared" si="16"/>
        <v>42.86</v>
      </c>
      <c r="BC13" s="23">
        <f t="shared" si="17"/>
        <v>0</v>
      </c>
      <c r="BD13" s="23">
        <f t="shared" si="18"/>
        <v>24.82</v>
      </c>
      <c r="BE13" s="23">
        <f t="shared" si="19"/>
        <v>0</v>
      </c>
      <c r="BF13" s="23">
        <f t="shared" si="20"/>
        <v>0</v>
      </c>
      <c r="BG13" s="23">
        <f t="shared" si="21"/>
        <v>0</v>
      </c>
      <c r="BH13" s="23">
        <f t="shared" si="22"/>
        <v>505.89</v>
      </c>
      <c r="BI13" s="23">
        <f t="shared" si="23"/>
        <v>593.04</v>
      </c>
      <c r="BJ13" s="23">
        <f t="shared" si="24"/>
        <v>0</v>
      </c>
      <c r="BK13" s="23">
        <f t="shared" si="25"/>
        <v>0</v>
      </c>
      <c r="BL13" s="23">
        <f t="shared" si="26"/>
        <v>352.5</v>
      </c>
      <c r="BM13" s="23">
        <f t="shared" si="27"/>
        <v>0</v>
      </c>
      <c r="BN13" s="23">
        <f t="shared" si="28"/>
        <v>0</v>
      </c>
      <c r="BO13" s="23">
        <f t="shared" si="29"/>
        <v>0</v>
      </c>
      <c r="BP13" s="23">
        <f t="shared" si="30"/>
        <v>0</v>
      </c>
      <c r="BQ13" s="23">
        <f t="shared" si="31"/>
        <v>0</v>
      </c>
      <c r="BR13" s="23">
        <f t="shared" si="32"/>
        <v>174.64</v>
      </c>
      <c r="BS13" s="23">
        <f t="shared" si="33"/>
        <v>0</v>
      </c>
      <c r="BT13" s="23">
        <f t="shared" si="34"/>
        <v>-87.14</v>
      </c>
      <c r="BU13" s="23">
        <f t="shared" si="34"/>
        <v>131.07</v>
      </c>
      <c r="BV13" s="23">
        <f t="shared" si="34"/>
        <v>5081.04</v>
      </c>
      <c r="BW13" s="23">
        <f t="shared" si="34"/>
        <v>3590.72</v>
      </c>
      <c r="BX13" s="23">
        <f t="shared" si="34"/>
        <v>3621.1</v>
      </c>
      <c r="BY13" t="s">
        <v>268</v>
      </c>
      <c r="CB13" s="36">
        <v>0.02</v>
      </c>
      <c r="CC13" s="36">
        <v>0.04</v>
      </c>
      <c r="CD13" s="36">
        <v>1E-3</v>
      </c>
      <c r="CE13" t="s">
        <v>266</v>
      </c>
      <c r="CF13" t="s">
        <v>267</v>
      </c>
      <c r="CG13" t="s">
        <v>266</v>
      </c>
      <c r="CH13" t="s">
        <v>267</v>
      </c>
      <c r="CI13" t="s">
        <v>266</v>
      </c>
      <c r="CJ13" t="s">
        <v>267</v>
      </c>
      <c r="CK13" t="s">
        <v>267</v>
      </c>
      <c r="CL13" t="s">
        <v>266</v>
      </c>
      <c r="CM13" t="s">
        <v>285</v>
      </c>
      <c r="CN13" t="s">
        <v>285</v>
      </c>
      <c r="CO13" t="s">
        <v>285</v>
      </c>
      <c r="CP13" t="s">
        <v>303</v>
      </c>
    </row>
    <row r="14" spans="1:95" x14ac:dyDescent="0.25">
      <c r="A14" s="2" t="s">
        <v>20</v>
      </c>
      <c r="B14" s="17">
        <v>13.399999999999999</v>
      </c>
      <c r="C14" s="17">
        <v>0</v>
      </c>
      <c r="D14" s="17">
        <v>0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7.6</v>
      </c>
      <c r="M14" s="17">
        <v>0</v>
      </c>
      <c r="N14" s="17">
        <v>0</v>
      </c>
      <c r="O14" s="17">
        <v>40.25</v>
      </c>
      <c r="P14" s="17">
        <v>6.0750000000000002</v>
      </c>
      <c r="Q14" s="17">
        <v>0</v>
      </c>
      <c r="R14" s="17">
        <v>4.0749999999999886</v>
      </c>
      <c r="S14" s="17">
        <v>0</v>
      </c>
      <c r="T14" s="17">
        <v>0</v>
      </c>
      <c r="U14" s="17">
        <v>0</v>
      </c>
      <c r="V14" s="17">
        <f t="shared" si="35"/>
        <v>71.399999999999991</v>
      </c>
      <c r="W14" s="18">
        <v>89.174999999999997</v>
      </c>
      <c r="X14" s="17">
        <v>0</v>
      </c>
      <c r="Y14" s="17">
        <v>0</v>
      </c>
      <c r="Z14" s="19">
        <v>54.375</v>
      </c>
      <c r="AA14" s="17">
        <v>0</v>
      </c>
      <c r="AB14" s="17">
        <v>0</v>
      </c>
      <c r="AC14" s="17">
        <v>0</v>
      </c>
      <c r="AD14" s="17">
        <v>0</v>
      </c>
      <c r="AE14" s="17">
        <v>0</v>
      </c>
      <c r="AF14" s="19">
        <v>25.050000000000004</v>
      </c>
      <c r="AG14" s="17">
        <v>0</v>
      </c>
      <c r="AH14" s="17">
        <f t="shared" si="36"/>
        <v>-17.775000000000006</v>
      </c>
      <c r="AI14" s="20">
        <v>27.474999999999998</v>
      </c>
      <c r="AJ14" s="21">
        <v>755.35108906544383</v>
      </c>
      <c r="AK14" s="22">
        <v>518.4194504657778</v>
      </c>
      <c r="AL14" s="22">
        <v>537.09567863009647</v>
      </c>
      <c r="AM14" s="16">
        <v>15.9</v>
      </c>
      <c r="AN14" s="23">
        <f t="shared" si="2"/>
        <v>84.28</v>
      </c>
      <c r="AO14" s="23">
        <f t="shared" si="3"/>
        <v>0</v>
      </c>
      <c r="AP14" s="23">
        <f t="shared" si="4"/>
        <v>0</v>
      </c>
      <c r="AQ14" s="23">
        <f t="shared" si="5"/>
        <v>0</v>
      </c>
      <c r="AR14" s="23">
        <f t="shared" si="6"/>
        <v>0</v>
      </c>
      <c r="AS14" s="23">
        <f t="shared" si="7"/>
        <v>0</v>
      </c>
      <c r="AT14" s="23">
        <f t="shared" si="8"/>
        <v>0</v>
      </c>
      <c r="AU14" s="23">
        <f t="shared" si="9"/>
        <v>0</v>
      </c>
      <c r="AV14" s="23">
        <f t="shared" si="10"/>
        <v>0</v>
      </c>
      <c r="AW14" s="23">
        <f t="shared" si="11"/>
        <v>0</v>
      </c>
      <c r="AX14" s="23">
        <f t="shared" si="12"/>
        <v>47.8</v>
      </c>
      <c r="AY14" s="23">
        <f t="shared" si="13"/>
        <v>0</v>
      </c>
      <c r="AZ14" s="23">
        <f t="shared" si="14"/>
        <v>0</v>
      </c>
      <c r="BA14" s="23">
        <f t="shared" si="15"/>
        <v>253.14</v>
      </c>
      <c r="BB14" s="23">
        <f t="shared" si="16"/>
        <v>38.21</v>
      </c>
      <c r="BC14" s="23">
        <f t="shared" si="17"/>
        <v>0</v>
      </c>
      <c r="BD14" s="23">
        <f t="shared" si="18"/>
        <v>25.63</v>
      </c>
      <c r="BE14" s="23">
        <f t="shared" si="19"/>
        <v>0</v>
      </c>
      <c r="BF14" s="23">
        <f t="shared" si="20"/>
        <v>0</v>
      </c>
      <c r="BG14" s="23">
        <f t="shared" si="21"/>
        <v>0</v>
      </c>
      <c r="BH14" s="23">
        <f t="shared" si="22"/>
        <v>449.06</v>
      </c>
      <c r="BI14" s="23">
        <f t="shared" si="23"/>
        <v>560.85</v>
      </c>
      <c r="BJ14" s="23">
        <f t="shared" si="24"/>
        <v>0</v>
      </c>
      <c r="BK14" s="23">
        <f t="shared" si="25"/>
        <v>0</v>
      </c>
      <c r="BL14" s="23">
        <f t="shared" si="26"/>
        <v>341.98</v>
      </c>
      <c r="BM14" s="23">
        <f t="shared" si="27"/>
        <v>0</v>
      </c>
      <c r="BN14" s="23">
        <f t="shared" si="28"/>
        <v>0</v>
      </c>
      <c r="BO14" s="23">
        <f t="shared" si="29"/>
        <v>0</v>
      </c>
      <c r="BP14" s="23">
        <f t="shared" si="30"/>
        <v>0</v>
      </c>
      <c r="BQ14" s="23">
        <f t="shared" si="31"/>
        <v>0</v>
      </c>
      <c r="BR14" s="23">
        <f t="shared" si="32"/>
        <v>157.55000000000001</v>
      </c>
      <c r="BS14" s="23">
        <f t="shared" si="33"/>
        <v>0</v>
      </c>
      <c r="BT14" s="23">
        <f t="shared" si="34"/>
        <v>-111.79</v>
      </c>
      <c r="BU14" s="23">
        <f t="shared" si="34"/>
        <v>172.8</v>
      </c>
      <c r="BV14" s="23">
        <f t="shared" si="34"/>
        <v>4750.6400000000003</v>
      </c>
      <c r="BW14" s="23">
        <f t="shared" si="34"/>
        <v>3260.5</v>
      </c>
      <c r="BX14" s="23">
        <f t="shared" si="34"/>
        <v>3377.96</v>
      </c>
      <c r="BY14" t="s">
        <v>268</v>
      </c>
      <c r="CB14" s="36">
        <v>0.02</v>
      </c>
      <c r="CC14" s="36">
        <v>0.04</v>
      </c>
      <c r="CD14" s="36">
        <v>1E-3</v>
      </c>
      <c r="CE14" t="s">
        <v>266</v>
      </c>
      <c r="CF14" t="s">
        <v>267</v>
      </c>
      <c r="CG14" t="s">
        <v>266</v>
      </c>
      <c r="CH14" t="s">
        <v>267</v>
      </c>
      <c r="CI14" t="s">
        <v>266</v>
      </c>
      <c r="CJ14" t="s">
        <v>267</v>
      </c>
      <c r="CK14" t="s">
        <v>267</v>
      </c>
      <c r="CL14" t="s">
        <v>266</v>
      </c>
      <c r="CM14" t="s">
        <v>285</v>
      </c>
      <c r="CN14" t="s">
        <v>285</v>
      </c>
      <c r="CO14" t="s">
        <v>285</v>
      </c>
      <c r="CP14" t="s">
        <v>303</v>
      </c>
    </row>
    <row r="15" spans="1:95" x14ac:dyDescent="0.25">
      <c r="A15" s="2" t="s">
        <v>21</v>
      </c>
      <c r="B15" s="17">
        <v>14.350000000000001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7.9250000000000007</v>
      </c>
      <c r="M15" s="17">
        <v>0</v>
      </c>
      <c r="N15" s="17">
        <v>0</v>
      </c>
      <c r="O15" s="17">
        <v>41.749999999999993</v>
      </c>
      <c r="P15" s="17">
        <v>6.35</v>
      </c>
      <c r="Q15" s="17">
        <v>0</v>
      </c>
      <c r="R15" s="17">
        <v>5.125</v>
      </c>
      <c r="S15" s="17">
        <v>0</v>
      </c>
      <c r="T15" s="17">
        <v>0</v>
      </c>
      <c r="U15" s="17">
        <v>0</v>
      </c>
      <c r="V15" s="17">
        <f t="shared" si="35"/>
        <v>75.499999999999986</v>
      </c>
      <c r="W15" s="18">
        <v>98.899999999999991</v>
      </c>
      <c r="X15" s="17">
        <v>0</v>
      </c>
      <c r="Y15" s="17">
        <v>0</v>
      </c>
      <c r="Z15" s="19">
        <v>60.999999999999993</v>
      </c>
      <c r="AA15" s="17">
        <v>0</v>
      </c>
      <c r="AB15" s="17">
        <v>0</v>
      </c>
      <c r="AC15" s="17">
        <v>0</v>
      </c>
      <c r="AD15" s="17">
        <v>0</v>
      </c>
      <c r="AE15" s="17">
        <v>0</v>
      </c>
      <c r="AF15" s="19">
        <v>26.624999999999996</v>
      </c>
      <c r="AG15" s="17">
        <v>0</v>
      </c>
      <c r="AH15" s="17">
        <f t="shared" si="36"/>
        <v>-23.400000000000006</v>
      </c>
      <c r="AI15" s="20">
        <v>36.049999999999997</v>
      </c>
      <c r="AJ15" s="21">
        <v>823.49360801382545</v>
      </c>
      <c r="AK15" s="22">
        <v>540.68923965276849</v>
      </c>
      <c r="AL15" s="22">
        <v>529.20013353379386</v>
      </c>
      <c r="AM15" s="16">
        <v>16.3</v>
      </c>
      <c r="AN15" s="23">
        <f t="shared" si="2"/>
        <v>88.04</v>
      </c>
      <c r="AO15" s="23">
        <f t="shared" si="3"/>
        <v>0</v>
      </c>
      <c r="AP15" s="23">
        <f t="shared" si="4"/>
        <v>0</v>
      </c>
      <c r="AQ15" s="23">
        <f t="shared" si="5"/>
        <v>0</v>
      </c>
      <c r="AR15" s="23">
        <f t="shared" si="6"/>
        <v>0</v>
      </c>
      <c r="AS15" s="23">
        <f t="shared" si="7"/>
        <v>0</v>
      </c>
      <c r="AT15" s="23">
        <f t="shared" si="8"/>
        <v>0</v>
      </c>
      <c r="AU15" s="23">
        <f t="shared" si="9"/>
        <v>0</v>
      </c>
      <c r="AV15" s="23">
        <f t="shared" si="10"/>
        <v>0</v>
      </c>
      <c r="AW15" s="23">
        <f t="shared" si="11"/>
        <v>0</v>
      </c>
      <c r="AX15" s="23">
        <f t="shared" si="12"/>
        <v>48.62</v>
      </c>
      <c r="AY15" s="23">
        <f t="shared" si="13"/>
        <v>0</v>
      </c>
      <c r="AZ15" s="23">
        <f t="shared" si="14"/>
        <v>0</v>
      </c>
      <c r="BA15" s="23">
        <f t="shared" si="15"/>
        <v>256.13</v>
      </c>
      <c r="BB15" s="23">
        <f t="shared" si="16"/>
        <v>38.96</v>
      </c>
      <c r="BC15" s="23">
        <f t="shared" si="17"/>
        <v>0</v>
      </c>
      <c r="BD15" s="23">
        <f t="shared" si="18"/>
        <v>31.44</v>
      </c>
      <c r="BE15" s="23">
        <f t="shared" si="19"/>
        <v>0</v>
      </c>
      <c r="BF15" s="23">
        <f t="shared" si="20"/>
        <v>0</v>
      </c>
      <c r="BG15" s="23">
        <f t="shared" si="21"/>
        <v>0</v>
      </c>
      <c r="BH15" s="23">
        <f t="shared" si="22"/>
        <v>463.19</v>
      </c>
      <c r="BI15" s="23">
        <f t="shared" si="23"/>
        <v>606.75</v>
      </c>
      <c r="BJ15" s="23">
        <f t="shared" si="24"/>
        <v>0</v>
      </c>
      <c r="BK15" s="23">
        <f t="shared" si="25"/>
        <v>0</v>
      </c>
      <c r="BL15" s="23">
        <f t="shared" si="26"/>
        <v>374.23</v>
      </c>
      <c r="BM15" s="23">
        <f t="shared" si="27"/>
        <v>0</v>
      </c>
      <c r="BN15" s="23">
        <f t="shared" si="28"/>
        <v>0</v>
      </c>
      <c r="BO15" s="23">
        <f t="shared" si="29"/>
        <v>0</v>
      </c>
      <c r="BP15" s="23">
        <f t="shared" si="30"/>
        <v>0</v>
      </c>
      <c r="BQ15" s="23">
        <f t="shared" si="31"/>
        <v>0</v>
      </c>
      <c r="BR15" s="23">
        <f t="shared" si="32"/>
        <v>163.34</v>
      </c>
      <c r="BS15" s="23">
        <f t="shared" si="33"/>
        <v>0</v>
      </c>
      <c r="BT15" s="23">
        <f t="shared" si="34"/>
        <v>-143.56</v>
      </c>
      <c r="BU15" s="23">
        <f t="shared" si="34"/>
        <v>221.17</v>
      </c>
      <c r="BV15" s="23">
        <f t="shared" si="34"/>
        <v>5052.1099999999997</v>
      </c>
      <c r="BW15" s="23">
        <f t="shared" si="34"/>
        <v>3317.11</v>
      </c>
      <c r="BX15" s="23">
        <f t="shared" si="34"/>
        <v>3246.63</v>
      </c>
      <c r="BY15" t="s">
        <v>268</v>
      </c>
      <c r="CB15" s="36">
        <v>0.02</v>
      </c>
      <c r="CC15" s="36">
        <v>0.04</v>
      </c>
      <c r="CD15" s="36">
        <v>1E-3</v>
      </c>
      <c r="CE15" t="s">
        <v>266</v>
      </c>
      <c r="CF15" t="s">
        <v>267</v>
      </c>
      <c r="CG15" t="s">
        <v>266</v>
      </c>
      <c r="CH15" t="s">
        <v>267</v>
      </c>
      <c r="CI15" t="s">
        <v>266</v>
      </c>
      <c r="CJ15" t="s">
        <v>267</v>
      </c>
      <c r="CK15" t="s">
        <v>267</v>
      </c>
      <c r="CL15" t="s">
        <v>266</v>
      </c>
      <c r="CM15" t="s">
        <v>285</v>
      </c>
      <c r="CN15" t="s">
        <v>285</v>
      </c>
      <c r="CO15" t="s">
        <v>285</v>
      </c>
      <c r="CP15" t="s">
        <v>303</v>
      </c>
    </row>
    <row r="16" spans="1:95" x14ac:dyDescent="0.25">
      <c r="A16" s="2" t="s">
        <v>22</v>
      </c>
      <c r="B16" s="17">
        <v>14.525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8.375</v>
      </c>
      <c r="M16" s="17">
        <v>0</v>
      </c>
      <c r="N16" s="17">
        <v>0</v>
      </c>
      <c r="O16" s="17">
        <v>44</v>
      </c>
      <c r="P16" s="17">
        <v>6.55</v>
      </c>
      <c r="Q16" s="17">
        <v>0</v>
      </c>
      <c r="R16" s="17">
        <v>4.7500000000000142</v>
      </c>
      <c r="S16" s="17">
        <v>0</v>
      </c>
      <c r="T16" s="17">
        <v>0</v>
      </c>
      <c r="U16" s="17">
        <v>0</v>
      </c>
      <c r="V16" s="17">
        <f t="shared" si="35"/>
        <v>78.200000000000017</v>
      </c>
      <c r="W16" s="18">
        <v>111.625</v>
      </c>
      <c r="X16" s="17">
        <v>0</v>
      </c>
      <c r="Y16" s="17">
        <v>0</v>
      </c>
      <c r="Z16" s="19">
        <v>72.174999999999997</v>
      </c>
      <c r="AA16" s="17">
        <v>0</v>
      </c>
      <c r="AB16" s="17">
        <v>0</v>
      </c>
      <c r="AC16" s="17">
        <v>0</v>
      </c>
      <c r="AD16" s="17">
        <v>0</v>
      </c>
      <c r="AE16" s="17">
        <v>0</v>
      </c>
      <c r="AF16" s="19">
        <v>27.975000000000001</v>
      </c>
      <c r="AG16" s="17">
        <v>0</v>
      </c>
      <c r="AH16" s="17">
        <f t="shared" si="36"/>
        <v>-33.424999999999983</v>
      </c>
      <c r="AI16" s="20">
        <v>31.35</v>
      </c>
      <c r="AJ16" s="21">
        <v>855.28645824487296</v>
      </c>
      <c r="AK16" s="22">
        <v>527.5376320724049</v>
      </c>
      <c r="AL16" s="22">
        <v>535.7017352686014</v>
      </c>
      <c r="AM16" s="16">
        <v>14.2</v>
      </c>
      <c r="AN16" s="23">
        <f t="shared" si="2"/>
        <v>102.29</v>
      </c>
      <c r="AO16" s="23">
        <f t="shared" si="3"/>
        <v>0</v>
      </c>
      <c r="AP16" s="23">
        <f t="shared" si="4"/>
        <v>0</v>
      </c>
      <c r="AQ16" s="23">
        <f t="shared" si="5"/>
        <v>0</v>
      </c>
      <c r="AR16" s="23">
        <f t="shared" si="6"/>
        <v>0</v>
      </c>
      <c r="AS16" s="23">
        <f t="shared" si="7"/>
        <v>0</v>
      </c>
      <c r="AT16" s="23">
        <f t="shared" si="8"/>
        <v>0</v>
      </c>
      <c r="AU16" s="23">
        <f t="shared" si="9"/>
        <v>0</v>
      </c>
      <c r="AV16" s="23">
        <f t="shared" si="10"/>
        <v>0</v>
      </c>
      <c r="AW16" s="23">
        <f t="shared" si="11"/>
        <v>0</v>
      </c>
      <c r="AX16" s="23">
        <f t="shared" si="12"/>
        <v>58.98</v>
      </c>
      <c r="AY16" s="23">
        <f t="shared" si="13"/>
        <v>0</v>
      </c>
      <c r="AZ16" s="23">
        <f t="shared" si="14"/>
        <v>0</v>
      </c>
      <c r="BA16" s="23">
        <f t="shared" si="15"/>
        <v>309.86</v>
      </c>
      <c r="BB16" s="23">
        <f t="shared" si="16"/>
        <v>46.13</v>
      </c>
      <c r="BC16" s="23">
        <f t="shared" si="17"/>
        <v>0</v>
      </c>
      <c r="BD16" s="23">
        <f t="shared" si="18"/>
        <v>33.450000000000003</v>
      </c>
      <c r="BE16" s="23">
        <f t="shared" si="19"/>
        <v>0</v>
      </c>
      <c r="BF16" s="23">
        <f t="shared" si="20"/>
        <v>0</v>
      </c>
      <c r="BG16" s="23">
        <f t="shared" si="21"/>
        <v>0</v>
      </c>
      <c r="BH16" s="23">
        <f t="shared" si="22"/>
        <v>550.70000000000005</v>
      </c>
      <c r="BI16" s="23">
        <f t="shared" si="23"/>
        <v>786.09</v>
      </c>
      <c r="BJ16" s="23">
        <f t="shared" si="24"/>
        <v>0</v>
      </c>
      <c r="BK16" s="23">
        <f t="shared" si="25"/>
        <v>0</v>
      </c>
      <c r="BL16" s="23">
        <f t="shared" si="26"/>
        <v>508.27</v>
      </c>
      <c r="BM16" s="23">
        <f t="shared" si="27"/>
        <v>0</v>
      </c>
      <c r="BN16" s="23">
        <f t="shared" si="28"/>
        <v>0</v>
      </c>
      <c r="BO16" s="23">
        <f t="shared" si="29"/>
        <v>0</v>
      </c>
      <c r="BP16" s="23">
        <f t="shared" si="30"/>
        <v>0</v>
      </c>
      <c r="BQ16" s="23">
        <f t="shared" si="31"/>
        <v>0</v>
      </c>
      <c r="BR16" s="23">
        <f t="shared" si="32"/>
        <v>197.01</v>
      </c>
      <c r="BS16" s="23">
        <f t="shared" si="33"/>
        <v>0</v>
      </c>
      <c r="BT16" s="23">
        <f t="shared" si="34"/>
        <v>-235.39</v>
      </c>
      <c r="BU16" s="23">
        <f t="shared" si="34"/>
        <v>220.77</v>
      </c>
      <c r="BV16" s="23">
        <f t="shared" si="34"/>
        <v>6023.14</v>
      </c>
      <c r="BW16" s="23">
        <f t="shared" si="34"/>
        <v>3715.05</v>
      </c>
      <c r="BX16" s="23">
        <f t="shared" si="34"/>
        <v>3772.55</v>
      </c>
      <c r="BY16" t="s">
        <v>268</v>
      </c>
      <c r="CB16" s="36">
        <v>0.02</v>
      </c>
      <c r="CC16" s="36">
        <v>0.04</v>
      </c>
      <c r="CD16" s="36">
        <v>1E-3</v>
      </c>
      <c r="CE16" t="s">
        <v>266</v>
      </c>
      <c r="CF16" t="s">
        <v>267</v>
      </c>
      <c r="CG16" t="s">
        <v>266</v>
      </c>
      <c r="CH16" t="s">
        <v>267</v>
      </c>
      <c r="CI16" t="s">
        <v>266</v>
      </c>
      <c r="CJ16" t="s">
        <v>267</v>
      </c>
      <c r="CK16" t="s">
        <v>267</v>
      </c>
      <c r="CL16" t="s">
        <v>266</v>
      </c>
      <c r="CM16" t="s">
        <v>285</v>
      </c>
      <c r="CN16" t="s">
        <v>285</v>
      </c>
      <c r="CO16" t="s">
        <v>285</v>
      </c>
      <c r="CP16" t="s">
        <v>303</v>
      </c>
      <c r="CQ16" t="s">
        <v>303</v>
      </c>
    </row>
    <row r="17" spans="1:95" x14ac:dyDescent="0.25">
      <c r="A17" s="2" t="s">
        <v>23</v>
      </c>
      <c r="B17" s="17">
        <v>13.899999999999999</v>
      </c>
      <c r="C17" s="17">
        <v>0</v>
      </c>
      <c r="D17" s="17">
        <v>0</v>
      </c>
      <c r="E17" s="17">
        <v>0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0</v>
      </c>
      <c r="L17" s="17">
        <v>8.9499999999999993</v>
      </c>
      <c r="M17" s="17">
        <v>0</v>
      </c>
      <c r="N17" s="17">
        <v>0</v>
      </c>
      <c r="O17" s="17">
        <v>42.750000000000007</v>
      </c>
      <c r="P17" s="17">
        <v>6.7250000000000005</v>
      </c>
      <c r="Q17" s="17">
        <v>0</v>
      </c>
      <c r="R17" s="17">
        <v>4.2999999999999972</v>
      </c>
      <c r="S17" s="17">
        <v>0</v>
      </c>
      <c r="T17" s="17">
        <v>0</v>
      </c>
      <c r="U17" s="17">
        <v>0</v>
      </c>
      <c r="V17" s="17">
        <f t="shared" si="35"/>
        <v>76.625</v>
      </c>
      <c r="W17" s="18">
        <v>109.55000000000001</v>
      </c>
      <c r="X17" s="17">
        <v>0</v>
      </c>
      <c r="Y17" s="17">
        <v>0</v>
      </c>
      <c r="Z17" s="19">
        <v>68.400000000000006</v>
      </c>
      <c r="AA17" s="17">
        <v>0</v>
      </c>
      <c r="AB17" s="17">
        <v>0</v>
      </c>
      <c r="AC17" s="17">
        <v>0</v>
      </c>
      <c r="AD17" s="17">
        <v>0</v>
      </c>
      <c r="AE17" s="17">
        <v>0</v>
      </c>
      <c r="AF17" s="19">
        <v>30.55</v>
      </c>
      <c r="AG17" s="17">
        <v>0</v>
      </c>
      <c r="AH17" s="17">
        <f t="shared" si="36"/>
        <v>-32.925000000000011</v>
      </c>
      <c r="AI17" s="20">
        <v>15.825000000000003</v>
      </c>
      <c r="AJ17" s="21">
        <v>887.96047853424182</v>
      </c>
      <c r="AK17" s="22">
        <v>525.46174021962725</v>
      </c>
      <c r="AL17" s="22">
        <v>496.81764692548211</v>
      </c>
      <c r="AM17" s="16">
        <v>12.7</v>
      </c>
      <c r="AN17" s="23">
        <f t="shared" si="2"/>
        <v>109.45</v>
      </c>
      <c r="AO17" s="23">
        <f t="shared" si="3"/>
        <v>0</v>
      </c>
      <c r="AP17" s="23">
        <f t="shared" si="4"/>
        <v>0</v>
      </c>
      <c r="AQ17" s="23">
        <f t="shared" si="5"/>
        <v>0</v>
      </c>
      <c r="AR17" s="23">
        <f t="shared" si="6"/>
        <v>0</v>
      </c>
      <c r="AS17" s="23">
        <f t="shared" si="7"/>
        <v>0</v>
      </c>
      <c r="AT17" s="23">
        <f t="shared" si="8"/>
        <v>0</v>
      </c>
      <c r="AU17" s="23">
        <f t="shared" si="9"/>
        <v>0</v>
      </c>
      <c r="AV17" s="23">
        <f t="shared" si="10"/>
        <v>0</v>
      </c>
      <c r="AW17" s="23">
        <f t="shared" si="11"/>
        <v>0</v>
      </c>
      <c r="AX17" s="23">
        <f t="shared" si="12"/>
        <v>70.47</v>
      </c>
      <c r="AY17" s="23">
        <f t="shared" si="13"/>
        <v>0</v>
      </c>
      <c r="AZ17" s="23">
        <f t="shared" si="14"/>
        <v>0</v>
      </c>
      <c r="BA17" s="23">
        <f t="shared" si="15"/>
        <v>336.61</v>
      </c>
      <c r="BB17" s="23">
        <f t="shared" si="16"/>
        <v>52.95</v>
      </c>
      <c r="BC17" s="23">
        <f t="shared" si="17"/>
        <v>0</v>
      </c>
      <c r="BD17" s="23">
        <f t="shared" si="18"/>
        <v>33.86</v>
      </c>
      <c r="BE17" s="23">
        <f t="shared" si="19"/>
        <v>0</v>
      </c>
      <c r="BF17" s="23">
        <f t="shared" si="20"/>
        <v>0</v>
      </c>
      <c r="BG17" s="23">
        <f t="shared" si="21"/>
        <v>0</v>
      </c>
      <c r="BH17" s="23">
        <f t="shared" si="22"/>
        <v>603.35</v>
      </c>
      <c r="BI17" s="23">
        <f t="shared" si="23"/>
        <v>862.6</v>
      </c>
      <c r="BJ17" s="23">
        <f t="shared" si="24"/>
        <v>0</v>
      </c>
      <c r="BK17" s="23">
        <f t="shared" si="25"/>
        <v>0</v>
      </c>
      <c r="BL17" s="23">
        <f t="shared" si="26"/>
        <v>538.58000000000004</v>
      </c>
      <c r="BM17" s="23">
        <f t="shared" si="27"/>
        <v>0</v>
      </c>
      <c r="BN17" s="23">
        <f t="shared" si="28"/>
        <v>0</v>
      </c>
      <c r="BO17" s="23">
        <f t="shared" si="29"/>
        <v>0</v>
      </c>
      <c r="BP17" s="23">
        <f t="shared" si="30"/>
        <v>0</v>
      </c>
      <c r="BQ17" s="23">
        <f t="shared" si="31"/>
        <v>0</v>
      </c>
      <c r="BR17" s="23">
        <f t="shared" si="32"/>
        <v>240.55</v>
      </c>
      <c r="BS17" s="23">
        <f t="shared" si="33"/>
        <v>0</v>
      </c>
      <c r="BT17" s="23">
        <f t="shared" si="34"/>
        <v>-259.25</v>
      </c>
      <c r="BU17" s="23">
        <f t="shared" si="34"/>
        <v>124.61</v>
      </c>
      <c r="BV17" s="23">
        <f t="shared" si="34"/>
        <v>6991.81</v>
      </c>
      <c r="BW17" s="23">
        <f t="shared" si="34"/>
        <v>4137.49</v>
      </c>
      <c r="BX17" s="23">
        <f t="shared" si="34"/>
        <v>3911.95</v>
      </c>
      <c r="BY17" t="s">
        <v>268</v>
      </c>
      <c r="CB17" s="36">
        <v>0.02</v>
      </c>
      <c r="CC17" s="36">
        <v>0.04</v>
      </c>
      <c r="CD17" s="36">
        <v>1E-3</v>
      </c>
      <c r="CE17" t="s">
        <v>266</v>
      </c>
      <c r="CF17" t="s">
        <v>267</v>
      </c>
      <c r="CG17" t="s">
        <v>266</v>
      </c>
      <c r="CH17" t="s">
        <v>267</v>
      </c>
      <c r="CI17" t="s">
        <v>266</v>
      </c>
      <c r="CJ17" t="s">
        <v>267</v>
      </c>
      <c r="CK17" t="s">
        <v>267</v>
      </c>
      <c r="CL17" t="s">
        <v>266</v>
      </c>
      <c r="CM17" t="s">
        <v>285</v>
      </c>
      <c r="CN17" t="s">
        <v>285</v>
      </c>
      <c r="CO17" t="s">
        <v>285</v>
      </c>
      <c r="CP17" t="s">
        <v>303</v>
      </c>
      <c r="CQ17" t="s">
        <v>303</v>
      </c>
    </row>
    <row r="18" spans="1:95" x14ac:dyDescent="0.25">
      <c r="A18" s="2" t="s">
        <v>24</v>
      </c>
      <c r="B18" s="17">
        <v>9.4250000000000007</v>
      </c>
      <c r="C18" s="17">
        <v>0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7.5249999999999995</v>
      </c>
      <c r="M18" s="17">
        <v>0</v>
      </c>
      <c r="N18" s="17">
        <v>0</v>
      </c>
      <c r="O18" s="17">
        <v>38.249999999999993</v>
      </c>
      <c r="P18" s="17">
        <v>6.8999999999999995</v>
      </c>
      <c r="Q18" s="17">
        <v>0</v>
      </c>
      <c r="R18" s="17">
        <v>4.2000000000000171</v>
      </c>
      <c r="S18" s="17">
        <v>0</v>
      </c>
      <c r="T18" s="17">
        <v>0</v>
      </c>
      <c r="U18" s="17">
        <v>0</v>
      </c>
      <c r="V18" s="17">
        <f t="shared" si="35"/>
        <v>66.300000000000011</v>
      </c>
      <c r="W18" s="18">
        <v>92.45</v>
      </c>
      <c r="X18" s="17">
        <v>0</v>
      </c>
      <c r="Y18" s="17">
        <v>0</v>
      </c>
      <c r="Z18" s="19">
        <v>49.35</v>
      </c>
      <c r="AA18" s="17">
        <v>0</v>
      </c>
      <c r="AB18" s="17">
        <v>0</v>
      </c>
      <c r="AC18" s="17">
        <v>0</v>
      </c>
      <c r="AD18" s="17">
        <v>0</v>
      </c>
      <c r="AE18" s="17">
        <v>0</v>
      </c>
      <c r="AF18" s="19">
        <v>32.375</v>
      </c>
      <c r="AG18" s="17">
        <v>0</v>
      </c>
      <c r="AH18" s="17">
        <f t="shared" si="36"/>
        <v>-26.149999999999991</v>
      </c>
      <c r="AI18" s="20">
        <v>1.8499999999999961</v>
      </c>
      <c r="AJ18" s="21">
        <v>884.01425013158951</v>
      </c>
      <c r="AK18" s="22">
        <v>486.90852336769831</v>
      </c>
      <c r="AL18" s="22">
        <v>495.73436954627584</v>
      </c>
      <c r="AM18" s="16">
        <v>11.6</v>
      </c>
      <c r="AN18" s="23">
        <f t="shared" si="2"/>
        <v>81.25</v>
      </c>
      <c r="AO18" s="23">
        <f t="shared" si="3"/>
        <v>0</v>
      </c>
      <c r="AP18" s="23">
        <f t="shared" si="4"/>
        <v>0</v>
      </c>
      <c r="AQ18" s="23">
        <f t="shared" si="5"/>
        <v>0</v>
      </c>
      <c r="AR18" s="23">
        <f t="shared" si="6"/>
        <v>0</v>
      </c>
      <c r="AS18" s="23">
        <f t="shared" si="7"/>
        <v>0</v>
      </c>
      <c r="AT18" s="23">
        <f t="shared" si="8"/>
        <v>0</v>
      </c>
      <c r="AU18" s="23">
        <f t="shared" si="9"/>
        <v>0</v>
      </c>
      <c r="AV18" s="23">
        <f t="shared" si="10"/>
        <v>0</v>
      </c>
      <c r="AW18" s="23">
        <f t="shared" si="11"/>
        <v>0</v>
      </c>
      <c r="AX18" s="23">
        <f t="shared" si="12"/>
        <v>64.87</v>
      </c>
      <c r="AY18" s="23">
        <f t="shared" si="13"/>
        <v>0</v>
      </c>
      <c r="AZ18" s="23">
        <f t="shared" si="14"/>
        <v>0</v>
      </c>
      <c r="BA18" s="23">
        <f t="shared" si="15"/>
        <v>329.74</v>
      </c>
      <c r="BB18" s="23">
        <f t="shared" si="16"/>
        <v>59.48</v>
      </c>
      <c r="BC18" s="23">
        <f t="shared" si="17"/>
        <v>0</v>
      </c>
      <c r="BD18" s="23">
        <f t="shared" si="18"/>
        <v>36.21</v>
      </c>
      <c r="BE18" s="23">
        <f t="shared" si="19"/>
        <v>0</v>
      </c>
      <c r="BF18" s="23">
        <f t="shared" si="20"/>
        <v>0</v>
      </c>
      <c r="BG18" s="23">
        <f t="shared" si="21"/>
        <v>0</v>
      </c>
      <c r="BH18" s="23">
        <f t="shared" si="22"/>
        <v>571.54999999999995</v>
      </c>
      <c r="BI18" s="23">
        <f t="shared" si="23"/>
        <v>796.98</v>
      </c>
      <c r="BJ18" s="23">
        <f t="shared" si="24"/>
        <v>0</v>
      </c>
      <c r="BK18" s="23">
        <f t="shared" si="25"/>
        <v>0</v>
      </c>
      <c r="BL18" s="23">
        <f t="shared" si="26"/>
        <v>425.43</v>
      </c>
      <c r="BM18" s="23">
        <f t="shared" si="27"/>
        <v>0</v>
      </c>
      <c r="BN18" s="23">
        <f t="shared" si="28"/>
        <v>0</v>
      </c>
      <c r="BO18" s="23">
        <f t="shared" si="29"/>
        <v>0</v>
      </c>
      <c r="BP18" s="23">
        <f t="shared" si="30"/>
        <v>0</v>
      </c>
      <c r="BQ18" s="23">
        <f t="shared" si="31"/>
        <v>0</v>
      </c>
      <c r="BR18" s="23">
        <f t="shared" si="32"/>
        <v>279.08999999999997</v>
      </c>
      <c r="BS18" s="23">
        <f t="shared" si="33"/>
        <v>0</v>
      </c>
      <c r="BT18" s="23">
        <f t="shared" ref="BT18:BX33" si="37">_xlfn.SINGLE(ROUND((AH18/$AM18)*100,2))</f>
        <v>-225.43</v>
      </c>
      <c r="BU18" s="23">
        <f t="shared" si="37"/>
        <v>15.95</v>
      </c>
      <c r="BV18" s="23">
        <f t="shared" si="37"/>
        <v>7620.81</v>
      </c>
      <c r="BW18" s="23">
        <f t="shared" si="37"/>
        <v>4197.49</v>
      </c>
      <c r="BX18" s="23">
        <f t="shared" si="37"/>
        <v>4273.57</v>
      </c>
      <c r="BY18" t="s">
        <v>268</v>
      </c>
      <c r="CB18" s="36">
        <v>0.02</v>
      </c>
      <c r="CC18" s="36">
        <v>0.04</v>
      </c>
      <c r="CD18" s="36">
        <v>1E-3</v>
      </c>
      <c r="CE18" t="s">
        <v>266</v>
      </c>
      <c r="CF18" t="s">
        <v>267</v>
      </c>
      <c r="CG18" t="s">
        <v>266</v>
      </c>
      <c r="CH18" t="s">
        <v>267</v>
      </c>
      <c r="CI18" t="s">
        <v>266</v>
      </c>
      <c r="CJ18" t="s">
        <v>267</v>
      </c>
      <c r="CK18" t="s">
        <v>267</v>
      </c>
      <c r="CL18" t="s">
        <v>266</v>
      </c>
      <c r="CM18" t="s">
        <v>285</v>
      </c>
      <c r="CN18" t="s">
        <v>285</v>
      </c>
      <c r="CO18" t="s">
        <v>285</v>
      </c>
      <c r="CP18" t="s">
        <v>303</v>
      </c>
      <c r="CQ18" t="s">
        <v>303</v>
      </c>
    </row>
    <row r="19" spans="1:95" x14ac:dyDescent="0.25">
      <c r="A19" s="2" t="s">
        <v>25</v>
      </c>
      <c r="B19" s="17">
        <v>1.8749999999999998</v>
      </c>
      <c r="C19" s="17">
        <v>0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8.1999999999999993</v>
      </c>
      <c r="M19" s="17">
        <v>0</v>
      </c>
      <c r="N19" s="17">
        <v>0</v>
      </c>
      <c r="O19" s="17">
        <v>37</v>
      </c>
      <c r="P19" s="17">
        <v>7.2</v>
      </c>
      <c r="Q19" s="17">
        <v>0</v>
      </c>
      <c r="R19" s="17">
        <v>3.7999999999999972</v>
      </c>
      <c r="S19" s="17">
        <v>0</v>
      </c>
      <c r="T19" s="17">
        <v>0</v>
      </c>
      <c r="U19" s="17">
        <v>0</v>
      </c>
      <c r="V19" s="17">
        <f t="shared" si="35"/>
        <v>58.075000000000003</v>
      </c>
      <c r="W19" s="18">
        <v>68.149999999999991</v>
      </c>
      <c r="X19" s="17">
        <v>0</v>
      </c>
      <c r="Y19" s="17">
        <v>0</v>
      </c>
      <c r="Z19" s="19">
        <v>25.574999999999999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19">
        <v>32.549999999999997</v>
      </c>
      <c r="AG19" s="17">
        <v>0</v>
      </c>
      <c r="AH19" s="17">
        <f t="shared" si="36"/>
        <v>-10.074999999999989</v>
      </c>
      <c r="AI19" s="20">
        <v>0.35000000000000142</v>
      </c>
      <c r="AJ19" s="21">
        <v>878.85870678623621</v>
      </c>
      <c r="AK19" s="22">
        <v>504.92567324177679</v>
      </c>
      <c r="AL19" s="22">
        <v>514.4824344542011</v>
      </c>
      <c r="AM19" s="16">
        <v>13.2</v>
      </c>
      <c r="AN19" s="23">
        <f t="shared" si="2"/>
        <v>14.2</v>
      </c>
      <c r="AO19" s="23">
        <f t="shared" si="3"/>
        <v>0</v>
      </c>
      <c r="AP19" s="23">
        <f t="shared" si="4"/>
        <v>0</v>
      </c>
      <c r="AQ19" s="23">
        <f t="shared" si="5"/>
        <v>0</v>
      </c>
      <c r="AR19" s="23">
        <f t="shared" si="6"/>
        <v>0</v>
      </c>
      <c r="AS19" s="23">
        <f t="shared" si="7"/>
        <v>0</v>
      </c>
      <c r="AT19" s="23">
        <f t="shared" si="8"/>
        <v>0</v>
      </c>
      <c r="AU19" s="23">
        <f t="shared" si="9"/>
        <v>0</v>
      </c>
      <c r="AV19" s="23">
        <f t="shared" si="10"/>
        <v>0</v>
      </c>
      <c r="AW19" s="23">
        <f t="shared" si="11"/>
        <v>0</v>
      </c>
      <c r="AX19" s="23">
        <f t="shared" si="12"/>
        <v>62.12</v>
      </c>
      <c r="AY19" s="23">
        <f t="shared" si="13"/>
        <v>0</v>
      </c>
      <c r="AZ19" s="23">
        <f t="shared" si="14"/>
        <v>0</v>
      </c>
      <c r="BA19" s="23">
        <f t="shared" si="15"/>
        <v>280.3</v>
      </c>
      <c r="BB19" s="23">
        <f t="shared" si="16"/>
        <v>54.55</v>
      </c>
      <c r="BC19" s="23">
        <f t="shared" si="17"/>
        <v>0</v>
      </c>
      <c r="BD19" s="23">
        <f t="shared" si="18"/>
        <v>28.79</v>
      </c>
      <c r="BE19" s="23">
        <f t="shared" si="19"/>
        <v>0</v>
      </c>
      <c r="BF19" s="23">
        <f t="shared" si="20"/>
        <v>0</v>
      </c>
      <c r="BG19" s="23">
        <f t="shared" si="21"/>
        <v>0</v>
      </c>
      <c r="BH19" s="23">
        <f t="shared" si="22"/>
        <v>439.96</v>
      </c>
      <c r="BI19" s="23">
        <f t="shared" si="23"/>
        <v>516.29</v>
      </c>
      <c r="BJ19" s="23">
        <f t="shared" si="24"/>
        <v>0</v>
      </c>
      <c r="BK19" s="23">
        <f t="shared" si="25"/>
        <v>0</v>
      </c>
      <c r="BL19" s="23">
        <f t="shared" si="26"/>
        <v>193.75</v>
      </c>
      <c r="BM19" s="23">
        <f t="shared" si="27"/>
        <v>0</v>
      </c>
      <c r="BN19" s="23">
        <f t="shared" si="28"/>
        <v>0</v>
      </c>
      <c r="BO19" s="23">
        <f t="shared" si="29"/>
        <v>0</v>
      </c>
      <c r="BP19" s="23">
        <f t="shared" si="30"/>
        <v>0</v>
      </c>
      <c r="BQ19" s="23">
        <f t="shared" si="31"/>
        <v>0</v>
      </c>
      <c r="BR19" s="23">
        <f t="shared" si="32"/>
        <v>246.59</v>
      </c>
      <c r="BS19" s="23">
        <f t="shared" si="33"/>
        <v>0</v>
      </c>
      <c r="BT19" s="23">
        <f t="shared" si="37"/>
        <v>-76.33</v>
      </c>
      <c r="BU19" s="23">
        <f t="shared" si="37"/>
        <v>2.65</v>
      </c>
      <c r="BV19" s="23">
        <f t="shared" si="37"/>
        <v>6658.02</v>
      </c>
      <c r="BW19" s="23">
        <f t="shared" si="37"/>
        <v>3825.19</v>
      </c>
      <c r="BX19" s="23">
        <f t="shared" si="37"/>
        <v>3897.59</v>
      </c>
      <c r="BY19" t="s">
        <v>268</v>
      </c>
      <c r="CB19" s="36">
        <v>0.02</v>
      </c>
      <c r="CC19" s="36">
        <v>0.04</v>
      </c>
      <c r="CD19" s="36">
        <v>1E-3</v>
      </c>
      <c r="CE19" t="s">
        <v>266</v>
      </c>
      <c r="CF19" t="s">
        <v>267</v>
      </c>
      <c r="CG19" t="s">
        <v>266</v>
      </c>
      <c r="CH19" t="s">
        <v>267</v>
      </c>
      <c r="CI19" t="s">
        <v>266</v>
      </c>
      <c r="CJ19" t="s">
        <v>267</v>
      </c>
      <c r="CK19" t="s">
        <v>267</v>
      </c>
      <c r="CL19" t="s">
        <v>266</v>
      </c>
      <c r="CM19" t="s">
        <v>285</v>
      </c>
      <c r="CN19" t="s">
        <v>285</v>
      </c>
      <c r="CO19" t="s">
        <v>285</v>
      </c>
      <c r="CP19" t="s">
        <v>303</v>
      </c>
      <c r="CQ19" t="s">
        <v>303</v>
      </c>
    </row>
    <row r="20" spans="1:95" x14ac:dyDescent="0.25">
      <c r="A20" s="2" t="s">
        <v>26</v>
      </c>
      <c r="B20" s="17">
        <v>0.49999999999999994</v>
      </c>
      <c r="C20" s="17">
        <v>0</v>
      </c>
      <c r="D20" s="17">
        <v>0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8.1999999999999993</v>
      </c>
      <c r="M20" s="17">
        <v>0</v>
      </c>
      <c r="N20" s="17">
        <v>0</v>
      </c>
      <c r="O20" s="17">
        <v>40.000000000000007</v>
      </c>
      <c r="P20" s="17">
        <v>7.15</v>
      </c>
      <c r="Q20" s="17">
        <v>0</v>
      </c>
      <c r="R20" s="17">
        <v>3.2999999999999901</v>
      </c>
      <c r="S20" s="17">
        <v>0</v>
      </c>
      <c r="T20" s="17">
        <v>0</v>
      </c>
      <c r="U20" s="17">
        <v>0</v>
      </c>
      <c r="V20" s="17">
        <f t="shared" si="35"/>
        <v>59.149999999999991</v>
      </c>
      <c r="W20" s="18">
        <v>58.425000000000004</v>
      </c>
      <c r="X20" s="17">
        <v>0</v>
      </c>
      <c r="Y20" s="17">
        <v>0</v>
      </c>
      <c r="Z20" s="19">
        <v>17.2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19">
        <v>31.45</v>
      </c>
      <c r="AG20" s="17">
        <v>0</v>
      </c>
      <c r="AH20" s="17">
        <f t="shared" si="36"/>
        <v>0.72499999999998721</v>
      </c>
      <c r="AI20" s="20">
        <v>1.575</v>
      </c>
      <c r="AJ20" s="21">
        <v>877.09104244275807</v>
      </c>
      <c r="AK20" s="22">
        <v>511.15207996694903</v>
      </c>
      <c r="AL20" s="22">
        <v>494.93460978002048</v>
      </c>
      <c r="AM20" s="16">
        <v>13.2</v>
      </c>
      <c r="AN20" s="23">
        <f t="shared" si="2"/>
        <v>3.79</v>
      </c>
      <c r="AO20" s="23">
        <f t="shared" si="3"/>
        <v>0</v>
      </c>
      <c r="AP20" s="23">
        <f t="shared" si="4"/>
        <v>0</v>
      </c>
      <c r="AQ20" s="23">
        <f t="shared" si="5"/>
        <v>0</v>
      </c>
      <c r="AR20" s="23">
        <f t="shared" si="6"/>
        <v>0</v>
      </c>
      <c r="AS20" s="23">
        <f t="shared" si="7"/>
        <v>0</v>
      </c>
      <c r="AT20" s="23">
        <f t="shared" si="8"/>
        <v>0</v>
      </c>
      <c r="AU20" s="23">
        <f t="shared" si="9"/>
        <v>0</v>
      </c>
      <c r="AV20" s="23">
        <f t="shared" si="10"/>
        <v>0</v>
      </c>
      <c r="AW20" s="23">
        <f t="shared" si="11"/>
        <v>0</v>
      </c>
      <c r="AX20" s="23">
        <f t="shared" si="12"/>
        <v>62.12</v>
      </c>
      <c r="AY20" s="23">
        <f t="shared" si="13"/>
        <v>0</v>
      </c>
      <c r="AZ20" s="23">
        <f t="shared" si="14"/>
        <v>0</v>
      </c>
      <c r="BA20" s="23">
        <f t="shared" si="15"/>
        <v>303.02999999999997</v>
      </c>
      <c r="BB20" s="23">
        <f t="shared" si="16"/>
        <v>54.17</v>
      </c>
      <c r="BC20" s="23">
        <f t="shared" si="17"/>
        <v>0</v>
      </c>
      <c r="BD20" s="23">
        <f t="shared" si="18"/>
        <v>25</v>
      </c>
      <c r="BE20" s="23">
        <f t="shared" si="19"/>
        <v>0</v>
      </c>
      <c r="BF20" s="23">
        <f t="shared" si="20"/>
        <v>0</v>
      </c>
      <c r="BG20" s="23">
        <f t="shared" si="21"/>
        <v>0</v>
      </c>
      <c r="BH20" s="23">
        <f t="shared" si="22"/>
        <v>448.11</v>
      </c>
      <c r="BI20" s="23">
        <f t="shared" si="23"/>
        <v>442.61</v>
      </c>
      <c r="BJ20" s="23">
        <f t="shared" si="24"/>
        <v>0</v>
      </c>
      <c r="BK20" s="23">
        <f t="shared" si="25"/>
        <v>0</v>
      </c>
      <c r="BL20" s="23">
        <f t="shared" si="26"/>
        <v>130.30000000000001</v>
      </c>
      <c r="BM20" s="23">
        <f t="shared" si="27"/>
        <v>0</v>
      </c>
      <c r="BN20" s="23">
        <f t="shared" si="28"/>
        <v>0</v>
      </c>
      <c r="BO20" s="23">
        <f t="shared" si="29"/>
        <v>0</v>
      </c>
      <c r="BP20" s="23">
        <f t="shared" si="30"/>
        <v>0</v>
      </c>
      <c r="BQ20" s="23">
        <f t="shared" si="31"/>
        <v>0</v>
      </c>
      <c r="BR20" s="23">
        <f t="shared" si="32"/>
        <v>238.26</v>
      </c>
      <c r="BS20" s="23">
        <f t="shared" si="33"/>
        <v>0</v>
      </c>
      <c r="BT20" s="23">
        <f t="shared" si="37"/>
        <v>5.49</v>
      </c>
      <c r="BU20" s="23">
        <f t="shared" si="37"/>
        <v>11.93</v>
      </c>
      <c r="BV20" s="23">
        <f t="shared" si="37"/>
        <v>6644.63</v>
      </c>
      <c r="BW20" s="23">
        <f t="shared" si="37"/>
        <v>3872.36</v>
      </c>
      <c r="BX20" s="23">
        <f t="shared" si="37"/>
        <v>3749.5</v>
      </c>
      <c r="BY20" t="s">
        <v>268</v>
      </c>
      <c r="CB20" s="36">
        <v>0.02</v>
      </c>
      <c r="CC20" s="36">
        <v>0.04</v>
      </c>
      <c r="CD20" s="36">
        <v>1E-3</v>
      </c>
      <c r="CE20" t="s">
        <v>266</v>
      </c>
      <c r="CF20" t="s">
        <v>267</v>
      </c>
      <c r="CG20" t="s">
        <v>266</v>
      </c>
      <c r="CH20" t="s">
        <v>267</v>
      </c>
      <c r="CI20" t="s">
        <v>266</v>
      </c>
      <c r="CJ20" t="s">
        <v>267</v>
      </c>
      <c r="CK20" t="s">
        <v>267</v>
      </c>
      <c r="CL20" t="s">
        <v>266</v>
      </c>
      <c r="CM20" t="s">
        <v>285</v>
      </c>
      <c r="CN20" t="s">
        <v>285</v>
      </c>
      <c r="CO20" t="s">
        <v>285</v>
      </c>
      <c r="CP20" t="s">
        <v>303</v>
      </c>
      <c r="CQ20" t="s">
        <v>303</v>
      </c>
    </row>
    <row r="21" spans="1:95" x14ac:dyDescent="0.25">
      <c r="A21" s="2" t="s">
        <v>27</v>
      </c>
      <c r="B21" s="17">
        <v>0.15000000000000002</v>
      </c>
      <c r="C21" s="17">
        <v>0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8.1999999999999993</v>
      </c>
      <c r="M21" s="17">
        <v>0</v>
      </c>
      <c r="N21" s="17">
        <v>0</v>
      </c>
      <c r="O21" s="17">
        <v>40.5</v>
      </c>
      <c r="P21" s="17">
        <v>6.9749999999999996</v>
      </c>
      <c r="Q21" s="17">
        <v>0</v>
      </c>
      <c r="R21" s="17">
        <v>2.7250000000000014</v>
      </c>
      <c r="S21" s="17">
        <v>0</v>
      </c>
      <c r="T21" s="17">
        <v>0</v>
      </c>
      <c r="U21" s="17">
        <v>0</v>
      </c>
      <c r="V21" s="17">
        <f t="shared" si="35"/>
        <v>58.550000000000004</v>
      </c>
      <c r="W21" s="18">
        <v>57.575000000000003</v>
      </c>
      <c r="X21" s="17">
        <v>0</v>
      </c>
      <c r="Y21" s="17">
        <v>0</v>
      </c>
      <c r="Z21" s="19">
        <v>15.95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19">
        <v>31.25</v>
      </c>
      <c r="AG21" s="17">
        <v>0</v>
      </c>
      <c r="AH21" s="17">
        <f t="shared" si="36"/>
        <v>0.97500000000000142</v>
      </c>
      <c r="AI21" s="20">
        <v>0.82500000000000095</v>
      </c>
      <c r="AJ21" s="21">
        <v>873.16346001687612</v>
      </c>
      <c r="AK21" s="22">
        <v>488.60913658900455</v>
      </c>
      <c r="AL21" s="22">
        <v>492.17566039390124</v>
      </c>
      <c r="AM21" s="16">
        <v>12.9</v>
      </c>
      <c r="AN21" s="23">
        <f t="shared" si="2"/>
        <v>1.1599999999999999</v>
      </c>
      <c r="AO21" s="23">
        <f t="shared" si="3"/>
        <v>0</v>
      </c>
      <c r="AP21" s="23">
        <f t="shared" si="4"/>
        <v>0</v>
      </c>
      <c r="AQ21" s="23">
        <f t="shared" si="5"/>
        <v>0</v>
      </c>
      <c r="AR21" s="23">
        <f t="shared" si="6"/>
        <v>0</v>
      </c>
      <c r="AS21" s="23">
        <f t="shared" si="7"/>
        <v>0</v>
      </c>
      <c r="AT21" s="23">
        <f t="shared" si="8"/>
        <v>0</v>
      </c>
      <c r="AU21" s="23">
        <f t="shared" si="9"/>
        <v>0</v>
      </c>
      <c r="AV21" s="23">
        <f t="shared" si="10"/>
        <v>0</v>
      </c>
      <c r="AW21" s="23">
        <f t="shared" si="11"/>
        <v>0</v>
      </c>
      <c r="AX21" s="23">
        <f t="shared" si="12"/>
        <v>63.57</v>
      </c>
      <c r="AY21" s="23">
        <f t="shared" si="13"/>
        <v>0</v>
      </c>
      <c r="AZ21" s="23">
        <f t="shared" si="14"/>
        <v>0</v>
      </c>
      <c r="BA21" s="23">
        <f t="shared" si="15"/>
        <v>313.95</v>
      </c>
      <c r="BB21" s="23">
        <f t="shared" si="16"/>
        <v>54.07</v>
      </c>
      <c r="BC21" s="23">
        <f t="shared" si="17"/>
        <v>0</v>
      </c>
      <c r="BD21" s="23">
        <f t="shared" si="18"/>
        <v>21.12</v>
      </c>
      <c r="BE21" s="23">
        <f t="shared" si="19"/>
        <v>0</v>
      </c>
      <c r="BF21" s="23">
        <f t="shared" si="20"/>
        <v>0</v>
      </c>
      <c r="BG21" s="23">
        <f t="shared" si="21"/>
        <v>0</v>
      </c>
      <c r="BH21" s="23">
        <f t="shared" si="22"/>
        <v>453.88</v>
      </c>
      <c r="BI21" s="23">
        <f t="shared" si="23"/>
        <v>446.32</v>
      </c>
      <c r="BJ21" s="23">
        <f t="shared" si="24"/>
        <v>0</v>
      </c>
      <c r="BK21" s="23">
        <f t="shared" si="25"/>
        <v>0</v>
      </c>
      <c r="BL21" s="23">
        <f t="shared" si="26"/>
        <v>123.64</v>
      </c>
      <c r="BM21" s="23">
        <f t="shared" si="27"/>
        <v>0</v>
      </c>
      <c r="BN21" s="23">
        <f t="shared" si="28"/>
        <v>0</v>
      </c>
      <c r="BO21" s="23">
        <f t="shared" si="29"/>
        <v>0</v>
      </c>
      <c r="BP21" s="23">
        <f t="shared" si="30"/>
        <v>0</v>
      </c>
      <c r="BQ21" s="23">
        <f t="shared" si="31"/>
        <v>0</v>
      </c>
      <c r="BR21" s="23">
        <f t="shared" si="32"/>
        <v>242.25</v>
      </c>
      <c r="BS21" s="23">
        <f t="shared" si="33"/>
        <v>0</v>
      </c>
      <c r="BT21" s="23">
        <f t="shared" si="37"/>
        <v>7.56</v>
      </c>
      <c r="BU21" s="23">
        <f t="shared" si="37"/>
        <v>6.4</v>
      </c>
      <c r="BV21" s="23">
        <f t="shared" si="37"/>
        <v>6768.71</v>
      </c>
      <c r="BW21" s="23">
        <f t="shared" si="37"/>
        <v>3787.67</v>
      </c>
      <c r="BX21" s="23">
        <f t="shared" si="37"/>
        <v>3815.32</v>
      </c>
      <c r="BY21" t="s">
        <v>268</v>
      </c>
      <c r="CB21" s="36">
        <v>0.02</v>
      </c>
      <c r="CC21" s="36">
        <v>0.04</v>
      </c>
      <c r="CD21" s="36">
        <v>1E-3</v>
      </c>
      <c r="CE21" t="s">
        <v>266</v>
      </c>
      <c r="CF21" t="s">
        <v>267</v>
      </c>
      <c r="CG21" t="s">
        <v>266</v>
      </c>
      <c r="CH21" t="s">
        <v>267</v>
      </c>
      <c r="CI21" t="s">
        <v>266</v>
      </c>
      <c r="CJ21" t="s">
        <v>267</v>
      </c>
      <c r="CK21" t="s">
        <v>267</v>
      </c>
      <c r="CL21" t="s">
        <v>266</v>
      </c>
      <c r="CM21" t="s">
        <v>285</v>
      </c>
      <c r="CN21" t="s">
        <v>285</v>
      </c>
      <c r="CO21" t="s">
        <v>285</v>
      </c>
    </row>
    <row r="22" spans="1:95" x14ac:dyDescent="0.25">
      <c r="A22" s="2" t="s">
        <v>28</v>
      </c>
      <c r="B22" s="17">
        <v>0</v>
      </c>
      <c r="C22" s="17">
        <v>0</v>
      </c>
      <c r="D22" s="17">
        <v>0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8.2249999999999996</v>
      </c>
      <c r="M22" s="17">
        <v>0</v>
      </c>
      <c r="N22" s="17">
        <v>0</v>
      </c>
      <c r="O22" s="17">
        <v>42.25</v>
      </c>
      <c r="P22" s="17">
        <v>6.8750000000000009</v>
      </c>
      <c r="Q22" s="17">
        <v>0</v>
      </c>
      <c r="R22" s="17">
        <v>2.9749999999999943</v>
      </c>
      <c r="S22" s="17">
        <v>0</v>
      </c>
      <c r="T22" s="17">
        <v>0</v>
      </c>
      <c r="U22" s="17">
        <v>0</v>
      </c>
      <c r="V22" s="17">
        <f t="shared" si="35"/>
        <v>60.324999999999996</v>
      </c>
      <c r="W22" s="18">
        <v>57.725000000000001</v>
      </c>
      <c r="X22" s="17">
        <v>0</v>
      </c>
      <c r="Y22" s="17">
        <v>0</v>
      </c>
      <c r="Z22" s="19">
        <v>16.700000000000003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19">
        <v>31.325000000000006</v>
      </c>
      <c r="AG22" s="17">
        <v>0</v>
      </c>
      <c r="AH22" s="17">
        <f t="shared" si="36"/>
        <v>2.5999999999999943</v>
      </c>
      <c r="AI22" s="20">
        <v>1.925</v>
      </c>
      <c r="AJ22" s="21">
        <v>871.90185090961347</v>
      </c>
      <c r="AK22" s="22">
        <v>489.11022150841472</v>
      </c>
      <c r="AL22" s="22">
        <v>479.41281993254518</v>
      </c>
      <c r="AM22" s="16">
        <v>11.7</v>
      </c>
      <c r="AN22" s="23">
        <f t="shared" si="2"/>
        <v>0</v>
      </c>
      <c r="AO22" s="23">
        <f t="shared" si="3"/>
        <v>0</v>
      </c>
      <c r="AP22" s="23">
        <f t="shared" si="4"/>
        <v>0</v>
      </c>
      <c r="AQ22" s="23">
        <f t="shared" si="5"/>
        <v>0</v>
      </c>
      <c r="AR22" s="23">
        <f t="shared" si="6"/>
        <v>0</v>
      </c>
      <c r="AS22" s="23">
        <f t="shared" si="7"/>
        <v>0</v>
      </c>
      <c r="AT22" s="23">
        <f t="shared" si="8"/>
        <v>0</v>
      </c>
      <c r="AU22" s="23">
        <f t="shared" si="9"/>
        <v>0</v>
      </c>
      <c r="AV22" s="23">
        <f t="shared" si="10"/>
        <v>0</v>
      </c>
      <c r="AW22" s="23">
        <f t="shared" si="11"/>
        <v>0</v>
      </c>
      <c r="AX22" s="23">
        <f t="shared" si="12"/>
        <v>70.3</v>
      </c>
      <c r="AY22" s="23">
        <f t="shared" si="13"/>
        <v>0</v>
      </c>
      <c r="AZ22" s="23">
        <f t="shared" si="14"/>
        <v>0</v>
      </c>
      <c r="BA22" s="23">
        <f t="shared" si="15"/>
        <v>361.11</v>
      </c>
      <c r="BB22" s="23">
        <f t="shared" si="16"/>
        <v>58.76</v>
      </c>
      <c r="BC22" s="23">
        <f t="shared" si="17"/>
        <v>0</v>
      </c>
      <c r="BD22" s="23">
        <f t="shared" si="18"/>
        <v>25.43</v>
      </c>
      <c r="BE22" s="23">
        <f t="shared" si="19"/>
        <v>0</v>
      </c>
      <c r="BF22" s="23">
        <f t="shared" si="20"/>
        <v>0</v>
      </c>
      <c r="BG22" s="23">
        <f t="shared" si="21"/>
        <v>0</v>
      </c>
      <c r="BH22" s="23">
        <f t="shared" si="22"/>
        <v>515.6</v>
      </c>
      <c r="BI22" s="23">
        <f t="shared" si="23"/>
        <v>493.38</v>
      </c>
      <c r="BJ22" s="23">
        <f t="shared" si="24"/>
        <v>0</v>
      </c>
      <c r="BK22" s="23">
        <f t="shared" si="25"/>
        <v>0</v>
      </c>
      <c r="BL22" s="23">
        <f t="shared" si="26"/>
        <v>142.74</v>
      </c>
      <c r="BM22" s="23">
        <f t="shared" si="27"/>
        <v>0</v>
      </c>
      <c r="BN22" s="23">
        <f t="shared" si="28"/>
        <v>0</v>
      </c>
      <c r="BO22" s="23">
        <f t="shared" si="29"/>
        <v>0</v>
      </c>
      <c r="BP22" s="23">
        <f t="shared" si="30"/>
        <v>0</v>
      </c>
      <c r="BQ22" s="23">
        <f t="shared" si="31"/>
        <v>0</v>
      </c>
      <c r="BR22" s="23">
        <f t="shared" si="32"/>
        <v>267.74</v>
      </c>
      <c r="BS22" s="23">
        <f t="shared" si="33"/>
        <v>0</v>
      </c>
      <c r="BT22" s="23">
        <f t="shared" si="37"/>
        <v>22.22</v>
      </c>
      <c r="BU22" s="23">
        <f t="shared" si="37"/>
        <v>16.45</v>
      </c>
      <c r="BV22" s="23">
        <f t="shared" si="37"/>
        <v>7452.15</v>
      </c>
      <c r="BW22" s="23">
        <f t="shared" si="37"/>
        <v>4180.43</v>
      </c>
      <c r="BX22" s="23">
        <f t="shared" si="37"/>
        <v>4097.55</v>
      </c>
      <c r="BY22" t="s">
        <v>268</v>
      </c>
      <c r="CB22" s="36">
        <v>0.02</v>
      </c>
      <c r="CC22" s="36">
        <v>0.04</v>
      </c>
      <c r="CD22" s="36">
        <v>1E-3</v>
      </c>
      <c r="CE22" t="s">
        <v>266</v>
      </c>
      <c r="CF22" t="s">
        <v>267</v>
      </c>
      <c r="CG22" t="s">
        <v>266</v>
      </c>
      <c r="CH22" t="s">
        <v>267</v>
      </c>
      <c r="CI22" t="s">
        <v>266</v>
      </c>
      <c r="CJ22" t="s">
        <v>267</v>
      </c>
      <c r="CK22" t="s">
        <v>267</v>
      </c>
      <c r="CL22" t="s">
        <v>266</v>
      </c>
      <c r="CM22" t="s">
        <v>285</v>
      </c>
      <c r="CN22" t="s">
        <v>285</v>
      </c>
      <c r="CO22" t="s">
        <v>285</v>
      </c>
    </row>
    <row r="23" spans="1:95" x14ac:dyDescent="0.25">
      <c r="A23" s="2" t="s">
        <v>29</v>
      </c>
      <c r="B23" s="17">
        <v>0</v>
      </c>
      <c r="C23" s="17">
        <v>0</v>
      </c>
      <c r="D23" s="17">
        <v>0</v>
      </c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8.15</v>
      </c>
      <c r="M23" s="17">
        <v>0</v>
      </c>
      <c r="N23" s="17">
        <v>0</v>
      </c>
      <c r="O23" s="17">
        <v>42.75</v>
      </c>
      <c r="P23" s="17">
        <v>6.8249999999999993</v>
      </c>
      <c r="Q23" s="17">
        <v>0</v>
      </c>
      <c r="R23" s="17">
        <v>3.4500000000000028</v>
      </c>
      <c r="S23" s="17">
        <v>0</v>
      </c>
      <c r="T23" s="17">
        <v>0</v>
      </c>
      <c r="U23" s="17">
        <v>0</v>
      </c>
      <c r="V23" s="17">
        <f t="shared" si="35"/>
        <v>61.174999999999997</v>
      </c>
      <c r="W23" s="18">
        <v>57.9</v>
      </c>
      <c r="X23" s="17">
        <v>0</v>
      </c>
      <c r="Y23" s="17">
        <v>0</v>
      </c>
      <c r="Z23" s="19">
        <v>16.7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19">
        <v>31.975000000000005</v>
      </c>
      <c r="AG23" s="17">
        <v>0</v>
      </c>
      <c r="AH23" s="17">
        <f t="shared" si="36"/>
        <v>3.2749999999999986</v>
      </c>
      <c r="AI23" s="20">
        <v>3.25</v>
      </c>
      <c r="AJ23" s="21">
        <v>870.67405948768942</v>
      </c>
      <c r="AK23" s="22">
        <v>469.1720093263234</v>
      </c>
      <c r="AL23" s="22">
        <v>458.38778968974941</v>
      </c>
      <c r="AM23" s="16">
        <v>10.3</v>
      </c>
      <c r="AN23" s="23">
        <f t="shared" si="2"/>
        <v>0</v>
      </c>
      <c r="AO23" s="23">
        <f t="shared" si="3"/>
        <v>0</v>
      </c>
      <c r="AP23" s="23">
        <f t="shared" si="4"/>
        <v>0</v>
      </c>
      <c r="AQ23" s="23">
        <f t="shared" si="5"/>
        <v>0</v>
      </c>
      <c r="AR23" s="23">
        <f t="shared" si="6"/>
        <v>0</v>
      </c>
      <c r="AS23" s="23">
        <f t="shared" si="7"/>
        <v>0</v>
      </c>
      <c r="AT23" s="23">
        <f t="shared" si="8"/>
        <v>0</v>
      </c>
      <c r="AU23" s="23">
        <f t="shared" si="9"/>
        <v>0</v>
      </c>
      <c r="AV23" s="23">
        <f t="shared" si="10"/>
        <v>0</v>
      </c>
      <c r="AW23" s="23">
        <f t="shared" si="11"/>
        <v>0</v>
      </c>
      <c r="AX23" s="23">
        <f t="shared" si="12"/>
        <v>79.13</v>
      </c>
      <c r="AY23" s="23">
        <f t="shared" si="13"/>
        <v>0</v>
      </c>
      <c r="AZ23" s="23">
        <f t="shared" si="14"/>
        <v>0</v>
      </c>
      <c r="BA23" s="23">
        <f t="shared" si="15"/>
        <v>415.05</v>
      </c>
      <c r="BB23" s="23">
        <f t="shared" si="16"/>
        <v>66.260000000000005</v>
      </c>
      <c r="BC23" s="23">
        <f t="shared" si="17"/>
        <v>0</v>
      </c>
      <c r="BD23" s="23">
        <f t="shared" si="18"/>
        <v>33.5</v>
      </c>
      <c r="BE23" s="23">
        <f t="shared" si="19"/>
        <v>0</v>
      </c>
      <c r="BF23" s="23">
        <f t="shared" si="20"/>
        <v>0</v>
      </c>
      <c r="BG23" s="23">
        <f t="shared" si="21"/>
        <v>0</v>
      </c>
      <c r="BH23" s="23">
        <f t="shared" si="22"/>
        <v>593.92999999999995</v>
      </c>
      <c r="BI23" s="23">
        <f t="shared" si="23"/>
        <v>562.14</v>
      </c>
      <c r="BJ23" s="23">
        <f t="shared" si="24"/>
        <v>0</v>
      </c>
      <c r="BK23" s="23">
        <f t="shared" si="25"/>
        <v>0</v>
      </c>
      <c r="BL23" s="23">
        <f t="shared" si="26"/>
        <v>162.13999999999999</v>
      </c>
      <c r="BM23" s="23">
        <f t="shared" si="27"/>
        <v>0</v>
      </c>
      <c r="BN23" s="23">
        <f t="shared" si="28"/>
        <v>0</v>
      </c>
      <c r="BO23" s="23">
        <f t="shared" si="29"/>
        <v>0</v>
      </c>
      <c r="BP23" s="23">
        <f t="shared" si="30"/>
        <v>0</v>
      </c>
      <c r="BQ23" s="23">
        <f t="shared" si="31"/>
        <v>0</v>
      </c>
      <c r="BR23" s="23">
        <f t="shared" si="32"/>
        <v>310.44</v>
      </c>
      <c r="BS23" s="23">
        <f t="shared" si="33"/>
        <v>0</v>
      </c>
      <c r="BT23" s="23">
        <f t="shared" si="37"/>
        <v>31.8</v>
      </c>
      <c r="BU23" s="23">
        <f t="shared" si="37"/>
        <v>31.55</v>
      </c>
      <c r="BV23" s="23">
        <f t="shared" si="37"/>
        <v>8453.15</v>
      </c>
      <c r="BW23" s="23">
        <f t="shared" si="37"/>
        <v>4555.07</v>
      </c>
      <c r="BX23" s="23">
        <f t="shared" si="37"/>
        <v>4450.37</v>
      </c>
      <c r="BY23" t="s">
        <v>268</v>
      </c>
      <c r="CB23" s="36">
        <v>0.02</v>
      </c>
      <c r="CC23" s="36">
        <v>0.04</v>
      </c>
      <c r="CD23" s="36">
        <v>1E-3</v>
      </c>
      <c r="CE23" t="s">
        <v>266</v>
      </c>
      <c r="CF23" t="s">
        <v>267</v>
      </c>
      <c r="CG23" t="s">
        <v>266</v>
      </c>
      <c r="CH23" t="s">
        <v>267</v>
      </c>
      <c r="CI23" t="s">
        <v>266</v>
      </c>
      <c r="CJ23" t="s">
        <v>267</v>
      </c>
      <c r="CK23" t="s">
        <v>267</v>
      </c>
      <c r="CL23" t="s">
        <v>266</v>
      </c>
      <c r="CM23" t="s">
        <v>285</v>
      </c>
      <c r="CN23" t="s">
        <v>285</v>
      </c>
      <c r="CO23" t="s">
        <v>285</v>
      </c>
    </row>
    <row r="24" spans="1:95" x14ac:dyDescent="0.25">
      <c r="A24" s="2" t="s">
        <v>30</v>
      </c>
      <c r="B24" s="17">
        <v>0</v>
      </c>
      <c r="C24" s="17">
        <v>0</v>
      </c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7.45</v>
      </c>
      <c r="M24" s="17">
        <v>0</v>
      </c>
      <c r="N24" s="17">
        <v>0</v>
      </c>
      <c r="O24" s="17">
        <v>41.749999999999993</v>
      </c>
      <c r="P24" s="17">
        <v>6.9500000000000011</v>
      </c>
      <c r="Q24" s="17">
        <v>0</v>
      </c>
      <c r="R24" s="17">
        <v>3.3999999999999986</v>
      </c>
      <c r="S24" s="17">
        <v>0</v>
      </c>
      <c r="T24" s="17">
        <v>0</v>
      </c>
      <c r="U24" s="17">
        <v>0</v>
      </c>
      <c r="V24" s="17">
        <f t="shared" si="35"/>
        <v>59.55</v>
      </c>
      <c r="W24" s="18">
        <v>56.424999999999997</v>
      </c>
      <c r="X24" s="17">
        <v>0</v>
      </c>
      <c r="Y24" s="17">
        <v>0</v>
      </c>
      <c r="Z24" s="19">
        <v>15.999999999999996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19">
        <v>31.774999999999999</v>
      </c>
      <c r="AG24" s="17">
        <v>0</v>
      </c>
      <c r="AH24" s="17">
        <f t="shared" si="36"/>
        <v>3.125</v>
      </c>
      <c r="AI24" s="20">
        <v>3.6</v>
      </c>
      <c r="AJ24" s="21">
        <v>880.03021089570939</v>
      </c>
      <c r="AK24" s="22">
        <v>457.81929044501749</v>
      </c>
      <c r="AL24" s="22">
        <v>467.46651159212757</v>
      </c>
      <c r="AM24" s="16">
        <v>8.9</v>
      </c>
      <c r="AN24" s="23">
        <f t="shared" si="2"/>
        <v>0</v>
      </c>
      <c r="AO24" s="23">
        <f t="shared" si="3"/>
        <v>0</v>
      </c>
      <c r="AP24" s="23">
        <f t="shared" si="4"/>
        <v>0</v>
      </c>
      <c r="AQ24" s="23">
        <f t="shared" si="5"/>
        <v>0</v>
      </c>
      <c r="AR24" s="23">
        <f t="shared" si="6"/>
        <v>0</v>
      </c>
      <c r="AS24" s="23">
        <f t="shared" si="7"/>
        <v>0</v>
      </c>
      <c r="AT24" s="23">
        <f t="shared" si="8"/>
        <v>0</v>
      </c>
      <c r="AU24" s="23">
        <f t="shared" si="9"/>
        <v>0</v>
      </c>
      <c r="AV24" s="23">
        <f t="shared" si="10"/>
        <v>0</v>
      </c>
      <c r="AW24" s="23">
        <f t="shared" si="11"/>
        <v>0</v>
      </c>
      <c r="AX24" s="23">
        <f t="shared" si="12"/>
        <v>83.71</v>
      </c>
      <c r="AY24" s="23">
        <f t="shared" si="13"/>
        <v>0</v>
      </c>
      <c r="AZ24" s="23">
        <f t="shared" si="14"/>
        <v>0</v>
      </c>
      <c r="BA24" s="23">
        <f t="shared" si="15"/>
        <v>469.1</v>
      </c>
      <c r="BB24" s="23">
        <f t="shared" si="16"/>
        <v>78.09</v>
      </c>
      <c r="BC24" s="23">
        <f t="shared" si="17"/>
        <v>0</v>
      </c>
      <c r="BD24" s="23">
        <f t="shared" si="18"/>
        <v>38.200000000000003</v>
      </c>
      <c r="BE24" s="23">
        <f t="shared" si="19"/>
        <v>0</v>
      </c>
      <c r="BF24" s="23">
        <f t="shared" si="20"/>
        <v>0</v>
      </c>
      <c r="BG24" s="23">
        <f t="shared" si="21"/>
        <v>0</v>
      </c>
      <c r="BH24" s="23">
        <f t="shared" si="22"/>
        <v>669.1</v>
      </c>
      <c r="BI24" s="23">
        <f t="shared" si="23"/>
        <v>633.99</v>
      </c>
      <c r="BJ24" s="23">
        <f t="shared" si="24"/>
        <v>0</v>
      </c>
      <c r="BK24" s="23">
        <f t="shared" si="25"/>
        <v>0</v>
      </c>
      <c r="BL24" s="23">
        <f t="shared" si="26"/>
        <v>179.78</v>
      </c>
      <c r="BM24" s="23">
        <f t="shared" si="27"/>
        <v>0</v>
      </c>
      <c r="BN24" s="23">
        <f t="shared" si="28"/>
        <v>0</v>
      </c>
      <c r="BO24" s="23">
        <f t="shared" si="29"/>
        <v>0</v>
      </c>
      <c r="BP24" s="23">
        <f t="shared" si="30"/>
        <v>0</v>
      </c>
      <c r="BQ24" s="23">
        <f t="shared" si="31"/>
        <v>0</v>
      </c>
      <c r="BR24" s="23">
        <f t="shared" si="32"/>
        <v>357.02</v>
      </c>
      <c r="BS24" s="23">
        <f t="shared" si="33"/>
        <v>0</v>
      </c>
      <c r="BT24" s="23">
        <f t="shared" si="37"/>
        <v>35.11</v>
      </c>
      <c r="BU24" s="23">
        <f t="shared" si="37"/>
        <v>40.450000000000003</v>
      </c>
      <c r="BV24" s="23">
        <f t="shared" si="37"/>
        <v>9887.98</v>
      </c>
      <c r="BW24" s="23">
        <f t="shared" si="37"/>
        <v>5144.04</v>
      </c>
      <c r="BX24" s="23">
        <f t="shared" si="37"/>
        <v>5252.43</v>
      </c>
      <c r="BY24" t="s">
        <v>268</v>
      </c>
      <c r="CB24" s="36">
        <v>0.02</v>
      </c>
      <c r="CC24" s="36">
        <v>0.04</v>
      </c>
      <c r="CD24" s="36">
        <v>1E-3</v>
      </c>
      <c r="CE24" t="s">
        <v>266</v>
      </c>
      <c r="CF24" t="s">
        <v>267</v>
      </c>
      <c r="CG24" t="s">
        <v>266</v>
      </c>
      <c r="CH24" t="s">
        <v>267</v>
      </c>
      <c r="CI24" t="s">
        <v>266</v>
      </c>
      <c r="CJ24" t="s">
        <v>267</v>
      </c>
      <c r="CK24" t="s">
        <v>267</v>
      </c>
      <c r="CL24" t="s">
        <v>266</v>
      </c>
      <c r="CM24" t="s">
        <v>285</v>
      </c>
      <c r="CN24" t="s">
        <v>285</v>
      </c>
      <c r="CO24" t="s">
        <v>285</v>
      </c>
      <c r="CP24" t="s">
        <v>303</v>
      </c>
    </row>
    <row r="25" spans="1:95" x14ac:dyDescent="0.25">
      <c r="A25" s="2" t="s">
        <v>31</v>
      </c>
      <c r="B25" s="17">
        <v>0</v>
      </c>
      <c r="C25" s="17">
        <v>0</v>
      </c>
      <c r="D25" s="17">
        <v>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6.3500000000000005</v>
      </c>
      <c r="M25" s="17">
        <v>0</v>
      </c>
      <c r="N25" s="17">
        <v>0</v>
      </c>
      <c r="O25" s="17">
        <v>41.25</v>
      </c>
      <c r="P25" s="17">
        <v>7.2249999999999996</v>
      </c>
      <c r="Q25" s="17">
        <v>0</v>
      </c>
      <c r="R25" s="17">
        <v>3.9749999999999943</v>
      </c>
      <c r="S25" s="17">
        <v>0</v>
      </c>
      <c r="T25" s="17">
        <v>0</v>
      </c>
      <c r="U25" s="17">
        <v>0</v>
      </c>
      <c r="V25" s="17">
        <f t="shared" si="35"/>
        <v>58.8</v>
      </c>
      <c r="W25" s="18">
        <v>55.95</v>
      </c>
      <c r="X25" s="17">
        <v>0</v>
      </c>
      <c r="Y25" s="17">
        <v>0</v>
      </c>
      <c r="Z25" s="19">
        <v>13.999999999999998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19">
        <v>31.049999999999997</v>
      </c>
      <c r="AG25" s="17">
        <v>0</v>
      </c>
      <c r="AH25" s="17">
        <f t="shared" si="36"/>
        <v>2.8499999999999943</v>
      </c>
      <c r="AI25" s="20">
        <v>4.2</v>
      </c>
      <c r="AJ25" s="21">
        <v>880.13960387247153</v>
      </c>
      <c r="AK25" s="22">
        <v>480.73747262272775</v>
      </c>
      <c r="AL25" s="22">
        <v>497.63217353681807</v>
      </c>
      <c r="AM25" s="16">
        <v>9.5</v>
      </c>
      <c r="AN25" s="23">
        <f t="shared" si="2"/>
        <v>0</v>
      </c>
      <c r="AO25" s="23">
        <f t="shared" si="3"/>
        <v>0</v>
      </c>
      <c r="AP25" s="23">
        <f t="shared" si="4"/>
        <v>0</v>
      </c>
      <c r="AQ25" s="23">
        <f t="shared" si="5"/>
        <v>0</v>
      </c>
      <c r="AR25" s="23">
        <f t="shared" si="6"/>
        <v>0</v>
      </c>
      <c r="AS25" s="23">
        <f t="shared" si="7"/>
        <v>0</v>
      </c>
      <c r="AT25" s="23">
        <f t="shared" si="8"/>
        <v>0</v>
      </c>
      <c r="AU25" s="23">
        <f t="shared" si="9"/>
        <v>0</v>
      </c>
      <c r="AV25" s="23">
        <f t="shared" si="10"/>
        <v>0</v>
      </c>
      <c r="AW25" s="23">
        <f t="shared" si="11"/>
        <v>0</v>
      </c>
      <c r="AX25" s="23">
        <f t="shared" si="12"/>
        <v>66.84</v>
      </c>
      <c r="AY25" s="23">
        <f t="shared" si="13"/>
        <v>0</v>
      </c>
      <c r="AZ25" s="23">
        <f t="shared" si="14"/>
        <v>0</v>
      </c>
      <c r="BA25" s="23">
        <f t="shared" si="15"/>
        <v>434.21</v>
      </c>
      <c r="BB25" s="23">
        <f t="shared" si="16"/>
        <v>76.05</v>
      </c>
      <c r="BC25" s="23">
        <f t="shared" si="17"/>
        <v>0</v>
      </c>
      <c r="BD25" s="23">
        <f t="shared" si="18"/>
        <v>41.84</v>
      </c>
      <c r="BE25" s="23">
        <f t="shared" si="19"/>
        <v>0</v>
      </c>
      <c r="BF25" s="23">
        <f t="shared" si="20"/>
        <v>0</v>
      </c>
      <c r="BG25" s="23">
        <f t="shared" si="21"/>
        <v>0</v>
      </c>
      <c r="BH25" s="23">
        <f t="shared" si="22"/>
        <v>618.95000000000005</v>
      </c>
      <c r="BI25" s="23">
        <f t="shared" si="23"/>
        <v>588.95000000000005</v>
      </c>
      <c r="BJ25" s="23">
        <f t="shared" si="24"/>
        <v>0</v>
      </c>
      <c r="BK25" s="23">
        <f t="shared" si="25"/>
        <v>0</v>
      </c>
      <c r="BL25" s="23">
        <f t="shared" si="26"/>
        <v>147.37</v>
      </c>
      <c r="BM25" s="23">
        <f t="shared" si="27"/>
        <v>0</v>
      </c>
      <c r="BN25" s="23">
        <f t="shared" si="28"/>
        <v>0</v>
      </c>
      <c r="BO25" s="23">
        <f t="shared" si="29"/>
        <v>0</v>
      </c>
      <c r="BP25" s="23">
        <f t="shared" si="30"/>
        <v>0</v>
      </c>
      <c r="BQ25" s="23">
        <f t="shared" si="31"/>
        <v>0</v>
      </c>
      <c r="BR25" s="23">
        <f t="shared" si="32"/>
        <v>326.83999999999997</v>
      </c>
      <c r="BS25" s="23">
        <f t="shared" si="33"/>
        <v>0</v>
      </c>
      <c r="BT25" s="23">
        <f t="shared" si="37"/>
        <v>30</v>
      </c>
      <c r="BU25" s="23">
        <f t="shared" si="37"/>
        <v>44.21</v>
      </c>
      <c r="BV25" s="23">
        <f t="shared" si="37"/>
        <v>9264.6299999999992</v>
      </c>
      <c r="BW25" s="23">
        <f t="shared" si="37"/>
        <v>5060.3900000000003</v>
      </c>
      <c r="BX25" s="23">
        <f t="shared" si="37"/>
        <v>5238.2299999999996</v>
      </c>
      <c r="BY25" t="s">
        <v>268</v>
      </c>
      <c r="CB25" s="36">
        <v>0.02</v>
      </c>
      <c r="CC25" s="36">
        <v>0.04</v>
      </c>
      <c r="CD25" s="36">
        <v>1E-3</v>
      </c>
      <c r="CE25" t="s">
        <v>266</v>
      </c>
      <c r="CF25" t="s">
        <v>267</v>
      </c>
      <c r="CG25" t="s">
        <v>266</v>
      </c>
      <c r="CH25" t="s">
        <v>267</v>
      </c>
      <c r="CI25" t="s">
        <v>266</v>
      </c>
      <c r="CJ25" t="s">
        <v>267</v>
      </c>
      <c r="CK25" t="s">
        <v>267</v>
      </c>
      <c r="CL25" t="s">
        <v>266</v>
      </c>
      <c r="CM25" t="s">
        <v>285</v>
      </c>
      <c r="CN25" t="s">
        <v>285</v>
      </c>
      <c r="CO25" t="s">
        <v>285</v>
      </c>
      <c r="CP25" t="s">
        <v>303</v>
      </c>
    </row>
    <row r="26" spans="1:95" x14ac:dyDescent="0.25">
      <c r="A26" s="2" t="s">
        <v>32</v>
      </c>
      <c r="B26" s="17">
        <v>0</v>
      </c>
      <c r="C26" s="17">
        <v>0</v>
      </c>
      <c r="D26" s="17">
        <v>0</v>
      </c>
      <c r="E26" s="17">
        <v>0</v>
      </c>
      <c r="F26" s="17">
        <v>0</v>
      </c>
      <c r="G26" s="17">
        <v>0</v>
      </c>
      <c r="H26" s="17">
        <v>0</v>
      </c>
      <c r="I26" s="17">
        <v>0</v>
      </c>
      <c r="J26" s="17">
        <v>0</v>
      </c>
      <c r="K26" s="17">
        <v>0</v>
      </c>
      <c r="L26" s="17">
        <v>5.3249999999999993</v>
      </c>
      <c r="M26" s="17">
        <v>0</v>
      </c>
      <c r="N26" s="17">
        <v>0</v>
      </c>
      <c r="O26" s="17">
        <v>42</v>
      </c>
      <c r="P26" s="17">
        <v>7.6249999999999991</v>
      </c>
      <c r="Q26" s="17">
        <v>0</v>
      </c>
      <c r="R26" s="17">
        <v>4.25</v>
      </c>
      <c r="S26" s="17">
        <v>0</v>
      </c>
      <c r="T26" s="17">
        <v>0</v>
      </c>
      <c r="U26" s="17">
        <v>0</v>
      </c>
      <c r="V26" s="17">
        <f t="shared" si="35"/>
        <v>59.2</v>
      </c>
      <c r="W26" s="18">
        <v>54.599999999999994</v>
      </c>
      <c r="X26" s="17">
        <v>0</v>
      </c>
      <c r="Y26" s="17">
        <v>0</v>
      </c>
      <c r="Z26" s="19">
        <v>14.524999999999999</v>
      </c>
      <c r="AA26" s="17">
        <v>0</v>
      </c>
      <c r="AB26" s="17">
        <v>0</v>
      </c>
      <c r="AC26" s="17">
        <v>0</v>
      </c>
      <c r="AD26" s="17">
        <v>0</v>
      </c>
      <c r="AE26" s="17">
        <v>0</v>
      </c>
      <c r="AF26" s="19">
        <v>30.05</v>
      </c>
      <c r="AG26" s="17">
        <v>0</v>
      </c>
      <c r="AH26" s="17">
        <f t="shared" si="36"/>
        <v>4.6000000000000085</v>
      </c>
      <c r="AI26" s="20">
        <v>4.05</v>
      </c>
      <c r="AJ26" s="21">
        <v>869.60962327398011</v>
      </c>
      <c r="AK26" s="22">
        <v>518.67950205769898</v>
      </c>
      <c r="AL26" s="22">
        <v>543.87945818537048</v>
      </c>
      <c r="AM26" s="16">
        <v>10.3</v>
      </c>
      <c r="AN26" s="23">
        <f t="shared" si="2"/>
        <v>0</v>
      </c>
      <c r="AO26" s="23">
        <f t="shared" si="3"/>
        <v>0</v>
      </c>
      <c r="AP26" s="23">
        <f t="shared" si="4"/>
        <v>0</v>
      </c>
      <c r="AQ26" s="23">
        <f t="shared" si="5"/>
        <v>0</v>
      </c>
      <c r="AR26" s="23">
        <f t="shared" si="6"/>
        <v>0</v>
      </c>
      <c r="AS26" s="23">
        <f t="shared" si="7"/>
        <v>0</v>
      </c>
      <c r="AT26" s="23">
        <f t="shared" si="8"/>
        <v>0</v>
      </c>
      <c r="AU26" s="23">
        <f t="shared" si="9"/>
        <v>0</v>
      </c>
      <c r="AV26" s="23">
        <f t="shared" si="10"/>
        <v>0</v>
      </c>
      <c r="AW26" s="23">
        <f t="shared" si="11"/>
        <v>0</v>
      </c>
      <c r="AX26" s="23">
        <f t="shared" si="12"/>
        <v>51.7</v>
      </c>
      <c r="AY26" s="23">
        <f t="shared" si="13"/>
        <v>0</v>
      </c>
      <c r="AZ26" s="23">
        <f t="shared" si="14"/>
        <v>0</v>
      </c>
      <c r="BA26" s="23">
        <f t="shared" si="15"/>
        <v>407.77</v>
      </c>
      <c r="BB26" s="23">
        <f t="shared" si="16"/>
        <v>74.03</v>
      </c>
      <c r="BC26" s="23">
        <f t="shared" si="17"/>
        <v>0</v>
      </c>
      <c r="BD26" s="23">
        <f t="shared" si="18"/>
        <v>41.26</v>
      </c>
      <c r="BE26" s="23">
        <f t="shared" si="19"/>
        <v>0</v>
      </c>
      <c r="BF26" s="23">
        <f t="shared" si="20"/>
        <v>0</v>
      </c>
      <c r="BG26" s="23">
        <f t="shared" si="21"/>
        <v>0</v>
      </c>
      <c r="BH26" s="23">
        <f t="shared" si="22"/>
        <v>574.76</v>
      </c>
      <c r="BI26" s="23">
        <f t="shared" si="23"/>
        <v>530.1</v>
      </c>
      <c r="BJ26" s="23">
        <f t="shared" si="24"/>
        <v>0</v>
      </c>
      <c r="BK26" s="23">
        <f t="shared" si="25"/>
        <v>0</v>
      </c>
      <c r="BL26" s="23">
        <f t="shared" si="26"/>
        <v>141.02000000000001</v>
      </c>
      <c r="BM26" s="23">
        <f t="shared" si="27"/>
        <v>0</v>
      </c>
      <c r="BN26" s="23">
        <f t="shared" si="28"/>
        <v>0</v>
      </c>
      <c r="BO26" s="23">
        <f t="shared" si="29"/>
        <v>0</v>
      </c>
      <c r="BP26" s="23">
        <f t="shared" si="30"/>
        <v>0</v>
      </c>
      <c r="BQ26" s="23">
        <f t="shared" si="31"/>
        <v>0</v>
      </c>
      <c r="BR26" s="23">
        <f t="shared" si="32"/>
        <v>291.75</v>
      </c>
      <c r="BS26" s="23">
        <f t="shared" si="33"/>
        <v>0</v>
      </c>
      <c r="BT26" s="23">
        <f t="shared" si="37"/>
        <v>44.66</v>
      </c>
      <c r="BU26" s="23">
        <f t="shared" si="37"/>
        <v>39.32</v>
      </c>
      <c r="BV26" s="23">
        <f t="shared" si="37"/>
        <v>8442.81</v>
      </c>
      <c r="BW26" s="23">
        <f t="shared" si="37"/>
        <v>5035.72</v>
      </c>
      <c r="BX26" s="23">
        <f t="shared" si="37"/>
        <v>5280.38</v>
      </c>
      <c r="BY26" t="s">
        <v>268</v>
      </c>
      <c r="CB26" s="36">
        <v>0.02</v>
      </c>
      <c r="CC26" s="36">
        <v>0.04</v>
      </c>
      <c r="CD26" s="36">
        <v>1E-3</v>
      </c>
      <c r="CE26" t="s">
        <v>266</v>
      </c>
      <c r="CF26" t="s">
        <v>267</v>
      </c>
      <c r="CG26" t="s">
        <v>266</v>
      </c>
      <c r="CH26" t="s">
        <v>267</v>
      </c>
      <c r="CI26" t="s">
        <v>266</v>
      </c>
      <c r="CJ26" t="s">
        <v>267</v>
      </c>
      <c r="CK26" t="s">
        <v>267</v>
      </c>
      <c r="CL26" t="s">
        <v>266</v>
      </c>
      <c r="CM26" t="s">
        <v>285</v>
      </c>
      <c r="CN26" t="s">
        <v>285</v>
      </c>
      <c r="CO26" t="s">
        <v>285</v>
      </c>
      <c r="CP26" t="s">
        <v>303</v>
      </c>
      <c r="CQ26" t="s">
        <v>303</v>
      </c>
    </row>
    <row r="27" spans="1:95" x14ac:dyDescent="0.25">
      <c r="A27" s="2" t="s">
        <v>33</v>
      </c>
      <c r="B27" s="17">
        <v>0</v>
      </c>
      <c r="C27" s="17">
        <v>0</v>
      </c>
      <c r="D27" s="17">
        <v>0</v>
      </c>
      <c r="E27" s="17">
        <v>0</v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17">
        <v>0</v>
      </c>
      <c r="L27" s="17">
        <v>5.3250000000000011</v>
      </c>
      <c r="M27" s="17">
        <v>0</v>
      </c>
      <c r="N27" s="17">
        <v>0</v>
      </c>
      <c r="O27" s="17">
        <v>41.500000000000007</v>
      </c>
      <c r="P27" s="17">
        <v>7.5250000000000004</v>
      </c>
      <c r="Q27" s="17">
        <v>0</v>
      </c>
      <c r="R27" s="17">
        <v>2.7249999999999943</v>
      </c>
      <c r="S27" s="17">
        <v>0</v>
      </c>
      <c r="T27" s="17">
        <v>0</v>
      </c>
      <c r="U27" s="17">
        <v>0</v>
      </c>
      <c r="V27" s="17">
        <f t="shared" si="35"/>
        <v>57.075000000000003</v>
      </c>
      <c r="W27" s="18">
        <v>55.15</v>
      </c>
      <c r="X27" s="17">
        <v>0</v>
      </c>
      <c r="Y27" s="17">
        <v>0</v>
      </c>
      <c r="Z27" s="19">
        <v>15.149999999999999</v>
      </c>
      <c r="AA27" s="17">
        <v>0</v>
      </c>
      <c r="AB27" s="17">
        <v>0</v>
      </c>
      <c r="AC27" s="17">
        <v>0</v>
      </c>
      <c r="AD27" s="17">
        <v>0</v>
      </c>
      <c r="AE27" s="17">
        <v>0</v>
      </c>
      <c r="AF27" s="19">
        <v>29.95</v>
      </c>
      <c r="AG27" s="17">
        <v>0</v>
      </c>
      <c r="AH27" s="17">
        <f t="shared" si="36"/>
        <v>1.9250000000000043</v>
      </c>
      <c r="AI27" s="20">
        <v>2.4750000000000001</v>
      </c>
      <c r="AJ27" s="21">
        <v>859.97423857243302</v>
      </c>
      <c r="AK27" s="22">
        <v>540.10003248954138</v>
      </c>
      <c r="AL27" s="22">
        <v>507.34122497021167</v>
      </c>
      <c r="AM27" s="16">
        <v>12.1</v>
      </c>
      <c r="AN27" s="23">
        <f t="shared" si="2"/>
        <v>0</v>
      </c>
      <c r="AO27" s="23">
        <f t="shared" si="3"/>
        <v>0</v>
      </c>
      <c r="AP27" s="23">
        <f t="shared" si="4"/>
        <v>0</v>
      </c>
      <c r="AQ27" s="23">
        <f t="shared" si="5"/>
        <v>0</v>
      </c>
      <c r="AR27" s="23">
        <f t="shared" si="6"/>
        <v>0</v>
      </c>
      <c r="AS27" s="23">
        <f t="shared" si="7"/>
        <v>0</v>
      </c>
      <c r="AT27" s="23">
        <f t="shared" si="8"/>
        <v>0</v>
      </c>
      <c r="AU27" s="23">
        <f t="shared" si="9"/>
        <v>0</v>
      </c>
      <c r="AV27" s="23">
        <f t="shared" si="10"/>
        <v>0</v>
      </c>
      <c r="AW27" s="23">
        <f t="shared" si="11"/>
        <v>0</v>
      </c>
      <c r="AX27" s="23">
        <f t="shared" si="12"/>
        <v>44.01</v>
      </c>
      <c r="AY27" s="23">
        <f t="shared" si="13"/>
        <v>0</v>
      </c>
      <c r="AZ27" s="23">
        <f t="shared" si="14"/>
        <v>0</v>
      </c>
      <c r="BA27" s="23">
        <f t="shared" si="15"/>
        <v>342.98</v>
      </c>
      <c r="BB27" s="23">
        <f t="shared" si="16"/>
        <v>62.19</v>
      </c>
      <c r="BC27" s="23">
        <f t="shared" si="17"/>
        <v>0</v>
      </c>
      <c r="BD27" s="23">
        <f t="shared" si="18"/>
        <v>22.52</v>
      </c>
      <c r="BE27" s="23">
        <f t="shared" si="19"/>
        <v>0</v>
      </c>
      <c r="BF27" s="23">
        <f t="shared" si="20"/>
        <v>0</v>
      </c>
      <c r="BG27" s="23">
        <f t="shared" si="21"/>
        <v>0</v>
      </c>
      <c r="BH27" s="23">
        <f t="shared" si="22"/>
        <v>471.69</v>
      </c>
      <c r="BI27" s="23">
        <f t="shared" si="23"/>
        <v>455.79</v>
      </c>
      <c r="BJ27" s="23">
        <f t="shared" si="24"/>
        <v>0</v>
      </c>
      <c r="BK27" s="23">
        <f t="shared" si="25"/>
        <v>0</v>
      </c>
      <c r="BL27" s="23">
        <f t="shared" si="26"/>
        <v>125.21</v>
      </c>
      <c r="BM27" s="23">
        <f t="shared" si="27"/>
        <v>0</v>
      </c>
      <c r="BN27" s="23">
        <f t="shared" si="28"/>
        <v>0</v>
      </c>
      <c r="BO27" s="23">
        <f t="shared" si="29"/>
        <v>0</v>
      </c>
      <c r="BP27" s="23">
        <f t="shared" si="30"/>
        <v>0</v>
      </c>
      <c r="BQ27" s="23">
        <f t="shared" si="31"/>
        <v>0</v>
      </c>
      <c r="BR27" s="23">
        <f t="shared" si="32"/>
        <v>247.52</v>
      </c>
      <c r="BS27" s="23">
        <f t="shared" si="33"/>
        <v>0</v>
      </c>
      <c r="BT27" s="23">
        <f t="shared" si="37"/>
        <v>15.91</v>
      </c>
      <c r="BU27" s="23">
        <f t="shared" si="37"/>
        <v>20.45</v>
      </c>
      <c r="BV27" s="23">
        <f t="shared" si="37"/>
        <v>7107.23</v>
      </c>
      <c r="BW27" s="23">
        <f t="shared" si="37"/>
        <v>4463.6400000000003</v>
      </c>
      <c r="BX27" s="23">
        <f t="shared" si="37"/>
        <v>4192.8999999999996</v>
      </c>
      <c r="BY27" t="s">
        <v>268</v>
      </c>
      <c r="CB27" s="36">
        <v>0.02</v>
      </c>
      <c r="CC27" s="36">
        <v>0.04</v>
      </c>
      <c r="CD27" s="36">
        <v>1E-3</v>
      </c>
      <c r="CE27" t="s">
        <v>266</v>
      </c>
      <c r="CF27" t="s">
        <v>267</v>
      </c>
      <c r="CG27" t="s">
        <v>266</v>
      </c>
      <c r="CH27" t="s">
        <v>267</v>
      </c>
      <c r="CI27" t="s">
        <v>266</v>
      </c>
      <c r="CJ27" t="s">
        <v>267</v>
      </c>
      <c r="CK27" t="s">
        <v>267</v>
      </c>
      <c r="CL27" t="s">
        <v>266</v>
      </c>
      <c r="CM27" t="s">
        <v>285</v>
      </c>
      <c r="CN27" t="s">
        <v>285</v>
      </c>
      <c r="CO27" t="s">
        <v>285</v>
      </c>
      <c r="CP27" t="s">
        <v>303</v>
      </c>
      <c r="CQ27" t="s">
        <v>303</v>
      </c>
    </row>
    <row r="28" spans="1:95" x14ac:dyDescent="0.25">
      <c r="A28" s="2" t="s">
        <v>34</v>
      </c>
      <c r="B28" s="17">
        <v>0</v>
      </c>
      <c r="C28" s="17">
        <v>0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5.0999999999999996</v>
      </c>
      <c r="M28" s="17">
        <v>0</v>
      </c>
      <c r="N28" s="17">
        <v>0</v>
      </c>
      <c r="O28" s="17">
        <v>40</v>
      </c>
      <c r="P28" s="17">
        <v>7.0250000000000004</v>
      </c>
      <c r="Q28" s="17">
        <v>0</v>
      </c>
      <c r="R28" s="17">
        <v>2.9500000000000028</v>
      </c>
      <c r="S28" s="17">
        <v>0</v>
      </c>
      <c r="T28" s="17">
        <v>0</v>
      </c>
      <c r="U28" s="17">
        <v>0</v>
      </c>
      <c r="V28" s="17">
        <f t="shared" si="35"/>
        <v>55.075000000000003</v>
      </c>
      <c r="W28" s="18">
        <v>54.6</v>
      </c>
      <c r="X28" s="17">
        <v>0</v>
      </c>
      <c r="Y28" s="17">
        <v>0</v>
      </c>
      <c r="Z28" s="19">
        <v>15.425000000000001</v>
      </c>
      <c r="AA28" s="17">
        <v>0</v>
      </c>
      <c r="AB28" s="17">
        <v>0</v>
      </c>
      <c r="AC28" s="17">
        <v>0</v>
      </c>
      <c r="AD28" s="17">
        <v>0</v>
      </c>
      <c r="AE28" s="17">
        <v>0</v>
      </c>
      <c r="AF28" s="19">
        <v>29.2</v>
      </c>
      <c r="AG28" s="17">
        <v>0</v>
      </c>
      <c r="AH28" s="17">
        <f t="shared" si="36"/>
        <v>0.47500000000000142</v>
      </c>
      <c r="AI28" s="20">
        <v>0.97499999999999787</v>
      </c>
      <c r="AJ28" s="21">
        <v>859.36261864557332</v>
      </c>
      <c r="AK28" s="22">
        <v>495.66725675698024</v>
      </c>
      <c r="AL28" s="22">
        <v>505.07812784984702</v>
      </c>
      <c r="AM28" s="16">
        <v>11.4</v>
      </c>
      <c r="AN28" s="23">
        <f t="shared" si="2"/>
        <v>0</v>
      </c>
      <c r="AO28" s="23">
        <f t="shared" si="3"/>
        <v>0</v>
      </c>
      <c r="AP28" s="23">
        <f t="shared" si="4"/>
        <v>0</v>
      </c>
      <c r="AQ28" s="23">
        <f t="shared" si="5"/>
        <v>0</v>
      </c>
      <c r="AR28" s="23">
        <f t="shared" si="6"/>
        <v>0</v>
      </c>
      <c r="AS28" s="23">
        <f t="shared" si="7"/>
        <v>0</v>
      </c>
      <c r="AT28" s="23">
        <f t="shared" si="8"/>
        <v>0</v>
      </c>
      <c r="AU28" s="23">
        <f t="shared" si="9"/>
        <v>0</v>
      </c>
      <c r="AV28" s="23">
        <f t="shared" si="10"/>
        <v>0</v>
      </c>
      <c r="AW28" s="23">
        <f t="shared" si="11"/>
        <v>0</v>
      </c>
      <c r="AX28" s="23">
        <f t="shared" si="12"/>
        <v>44.74</v>
      </c>
      <c r="AY28" s="23">
        <f t="shared" si="13"/>
        <v>0</v>
      </c>
      <c r="AZ28" s="23">
        <f t="shared" si="14"/>
        <v>0</v>
      </c>
      <c r="BA28" s="23">
        <f t="shared" si="15"/>
        <v>350.88</v>
      </c>
      <c r="BB28" s="23">
        <f t="shared" si="16"/>
        <v>61.62</v>
      </c>
      <c r="BC28" s="23">
        <f t="shared" si="17"/>
        <v>0</v>
      </c>
      <c r="BD28" s="23">
        <f t="shared" si="18"/>
        <v>25.88</v>
      </c>
      <c r="BE28" s="23">
        <f t="shared" si="19"/>
        <v>0</v>
      </c>
      <c r="BF28" s="23">
        <f t="shared" si="20"/>
        <v>0</v>
      </c>
      <c r="BG28" s="23">
        <f t="shared" si="21"/>
        <v>0</v>
      </c>
      <c r="BH28" s="23">
        <f t="shared" si="22"/>
        <v>483.11</v>
      </c>
      <c r="BI28" s="23">
        <f t="shared" si="23"/>
        <v>478.95</v>
      </c>
      <c r="BJ28" s="23">
        <f t="shared" si="24"/>
        <v>0</v>
      </c>
      <c r="BK28" s="23">
        <f t="shared" si="25"/>
        <v>0</v>
      </c>
      <c r="BL28" s="23">
        <f t="shared" si="26"/>
        <v>135.31</v>
      </c>
      <c r="BM28" s="23">
        <f t="shared" si="27"/>
        <v>0</v>
      </c>
      <c r="BN28" s="23">
        <f t="shared" si="28"/>
        <v>0</v>
      </c>
      <c r="BO28" s="23">
        <f t="shared" si="29"/>
        <v>0</v>
      </c>
      <c r="BP28" s="23">
        <f t="shared" si="30"/>
        <v>0</v>
      </c>
      <c r="BQ28" s="23">
        <f t="shared" si="31"/>
        <v>0</v>
      </c>
      <c r="BR28" s="23">
        <f t="shared" si="32"/>
        <v>256.14</v>
      </c>
      <c r="BS28" s="23">
        <f t="shared" si="33"/>
        <v>0</v>
      </c>
      <c r="BT28" s="23">
        <f t="shared" si="37"/>
        <v>4.17</v>
      </c>
      <c r="BU28" s="23">
        <f t="shared" si="37"/>
        <v>8.5500000000000007</v>
      </c>
      <c r="BV28" s="23">
        <f t="shared" si="37"/>
        <v>7538.27</v>
      </c>
      <c r="BW28" s="23">
        <f t="shared" si="37"/>
        <v>4347.96</v>
      </c>
      <c r="BX28" s="23">
        <f t="shared" si="37"/>
        <v>4430.51</v>
      </c>
      <c r="BY28" t="s">
        <v>268</v>
      </c>
      <c r="CB28" s="36">
        <v>0.02</v>
      </c>
      <c r="CC28" s="36">
        <v>0.04</v>
      </c>
      <c r="CD28" s="36">
        <v>1E-3</v>
      </c>
      <c r="CE28" t="s">
        <v>266</v>
      </c>
      <c r="CF28" t="s">
        <v>267</v>
      </c>
      <c r="CG28" t="s">
        <v>266</v>
      </c>
      <c r="CH28" t="s">
        <v>267</v>
      </c>
      <c r="CI28" t="s">
        <v>266</v>
      </c>
      <c r="CJ28" t="s">
        <v>267</v>
      </c>
      <c r="CK28" t="s">
        <v>267</v>
      </c>
      <c r="CL28" t="s">
        <v>266</v>
      </c>
      <c r="CM28" t="s">
        <v>285</v>
      </c>
      <c r="CN28" t="s">
        <v>285</v>
      </c>
      <c r="CO28" t="s">
        <v>285</v>
      </c>
      <c r="CP28" t="s">
        <v>303</v>
      </c>
      <c r="CQ28" t="s">
        <v>303</v>
      </c>
    </row>
    <row r="29" spans="1:95" x14ac:dyDescent="0.25">
      <c r="A29" s="2" t="s">
        <v>35</v>
      </c>
      <c r="B29" s="17">
        <v>0</v>
      </c>
      <c r="C29" s="17">
        <v>0</v>
      </c>
      <c r="D29" s="17">
        <v>0</v>
      </c>
      <c r="E29" s="17">
        <v>0</v>
      </c>
      <c r="F29" s="17">
        <v>0</v>
      </c>
      <c r="G29" s="17">
        <v>0</v>
      </c>
      <c r="H29" s="17">
        <v>0</v>
      </c>
      <c r="I29" s="17">
        <v>0</v>
      </c>
      <c r="J29" s="17">
        <v>0</v>
      </c>
      <c r="K29" s="17">
        <v>0</v>
      </c>
      <c r="L29" s="17">
        <v>5.125</v>
      </c>
      <c r="M29" s="17">
        <v>0</v>
      </c>
      <c r="N29" s="17">
        <v>0</v>
      </c>
      <c r="O29" s="17">
        <v>40.250000000000007</v>
      </c>
      <c r="P29" s="17">
        <v>7.1749999999999989</v>
      </c>
      <c r="Q29" s="17">
        <v>0</v>
      </c>
      <c r="R29" s="17">
        <v>2.6000000000000014</v>
      </c>
      <c r="S29" s="17">
        <v>0</v>
      </c>
      <c r="T29" s="17">
        <v>0</v>
      </c>
      <c r="U29" s="17">
        <v>0</v>
      </c>
      <c r="V29" s="17">
        <f t="shared" si="35"/>
        <v>55.150000000000006</v>
      </c>
      <c r="W29" s="18">
        <v>56.050000000000004</v>
      </c>
      <c r="X29" s="17">
        <v>0</v>
      </c>
      <c r="Y29" s="17">
        <v>0</v>
      </c>
      <c r="Z29" s="19">
        <v>16.574999999999999</v>
      </c>
      <c r="AA29" s="17">
        <v>0</v>
      </c>
      <c r="AB29" s="17">
        <v>0</v>
      </c>
      <c r="AC29" s="17">
        <v>0</v>
      </c>
      <c r="AD29" s="17">
        <v>0</v>
      </c>
      <c r="AE29" s="17">
        <v>0</v>
      </c>
      <c r="AF29" s="19">
        <v>29.25</v>
      </c>
      <c r="AG29" s="17">
        <v>0</v>
      </c>
      <c r="AH29" s="17">
        <f t="shared" si="36"/>
        <v>-0.89999999999999858</v>
      </c>
      <c r="AI29" s="20">
        <v>0.1499999999999968</v>
      </c>
      <c r="AJ29" s="21">
        <v>855.58757322799067</v>
      </c>
      <c r="AK29" s="22">
        <v>509.73921739004692</v>
      </c>
      <c r="AL29" s="22">
        <v>509.65052537757981</v>
      </c>
      <c r="AM29" s="16">
        <v>10.7</v>
      </c>
      <c r="AN29" s="23">
        <f t="shared" si="2"/>
        <v>0</v>
      </c>
      <c r="AO29" s="23">
        <f t="shared" si="3"/>
        <v>0</v>
      </c>
      <c r="AP29" s="23">
        <f t="shared" si="4"/>
        <v>0</v>
      </c>
      <c r="AQ29" s="23">
        <f t="shared" si="5"/>
        <v>0</v>
      </c>
      <c r="AR29" s="23">
        <f t="shared" si="6"/>
        <v>0</v>
      </c>
      <c r="AS29" s="23">
        <f t="shared" si="7"/>
        <v>0</v>
      </c>
      <c r="AT29" s="23">
        <f t="shared" si="8"/>
        <v>0</v>
      </c>
      <c r="AU29" s="23">
        <f t="shared" si="9"/>
        <v>0</v>
      </c>
      <c r="AV29" s="23">
        <f t="shared" si="10"/>
        <v>0</v>
      </c>
      <c r="AW29" s="23">
        <f t="shared" si="11"/>
        <v>0</v>
      </c>
      <c r="AX29" s="23">
        <f t="shared" si="12"/>
        <v>47.9</v>
      </c>
      <c r="AY29" s="23">
        <f t="shared" si="13"/>
        <v>0</v>
      </c>
      <c r="AZ29" s="23">
        <f t="shared" si="14"/>
        <v>0</v>
      </c>
      <c r="BA29" s="23">
        <f t="shared" si="15"/>
        <v>376.17</v>
      </c>
      <c r="BB29" s="23">
        <f t="shared" si="16"/>
        <v>67.06</v>
      </c>
      <c r="BC29" s="23">
        <f t="shared" si="17"/>
        <v>0</v>
      </c>
      <c r="BD29" s="23">
        <f t="shared" si="18"/>
        <v>24.3</v>
      </c>
      <c r="BE29" s="23">
        <f t="shared" si="19"/>
        <v>0</v>
      </c>
      <c r="BF29" s="23">
        <f t="shared" si="20"/>
        <v>0</v>
      </c>
      <c r="BG29" s="23">
        <f t="shared" si="21"/>
        <v>0</v>
      </c>
      <c r="BH29" s="23">
        <f t="shared" si="22"/>
        <v>515.41999999999996</v>
      </c>
      <c r="BI29" s="23">
        <f t="shared" si="23"/>
        <v>523.83000000000004</v>
      </c>
      <c r="BJ29" s="23">
        <f t="shared" si="24"/>
        <v>0</v>
      </c>
      <c r="BK29" s="23">
        <f t="shared" si="25"/>
        <v>0</v>
      </c>
      <c r="BL29" s="23">
        <f t="shared" si="26"/>
        <v>154.91</v>
      </c>
      <c r="BM29" s="23">
        <f t="shared" si="27"/>
        <v>0</v>
      </c>
      <c r="BN29" s="23">
        <f t="shared" si="28"/>
        <v>0</v>
      </c>
      <c r="BO29" s="23">
        <f t="shared" si="29"/>
        <v>0</v>
      </c>
      <c r="BP29" s="23">
        <f t="shared" si="30"/>
        <v>0</v>
      </c>
      <c r="BQ29" s="23">
        <f t="shared" si="31"/>
        <v>0</v>
      </c>
      <c r="BR29" s="23">
        <f t="shared" si="32"/>
        <v>273.36</v>
      </c>
      <c r="BS29" s="23">
        <f t="shared" si="33"/>
        <v>0</v>
      </c>
      <c r="BT29" s="23">
        <f t="shared" si="37"/>
        <v>-8.41</v>
      </c>
      <c r="BU29" s="23">
        <f t="shared" si="37"/>
        <v>1.4</v>
      </c>
      <c r="BV29" s="23">
        <f t="shared" si="37"/>
        <v>7996.15</v>
      </c>
      <c r="BW29" s="23">
        <f t="shared" si="37"/>
        <v>4763.92</v>
      </c>
      <c r="BX29" s="23">
        <f t="shared" si="37"/>
        <v>4763.09</v>
      </c>
      <c r="BY29" t="s">
        <v>268</v>
      </c>
      <c r="CB29" s="36">
        <v>0.02</v>
      </c>
      <c r="CC29" s="36">
        <v>0.04</v>
      </c>
      <c r="CD29" s="36">
        <v>1E-3</v>
      </c>
      <c r="CE29" t="s">
        <v>266</v>
      </c>
      <c r="CF29" t="s">
        <v>267</v>
      </c>
      <c r="CG29" t="s">
        <v>266</v>
      </c>
      <c r="CH29" t="s">
        <v>267</v>
      </c>
      <c r="CI29" t="s">
        <v>266</v>
      </c>
      <c r="CJ29" t="s">
        <v>267</v>
      </c>
      <c r="CK29" t="s">
        <v>267</v>
      </c>
      <c r="CL29" t="s">
        <v>266</v>
      </c>
      <c r="CM29" t="s">
        <v>285</v>
      </c>
      <c r="CN29" t="s">
        <v>285</v>
      </c>
      <c r="CO29" t="s">
        <v>285</v>
      </c>
      <c r="CP29" t="s">
        <v>303</v>
      </c>
      <c r="CQ29" t="s">
        <v>303</v>
      </c>
    </row>
    <row r="30" spans="1:95" x14ac:dyDescent="0.25">
      <c r="A30" s="2" t="s">
        <v>36</v>
      </c>
      <c r="B30" s="17">
        <v>0</v>
      </c>
      <c r="C30" s="17">
        <v>0</v>
      </c>
      <c r="D30" s="17">
        <v>0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5.2250000000000005</v>
      </c>
      <c r="M30" s="17">
        <v>0</v>
      </c>
      <c r="N30" s="17">
        <v>0</v>
      </c>
      <c r="O30" s="17">
        <v>40.75</v>
      </c>
      <c r="P30" s="17">
        <v>7.4</v>
      </c>
      <c r="Q30" s="17">
        <v>0</v>
      </c>
      <c r="R30" s="17">
        <v>2.8250000000000028</v>
      </c>
      <c r="S30" s="17">
        <v>0</v>
      </c>
      <c r="T30" s="17">
        <v>0</v>
      </c>
      <c r="U30" s="17">
        <v>0</v>
      </c>
      <c r="V30" s="17">
        <f t="shared" si="35"/>
        <v>56.2</v>
      </c>
      <c r="W30" s="18">
        <v>55.3</v>
      </c>
      <c r="X30" s="17">
        <v>0</v>
      </c>
      <c r="Y30" s="17">
        <v>0</v>
      </c>
      <c r="Z30" s="19">
        <v>15.950000000000003</v>
      </c>
      <c r="AA30" s="17">
        <v>0</v>
      </c>
      <c r="AB30" s="17">
        <v>0</v>
      </c>
      <c r="AC30" s="17">
        <v>0</v>
      </c>
      <c r="AD30" s="17">
        <v>0</v>
      </c>
      <c r="AE30" s="17">
        <v>0</v>
      </c>
      <c r="AF30" s="19">
        <v>29.374999999999996</v>
      </c>
      <c r="AG30" s="17">
        <v>0</v>
      </c>
      <c r="AH30" s="17">
        <f t="shared" si="36"/>
        <v>0.90000000000000568</v>
      </c>
      <c r="AI30" s="20">
        <v>2.65</v>
      </c>
      <c r="AJ30" s="21">
        <v>851.22791429566337</v>
      </c>
      <c r="AK30" s="22">
        <v>505.64073315723022</v>
      </c>
      <c r="AL30" s="22">
        <v>497.70984072899813</v>
      </c>
      <c r="AM30" s="16">
        <v>10.4</v>
      </c>
      <c r="AN30" s="23">
        <f t="shared" si="2"/>
        <v>0</v>
      </c>
      <c r="AO30" s="23">
        <f t="shared" si="3"/>
        <v>0</v>
      </c>
      <c r="AP30" s="23">
        <f t="shared" si="4"/>
        <v>0</v>
      </c>
      <c r="AQ30" s="23">
        <f t="shared" si="5"/>
        <v>0</v>
      </c>
      <c r="AR30" s="23">
        <f t="shared" si="6"/>
        <v>0</v>
      </c>
      <c r="AS30" s="23">
        <f t="shared" si="7"/>
        <v>0</v>
      </c>
      <c r="AT30" s="23">
        <f t="shared" si="8"/>
        <v>0</v>
      </c>
      <c r="AU30" s="23">
        <f t="shared" si="9"/>
        <v>0</v>
      </c>
      <c r="AV30" s="23">
        <f t="shared" si="10"/>
        <v>0</v>
      </c>
      <c r="AW30" s="23">
        <f t="shared" si="11"/>
        <v>0</v>
      </c>
      <c r="AX30" s="23">
        <f t="shared" si="12"/>
        <v>50.24</v>
      </c>
      <c r="AY30" s="23">
        <f t="shared" si="13"/>
        <v>0</v>
      </c>
      <c r="AZ30" s="23">
        <f t="shared" si="14"/>
        <v>0</v>
      </c>
      <c r="BA30" s="23">
        <f t="shared" si="15"/>
        <v>391.83</v>
      </c>
      <c r="BB30" s="23">
        <f t="shared" si="16"/>
        <v>71.150000000000006</v>
      </c>
      <c r="BC30" s="23">
        <f t="shared" si="17"/>
        <v>0</v>
      </c>
      <c r="BD30" s="23">
        <f t="shared" si="18"/>
        <v>27.16</v>
      </c>
      <c r="BE30" s="23">
        <f t="shared" si="19"/>
        <v>0</v>
      </c>
      <c r="BF30" s="23">
        <f t="shared" si="20"/>
        <v>0</v>
      </c>
      <c r="BG30" s="23">
        <f t="shared" si="21"/>
        <v>0</v>
      </c>
      <c r="BH30" s="23">
        <f t="shared" si="22"/>
        <v>540.38</v>
      </c>
      <c r="BI30" s="23">
        <f t="shared" si="23"/>
        <v>531.73</v>
      </c>
      <c r="BJ30" s="23">
        <f t="shared" si="24"/>
        <v>0</v>
      </c>
      <c r="BK30" s="23">
        <f t="shared" si="25"/>
        <v>0</v>
      </c>
      <c r="BL30" s="23">
        <f t="shared" si="26"/>
        <v>153.37</v>
      </c>
      <c r="BM30" s="23">
        <f t="shared" si="27"/>
        <v>0</v>
      </c>
      <c r="BN30" s="23">
        <f t="shared" si="28"/>
        <v>0</v>
      </c>
      <c r="BO30" s="23">
        <f t="shared" si="29"/>
        <v>0</v>
      </c>
      <c r="BP30" s="23">
        <f t="shared" si="30"/>
        <v>0</v>
      </c>
      <c r="BQ30" s="23">
        <f t="shared" si="31"/>
        <v>0</v>
      </c>
      <c r="BR30" s="23">
        <f t="shared" si="32"/>
        <v>282.45</v>
      </c>
      <c r="BS30" s="23">
        <f t="shared" si="33"/>
        <v>0</v>
      </c>
      <c r="BT30" s="23">
        <f t="shared" si="37"/>
        <v>8.65</v>
      </c>
      <c r="BU30" s="23">
        <f t="shared" si="37"/>
        <v>25.48</v>
      </c>
      <c r="BV30" s="23">
        <f t="shared" si="37"/>
        <v>8184.88</v>
      </c>
      <c r="BW30" s="23">
        <f t="shared" si="37"/>
        <v>4861.93</v>
      </c>
      <c r="BX30" s="23">
        <f t="shared" si="37"/>
        <v>4785.67</v>
      </c>
      <c r="BY30" t="s">
        <v>268</v>
      </c>
      <c r="CB30" s="36">
        <v>0.02</v>
      </c>
      <c r="CC30" s="36">
        <v>0.04</v>
      </c>
      <c r="CD30" s="36">
        <v>1E-3</v>
      </c>
      <c r="CE30" t="s">
        <v>266</v>
      </c>
      <c r="CF30" t="s">
        <v>267</v>
      </c>
      <c r="CG30" t="s">
        <v>266</v>
      </c>
      <c r="CH30" t="s">
        <v>267</v>
      </c>
      <c r="CI30" t="s">
        <v>266</v>
      </c>
      <c r="CJ30" t="s">
        <v>267</v>
      </c>
      <c r="CK30" t="s">
        <v>267</v>
      </c>
      <c r="CL30" t="s">
        <v>266</v>
      </c>
      <c r="CM30" t="s">
        <v>285</v>
      </c>
      <c r="CN30" t="s">
        <v>285</v>
      </c>
      <c r="CO30" t="s">
        <v>285</v>
      </c>
      <c r="CP30" t="s">
        <v>303</v>
      </c>
    </row>
    <row r="31" spans="1:95" x14ac:dyDescent="0.25">
      <c r="A31" s="2" t="s">
        <v>37</v>
      </c>
      <c r="B31" s="17">
        <v>0</v>
      </c>
      <c r="C31" s="17">
        <v>0</v>
      </c>
      <c r="D31" s="17">
        <v>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5.3249999999999993</v>
      </c>
      <c r="M31" s="17">
        <v>0</v>
      </c>
      <c r="N31" s="17">
        <v>0</v>
      </c>
      <c r="O31" s="17">
        <v>39.75</v>
      </c>
      <c r="P31" s="17">
        <v>7.3750000000000009</v>
      </c>
      <c r="Q31" s="17">
        <v>0</v>
      </c>
      <c r="R31" s="17">
        <v>2.6499999999999915</v>
      </c>
      <c r="S31" s="17">
        <v>0</v>
      </c>
      <c r="T31" s="17">
        <v>0</v>
      </c>
      <c r="U31" s="17">
        <v>0</v>
      </c>
      <c r="V31" s="17">
        <f t="shared" si="35"/>
        <v>55.099999999999994</v>
      </c>
      <c r="W31" s="18">
        <v>53.55</v>
      </c>
      <c r="X31" s="17">
        <v>0</v>
      </c>
      <c r="Y31" s="17">
        <v>0</v>
      </c>
      <c r="Z31" s="19">
        <v>15.249999999999998</v>
      </c>
      <c r="AA31" s="17">
        <v>0</v>
      </c>
      <c r="AB31" s="17">
        <v>0</v>
      </c>
      <c r="AC31" s="17">
        <v>0</v>
      </c>
      <c r="AD31" s="17">
        <v>0</v>
      </c>
      <c r="AE31" s="17">
        <v>0</v>
      </c>
      <c r="AF31" s="19">
        <v>29.25</v>
      </c>
      <c r="AG31" s="17">
        <v>0</v>
      </c>
      <c r="AH31" s="17">
        <f t="shared" si="36"/>
        <v>1.5499999999999972</v>
      </c>
      <c r="AI31" s="20">
        <v>1.85</v>
      </c>
      <c r="AJ31" s="21">
        <v>847.49494766690304</v>
      </c>
      <c r="AK31" s="22">
        <v>498.16046676448434</v>
      </c>
      <c r="AL31" s="22">
        <v>506.99261126368879</v>
      </c>
      <c r="AM31" s="16">
        <v>10.3</v>
      </c>
      <c r="AN31" s="23">
        <f t="shared" si="2"/>
        <v>0</v>
      </c>
      <c r="AO31" s="23">
        <f t="shared" si="3"/>
        <v>0</v>
      </c>
      <c r="AP31" s="23">
        <f t="shared" si="4"/>
        <v>0</v>
      </c>
      <c r="AQ31" s="23">
        <f t="shared" si="5"/>
        <v>0</v>
      </c>
      <c r="AR31" s="23">
        <f t="shared" si="6"/>
        <v>0</v>
      </c>
      <c r="AS31" s="23">
        <f t="shared" si="7"/>
        <v>0</v>
      </c>
      <c r="AT31" s="23">
        <f t="shared" si="8"/>
        <v>0</v>
      </c>
      <c r="AU31" s="23">
        <f t="shared" si="9"/>
        <v>0</v>
      </c>
      <c r="AV31" s="23">
        <f t="shared" si="10"/>
        <v>0</v>
      </c>
      <c r="AW31" s="23">
        <f t="shared" si="11"/>
        <v>0</v>
      </c>
      <c r="AX31" s="23">
        <f t="shared" si="12"/>
        <v>51.7</v>
      </c>
      <c r="AY31" s="23">
        <f t="shared" si="13"/>
        <v>0</v>
      </c>
      <c r="AZ31" s="23">
        <f t="shared" si="14"/>
        <v>0</v>
      </c>
      <c r="BA31" s="23">
        <f t="shared" si="15"/>
        <v>385.92</v>
      </c>
      <c r="BB31" s="23">
        <f t="shared" si="16"/>
        <v>71.599999999999994</v>
      </c>
      <c r="BC31" s="23">
        <f t="shared" si="17"/>
        <v>0</v>
      </c>
      <c r="BD31" s="23">
        <f t="shared" si="18"/>
        <v>25.73</v>
      </c>
      <c r="BE31" s="23">
        <f t="shared" si="19"/>
        <v>0</v>
      </c>
      <c r="BF31" s="23">
        <f t="shared" si="20"/>
        <v>0</v>
      </c>
      <c r="BG31" s="23">
        <f t="shared" si="21"/>
        <v>0</v>
      </c>
      <c r="BH31" s="23">
        <f t="shared" si="22"/>
        <v>534.95000000000005</v>
      </c>
      <c r="BI31" s="23">
        <f t="shared" si="23"/>
        <v>519.9</v>
      </c>
      <c r="BJ31" s="23">
        <f t="shared" si="24"/>
        <v>0</v>
      </c>
      <c r="BK31" s="23">
        <f t="shared" si="25"/>
        <v>0</v>
      </c>
      <c r="BL31" s="23">
        <f t="shared" si="26"/>
        <v>148.06</v>
      </c>
      <c r="BM31" s="23">
        <f t="shared" si="27"/>
        <v>0</v>
      </c>
      <c r="BN31" s="23">
        <f t="shared" si="28"/>
        <v>0</v>
      </c>
      <c r="BO31" s="23">
        <f t="shared" si="29"/>
        <v>0</v>
      </c>
      <c r="BP31" s="23">
        <f t="shared" si="30"/>
        <v>0</v>
      </c>
      <c r="BQ31" s="23">
        <f t="shared" si="31"/>
        <v>0</v>
      </c>
      <c r="BR31" s="23">
        <f t="shared" si="32"/>
        <v>283.98</v>
      </c>
      <c r="BS31" s="23">
        <f t="shared" si="33"/>
        <v>0</v>
      </c>
      <c r="BT31" s="23">
        <f t="shared" si="37"/>
        <v>15.05</v>
      </c>
      <c r="BU31" s="23">
        <f t="shared" si="37"/>
        <v>17.96</v>
      </c>
      <c r="BV31" s="23">
        <f t="shared" si="37"/>
        <v>8228.11</v>
      </c>
      <c r="BW31" s="23">
        <f t="shared" si="37"/>
        <v>4836.51</v>
      </c>
      <c r="BX31" s="23">
        <f t="shared" si="37"/>
        <v>4922.26</v>
      </c>
      <c r="BY31" t="s">
        <v>268</v>
      </c>
      <c r="CB31" s="36">
        <v>0.02</v>
      </c>
      <c r="CC31" s="36">
        <v>0.04</v>
      </c>
      <c r="CD31" s="36">
        <v>1E-3</v>
      </c>
      <c r="CE31" t="s">
        <v>266</v>
      </c>
      <c r="CF31" t="s">
        <v>267</v>
      </c>
      <c r="CG31" t="s">
        <v>266</v>
      </c>
      <c r="CH31" t="s">
        <v>267</v>
      </c>
      <c r="CI31" t="s">
        <v>266</v>
      </c>
      <c r="CJ31" t="s">
        <v>267</v>
      </c>
      <c r="CK31" t="s">
        <v>267</v>
      </c>
      <c r="CL31" t="s">
        <v>266</v>
      </c>
      <c r="CM31" t="s">
        <v>285</v>
      </c>
      <c r="CN31" t="s">
        <v>285</v>
      </c>
      <c r="CO31" t="s">
        <v>285</v>
      </c>
      <c r="CP31" t="s">
        <v>303</v>
      </c>
      <c r="CQ31" t="s">
        <v>303</v>
      </c>
    </row>
    <row r="32" spans="1:95" x14ac:dyDescent="0.25">
      <c r="A32" s="2" t="s">
        <v>38</v>
      </c>
      <c r="B32" s="17">
        <v>0</v>
      </c>
      <c r="C32" s="17">
        <v>0</v>
      </c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5.3500000000000005</v>
      </c>
      <c r="M32" s="17">
        <v>0</v>
      </c>
      <c r="N32" s="17">
        <v>0</v>
      </c>
      <c r="O32" s="17">
        <v>38.249999999999993</v>
      </c>
      <c r="P32" s="17">
        <v>7.2749999999999995</v>
      </c>
      <c r="Q32" s="17">
        <v>0</v>
      </c>
      <c r="R32" s="17">
        <v>2.6500000000000057</v>
      </c>
      <c r="S32" s="17">
        <v>0</v>
      </c>
      <c r="T32" s="17">
        <v>0</v>
      </c>
      <c r="U32" s="17">
        <v>0</v>
      </c>
      <c r="V32" s="17">
        <f t="shared" si="35"/>
        <v>53.524999999999999</v>
      </c>
      <c r="W32" s="18">
        <v>53.250000000000007</v>
      </c>
      <c r="X32" s="17">
        <v>0</v>
      </c>
      <c r="Y32" s="17">
        <v>0</v>
      </c>
      <c r="Z32" s="19">
        <v>15.200000000000001</v>
      </c>
      <c r="AA32" s="17">
        <v>0</v>
      </c>
      <c r="AB32" s="17">
        <v>0</v>
      </c>
      <c r="AC32" s="17">
        <v>0</v>
      </c>
      <c r="AD32" s="17">
        <v>0</v>
      </c>
      <c r="AE32" s="17">
        <v>0</v>
      </c>
      <c r="AF32" s="19">
        <v>29.125000000000004</v>
      </c>
      <c r="AG32" s="17">
        <v>0</v>
      </c>
      <c r="AH32" s="17">
        <f t="shared" si="36"/>
        <v>0.27499999999999147</v>
      </c>
      <c r="AI32" s="20">
        <v>1.7250000000000001</v>
      </c>
      <c r="AJ32" s="21">
        <v>839.83907080808228</v>
      </c>
      <c r="AK32" s="22">
        <v>509.30953657289706</v>
      </c>
      <c r="AL32" s="22">
        <v>505.11124269210916</v>
      </c>
      <c r="AM32" s="16">
        <v>9.9</v>
      </c>
      <c r="AN32" s="23">
        <f t="shared" si="2"/>
        <v>0</v>
      </c>
      <c r="AO32" s="23">
        <f t="shared" si="3"/>
        <v>0</v>
      </c>
      <c r="AP32" s="23">
        <f t="shared" si="4"/>
        <v>0</v>
      </c>
      <c r="AQ32" s="23">
        <f t="shared" si="5"/>
        <v>0</v>
      </c>
      <c r="AR32" s="23">
        <f t="shared" si="6"/>
        <v>0</v>
      </c>
      <c r="AS32" s="23">
        <f t="shared" si="7"/>
        <v>0</v>
      </c>
      <c r="AT32" s="23">
        <f t="shared" si="8"/>
        <v>0</v>
      </c>
      <c r="AU32" s="23">
        <f t="shared" si="9"/>
        <v>0</v>
      </c>
      <c r="AV32" s="23">
        <f t="shared" si="10"/>
        <v>0</v>
      </c>
      <c r="AW32" s="23">
        <f t="shared" si="11"/>
        <v>0</v>
      </c>
      <c r="AX32" s="23">
        <f t="shared" si="12"/>
        <v>54.04</v>
      </c>
      <c r="AY32" s="23">
        <f t="shared" si="13"/>
        <v>0</v>
      </c>
      <c r="AZ32" s="23">
        <f t="shared" si="14"/>
        <v>0</v>
      </c>
      <c r="BA32" s="23">
        <f t="shared" si="15"/>
        <v>386.36</v>
      </c>
      <c r="BB32" s="23">
        <f t="shared" si="16"/>
        <v>73.48</v>
      </c>
      <c r="BC32" s="23">
        <f t="shared" si="17"/>
        <v>0</v>
      </c>
      <c r="BD32" s="23">
        <f t="shared" si="18"/>
        <v>26.77</v>
      </c>
      <c r="BE32" s="23">
        <f t="shared" si="19"/>
        <v>0</v>
      </c>
      <c r="BF32" s="23">
        <f t="shared" si="20"/>
        <v>0</v>
      </c>
      <c r="BG32" s="23">
        <f t="shared" si="21"/>
        <v>0</v>
      </c>
      <c r="BH32" s="23">
        <f t="shared" si="22"/>
        <v>540.66</v>
      </c>
      <c r="BI32" s="23">
        <f t="shared" si="23"/>
        <v>537.88</v>
      </c>
      <c r="BJ32" s="23">
        <f t="shared" si="24"/>
        <v>0</v>
      </c>
      <c r="BK32" s="23">
        <f t="shared" si="25"/>
        <v>0</v>
      </c>
      <c r="BL32" s="23">
        <f t="shared" si="26"/>
        <v>153.54</v>
      </c>
      <c r="BM32" s="23">
        <f t="shared" si="27"/>
        <v>0</v>
      </c>
      <c r="BN32" s="23">
        <f t="shared" si="28"/>
        <v>0</v>
      </c>
      <c r="BO32" s="23">
        <f t="shared" si="29"/>
        <v>0</v>
      </c>
      <c r="BP32" s="23">
        <f t="shared" si="30"/>
        <v>0</v>
      </c>
      <c r="BQ32" s="23">
        <f t="shared" si="31"/>
        <v>0</v>
      </c>
      <c r="BR32" s="23">
        <f t="shared" si="32"/>
        <v>294.19</v>
      </c>
      <c r="BS32" s="23">
        <f t="shared" si="33"/>
        <v>0</v>
      </c>
      <c r="BT32" s="23">
        <f t="shared" si="37"/>
        <v>2.78</v>
      </c>
      <c r="BU32" s="23">
        <f t="shared" si="37"/>
        <v>17.420000000000002</v>
      </c>
      <c r="BV32" s="23">
        <f t="shared" si="37"/>
        <v>8483.2199999999993</v>
      </c>
      <c r="BW32" s="23">
        <f t="shared" si="37"/>
        <v>5144.54</v>
      </c>
      <c r="BX32" s="23">
        <f t="shared" si="37"/>
        <v>5102.13</v>
      </c>
      <c r="BY32" t="s">
        <v>268</v>
      </c>
      <c r="CB32" s="36">
        <v>0.02</v>
      </c>
      <c r="CC32" s="36">
        <v>0.04</v>
      </c>
      <c r="CD32" s="36">
        <v>1E-3</v>
      </c>
      <c r="CE32" t="s">
        <v>266</v>
      </c>
      <c r="CF32" t="s">
        <v>267</v>
      </c>
      <c r="CG32" t="s">
        <v>266</v>
      </c>
      <c r="CH32" t="s">
        <v>267</v>
      </c>
      <c r="CI32" t="s">
        <v>266</v>
      </c>
      <c r="CJ32" t="s">
        <v>267</v>
      </c>
      <c r="CK32" t="s">
        <v>267</v>
      </c>
      <c r="CL32" t="s">
        <v>266</v>
      </c>
      <c r="CM32" t="s">
        <v>285</v>
      </c>
      <c r="CN32" t="s">
        <v>285</v>
      </c>
      <c r="CO32" t="s">
        <v>285</v>
      </c>
      <c r="CP32" t="s">
        <v>303</v>
      </c>
      <c r="CQ32" t="s">
        <v>303</v>
      </c>
    </row>
    <row r="33" spans="1:95" x14ac:dyDescent="0.25">
      <c r="A33" s="2" t="s">
        <v>39</v>
      </c>
      <c r="B33" s="17">
        <v>0</v>
      </c>
      <c r="C33" s="17">
        <v>0</v>
      </c>
      <c r="D33" s="17">
        <v>0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5.2</v>
      </c>
      <c r="M33" s="17">
        <v>0</v>
      </c>
      <c r="N33" s="17">
        <v>0</v>
      </c>
      <c r="O33" s="17">
        <v>36.25</v>
      </c>
      <c r="P33" s="17">
        <v>7.2</v>
      </c>
      <c r="Q33" s="17">
        <v>0</v>
      </c>
      <c r="R33" s="17">
        <v>2.0749999999999957</v>
      </c>
      <c r="S33" s="17">
        <v>0</v>
      </c>
      <c r="T33" s="17">
        <v>0</v>
      </c>
      <c r="U33" s="17">
        <v>0</v>
      </c>
      <c r="V33" s="17">
        <f t="shared" si="35"/>
        <v>50.725000000000001</v>
      </c>
      <c r="W33" s="18">
        <v>51.8</v>
      </c>
      <c r="X33" s="17">
        <v>0</v>
      </c>
      <c r="Y33" s="17">
        <v>0</v>
      </c>
      <c r="Z33" s="19">
        <v>14.525000000000002</v>
      </c>
      <c r="AA33" s="17">
        <v>0</v>
      </c>
      <c r="AB33" s="17">
        <v>0</v>
      </c>
      <c r="AC33" s="17">
        <v>0</v>
      </c>
      <c r="AD33" s="17">
        <v>0</v>
      </c>
      <c r="AE33" s="17">
        <v>0</v>
      </c>
      <c r="AF33" s="19">
        <v>28.974999999999998</v>
      </c>
      <c r="AG33" s="17">
        <v>0</v>
      </c>
      <c r="AH33" s="17">
        <f t="shared" si="36"/>
        <v>-1.0749999999999957</v>
      </c>
      <c r="AI33" s="20">
        <v>0.54999999999999893</v>
      </c>
      <c r="AJ33" s="21">
        <v>838.1112867978245</v>
      </c>
      <c r="AK33" s="22">
        <v>502.9049493945007</v>
      </c>
      <c r="AL33" s="22">
        <v>502.69065668007187</v>
      </c>
      <c r="AM33" s="16">
        <v>10.9</v>
      </c>
      <c r="AN33" s="23">
        <f t="shared" si="2"/>
        <v>0</v>
      </c>
      <c r="AO33" s="23">
        <f t="shared" si="3"/>
        <v>0</v>
      </c>
      <c r="AP33" s="23">
        <f t="shared" si="4"/>
        <v>0</v>
      </c>
      <c r="AQ33" s="23">
        <f t="shared" si="5"/>
        <v>0</v>
      </c>
      <c r="AR33" s="23">
        <f t="shared" si="6"/>
        <v>0</v>
      </c>
      <c r="AS33" s="23">
        <f t="shared" si="7"/>
        <v>0</v>
      </c>
      <c r="AT33" s="23">
        <f t="shared" si="8"/>
        <v>0</v>
      </c>
      <c r="AU33" s="23">
        <f t="shared" si="9"/>
        <v>0</v>
      </c>
      <c r="AV33" s="23">
        <f t="shared" si="10"/>
        <v>0</v>
      </c>
      <c r="AW33" s="23">
        <f t="shared" si="11"/>
        <v>0</v>
      </c>
      <c r="AX33" s="23">
        <f t="shared" si="12"/>
        <v>47.71</v>
      </c>
      <c r="AY33" s="23">
        <f t="shared" si="13"/>
        <v>0</v>
      </c>
      <c r="AZ33" s="23">
        <f t="shared" si="14"/>
        <v>0</v>
      </c>
      <c r="BA33" s="23">
        <f t="shared" si="15"/>
        <v>332.57</v>
      </c>
      <c r="BB33" s="23">
        <f t="shared" si="16"/>
        <v>66.06</v>
      </c>
      <c r="BC33" s="23">
        <f t="shared" si="17"/>
        <v>0</v>
      </c>
      <c r="BD33" s="23">
        <f t="shared" si="18"/>
        <v>19.04</v>
      </c>
      <c r="BE33" s="23">
        <f t="shared" si="19"/>
        <v>0</v>
      </c>
      <c r="BF33" s="23">
        <f t="shared" si="20"/>
        <v>0</v>
      </c>
      <c r="BG33" s="23">
        <f t="shared" si="21"/>
        <v>0</v>
      </c>
      <c r="BH33" s="23">
        <f t="shared" si="22"/>
        <v>465.37</v>
      </c>
      <c r="BI33" s="23">
        <f t="shared" si="23"/>
        <v>475.23</v>
      </c>
      <c r="BJ33" s="23">
        <f t="shared" si="24"/>
        <v>0</v>
      </c>
      <c r="BK33" s="23">
        <f t="shared" si="25"/>
        <v>0</v>
      </c>
      <c r="BL33" s="23">
        <f t="shared" si="26"/>
        <v>133.26</v>
      </c>
      <c r="BM33" s="23">
        <f t="shared" si="27"/>
        <v>0</v>
      </c>
      <c r="BN33" s="23">
        <f t="shared" si="28"/>
        <v>0</v>
      </c>
      <c r="BO33" s="23">
        <f t="shared" si="29"/>
        <v>0</v>
      </c>
      <c r="BP33" s="23">
        <f t="shared" si="30"/>
        <v>0</v>
      </c>
      <c r="BQ33" s="23">
        <f t="shared" si="31"/>
        <v>0</v>
      </c>
      <c r="BR33" s="23">
        <f t="shared" si="32"/>
        <v>265.83</v>
      </c>
      <c r="BS33" s="23">
        <f t="shared" si="33"/>
        <v>0</v>
      </c>
      <c r="BT33" s="23">
        <f t="shared" si="37"/>
        <v>-9.86</v>
      </c>
      <c r="BU33" s="23">
        <f t="shared" si="37"/>
        <v>5.05</v>
      </c>
      <c r="BV33" s="23">
        <f t="shared" si="37"/>
        <v>7689.09</v>
      </c>
      <c r="BW33" s="23">
        <f t="shared" si="37"/>
        <v>4613.8100000000004</v>
      </c>
      <c r="BX33" s="23">
        <f t="shared" si="37"/>
        <v>4611.84</v>
      </c>
      <c r="BY33" t="s">
        <v>269</v>
      </c>
      <c r="CB33" s="36">
        <v>0.02</v>
      </c>
      <c r="CC33" s="36">
        <v>0.04</v>
      </c>
      <c r="CD33" s="36">
        <v>1E-3</v>
      </c>
      <c r="CE33" t="s">
        <v>266</v>
      </c>
      <c r="CF33" t="s">
        <v>267</v>
      </c>
      <c r="CG33" t="s">
        <v>266</v>
      </c>
      <c r="CH33" t="s">
        <v>267</v>
      </c>
      <c r="CI33" t="s">
        <v>266</v>
      </c>
      <c r="CJ33" t="s">
        <v>267</v>
      </c>
      <c r="CK33" t="s">
        <v>267</v>
      </c>
      <c r="CL33" t="s">
        <v>266</v>
      </c>
      <c r="CM33" t="s">
        <v>285</v>
      </c>
      <c r="CN33" t="s">
        <v>285</v>
      </c>
      <c r="CO33" t="s">
        <v>285</v>
      </c>
      <c r="CP33" t="s">
        <v>303</v>
      </c>
      <c r="CQ33" t="s">
        <v>303</v>
      </c>
    </row>
    <row r="34" spans="1:95" x14ac:dyDescent="0.25">
      <c r="A34" s="2" t="s">
        <v>40</v>
      </c>
      <c r="B34" s="17">
        <v>0</v>
      </c>
      <c r="C34" s="17">
        <v>0</v>
      </c>
      <c r="D34" s="17">
        <v>0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5.2</v>
      </c>
      <c r="M34" s="17">
        <v>0</v>
      </c>
      <c r="N34" s="17">
        <v>0</v>
      </c>
      <c r="O34" s="17">
        <v>36.75</v>
      </c>
      <c r="P34" s="17">
        <v>7.1750000000000007</v>
      </c>
      <c r="Q34" s="17">
        <v>0</v>
      </c>
      <c r="R34" s="17">
        <v>1.75</v>
      </c>
      <c r="S34" s="17">
        <v>0</v>
      </c>
      <c r="T34" s="17">
        <v>0</v>
      </c>
      <c r="U34" s="17">
        <v>0</v>
      </c>
      <c r="V34" s="17">
        <f t="shared" si="35"/>
        <v>50.875</v>
      </c>
      <c r="W34" s="18">
        <v>51.274999999999999</v>
      </c>
      <c r="X34" s="17">
        <v>0</v>
      </c>
      <c r="Y34" s="17">
        <v>0</v>
      </c>
      <c r="Z34" s="19">
        <v>14.125000000000002</v>
      </c>
      <c r="AA34" s="17">
        <v>0</v>
      </c>
      <c r="AB34" s="17">
        <v>0</v>
      </c>
      <c r="AC34" s="17">
        <v>0</v>
      </c>
      <c r="AD34" s="17">
        <v>0</v>
      </c>
      <c r="AE34" s="17">
        <v>0</v>
      </c>
      <c r="AF34" s="19">
        <v>28.3</v>
      </c>
      <c r="AG34" s="17">
        <v>0</v>
      </c>
      <c r="AH34" s="17">
        <f t="shared" si="36"/>
        <v>-0.39999999999999858</v>
      </c>
      <c r="AI34" s="20">
        <v>0.72500000000000098</v>
      </c>
      <c r="AJ34" s="21">
        <v>838.17016262255515</v>
      </c>
      <c r="AK34" s="22">
        <v>499.864630869493</v>
      </c>
      <c r="AL34" s="22">
        <v>494.4268719627641</v>
      </c>
      <c r="AM34" s="16">
        <v>10.1</v>
      </c>
      <c r="AN34" s="23">
        <f t="shared" si="2"/>
        <v>0</v>
      </c>
      <c r="AO34" s="23">
        <f t="shared" si="3"/>
        <v>0</v>
      </c>
      <c r="AP34" s="23">
        <f t="shared" si="4"/>
        <v>0</v>
      </c>
      <c r="AQ34" s="23">
        <f t="shared" si="5"/>
        <v>0</v>
      </c>
      <c r="AR34" s="23">
        <f t="shared" si="6"/>
        <v>0</v>
      </c>
      <c r="AS34" s="23">
        <f t="shared" si="7"/>
        <v>0</v>
      </c>
      <c r="AT34" s="23">
        <f t="shared" si="8"/>
        <v>0</v>
      </c>
      <c r="AU34" s="23">
        <f t="shared" si="9"/>
        <v>0</v>
      </c>
      <c r="AV34" s="23">
        <f t="shared" si="10"/>
        <v>0</v>
      </c>
      <c r="AW34" s="23">
        <f t="shared" si="11"/>
        <v>0</v>
      </c>
      <c r="AX34" s="23">
        <f t="shared" si="12"/>
        <v>51.49</v>
      </c>
      <c r="AY34" s="23">
        <f t="shared" si="13"/>
        <v>0</v>
      </c>
      <c r="AZ34" s="23">
        <f t="shared" si="14"/>
        <v>0</v>
      </c>
      <c r="BA34" s="23">
        <f t="shared" si="15"/>
        <v>363.86</v>
      </c>
      <c r="BB34" s="23">
        <f t="shared" si="16"/>
        <v>71.040000000000006</v>
      </c>
      <c r="BC34" s="23">
        <f t="shared" si="17"/>
        <v>0</v>
      </c>
      <c r="BD34" s="23">
        <f t="shared" si="18"/>
        <v>17.329999999999998</v>
      </c>
      <c r="BE34" s="23">
        <f t="shared" si="19"/>
        <v>0</v>
      </c>
      <c r="BF34" s="23">
        <f t="shared" si="20"/>
        <v>0</v>
      </c>
      <c r="BG34" s="23">
        <f t="shared" si="21"/>
        <v>0</v>
      </c>
      <c r="BH34" s="23">
        <f t="shared" si="22"/>
        <v>503.71</v>
      </c>
      <c r="BI34" s="23">
        <f t="shared" si="23"/>
        <v>507.67</v>
      </c>
      <c r="BJ34" s="23">
        <f t="shared" si="24"/>
        <v>0</v>
      </c>
      <c r="BK34" s="23">
        <f t="shared" si="25"/>
        <v>0</v>
      </c>
      <c r="BL34" s="23">
        <f t="shared" si="26"/>
        <v>139.85</v>
      </c>
      <c r="BM34" s="23">
        <f t="shared" si="27"/>
        <v>0</v>
      </c>
      <c r="BN34" s="23">
        <f t="shared" si="28"/>
        <v>0</v>
      </c>
      <c r="BO34" s="23">
        <f t="shared" si="29"/>
        <v>0</v>
      </c>
      <c r="BP34" s="23">
        <f t="shared" si="30"/>
        <v>0</v>
      </c>
      <c r="BQ34" s="23">
        <f t="shared" si="31"/>
        <v>0</v>
      </c>
      <c r="BR34" s="23">
        <f t="shared" si="32"/>
        <v>280.2</v>
      </c>
      <c r="BS34" s="23">
        <f t="shared" si="33"/>
        <v>0</v>
      </c>
      <c r="BT34" s="23">
        <f t="shared" ref="BT34:BX49" si="38">_xlfn.SINGLE(ROUND((AH34/$AM34)*100,2))</f>
        <v>-3.96</v>
      </c>
      <c r="BU34" s="23">
        <f t="shared" si="38"/>
        <v>7.18</v>
      </c>
      <c r="BV34" s="23">
        <f t="shared" si="38"/>
        <v>8298.7099999999991</v>
      </c>
      <c r="BW34" s="23">
        <f t="shared" si="38"/>
        <v>4949.1499999999996</v>
      </c>
      <c r="BX34" s="23">
        <f t="shared" si="38"/>
        <v>4895.32</v>
      </c>
      <c r="BY34" t="s">
        <v>269</v>
      </c>
      <c r="CA34">
        <v>600000</v>
      </c>
      <c r="CB34" s="40">
        <v>4.4999999999999998E-2</v>
      </c>
      <c r="CC34" s="36">
        <v>0.09</v>
      </c>
      <c r="CD34" s="36">
        <v>0</v>
      </c>
      <c r="CE34" t="s">
        <v>266</v>
      </c>
      <c r="CF34" t="s">
        <v>267</v>
      </c>
      <c r="CG34" t="s">
        <v>267</v>
      </c>
      <c r="CH34" t="s">
        <v>267</v>
      </c>
      <c r="CI34" t="s">
        <v>267</v>
      </c>
      <c r="CJ34" t="s">
        <v>267</v>
      </c>
      <c r="CK34" t="s">
        <v>266</v>
      </c>
      <c r="CL34" t="s">
        <v>266</v>
      </c>
      <c r="CM34" t="s">
        <v>285</v>
      </c>
      <c r="CN34" t="s">
        <v>267</v>
      </c>
      <c r="CO34" t="s">
        <v>266</v>
      </c>
      <c r="CP34" t="s">
        <v>303</v>
      </c>
    </row>
    <row r="35" spans="1:95" x14ac:dyDescent="0.25">
      <c r="A35" s="2" t="s">
        <v>41</v>
      </c>
      <c r="B35" s="17">
        <v>0</v>
      </c>
      <c r="C35" s="17">
        <v>0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5.1000000000000005</v>
      </c>
      <c r="M35" s="17">
        <v>0</v>
      </c>
      <c r="N35" s="17">
        <v>0</v>
      </c>
      <c r="O35" s="17">
        <v>36</v>
      </c>
      <c r="P35" s="17">
        <v>7.1249999999999991</v>
      </c>
      <c r="Q35" s="17">
        <v>0</v>
      </c>
      <c r="R35" s="17">
        <v>2.0250000000000057</v>
      </c>
      <c r="S35" s="17">
        <v>0</v>
      </c>
      <c r="T35" s="17">
        <v>0</v>
      </c>
      <c r="U35" s="17">
        <v>0</v>
      </c>
      <c r="V35" s="17">
        <f t="shared" si="35"/>
        <v>50.250000000000007</v>
      </c>
      <c r="W35" s="18">
        <v>50.150000000000006</v>
      </c>
      <c r="X35" s="17">
        <v>0</v>
      </c>
      <c r="Y35" s="17">
        <v>0</v>
      </c>
      <c r="Z35" s="19">
        <v>13.524999999999999</v>
      </c>
      <c r="AA35" s="17">
        <v>0</v>
      </c>
      <c r="AB35" s="17">
        <v>0</v>
      </c>
      <c r="AC35" s="17">
        <v>0</v>
      </c>
      <c r="AD35" s="17">
        <v>0</v>
      </c>
      <c r="AE35" s="17">
        <v>0</v>
      </c>
      <c r="AF35" s="19">
        <v>28.35</v>
      </c>
      <c r="AG35" s="17">
        <v>0</v>
      </c>
      <c r="AH35" s="17">
        <f t="shared" si="36"/>
        <v>0.10000000000000142</v>
      </c>
      <c r="AI35" s="20">
        <v>1.425</v>
      </c>
      <c r="AJ35" s="21">
        <v>837.2376183937522</v>
      </c>
      <c r="AK35" s="22">
        <v>498.4167070622463</v>
      </c>
      <c r="AL35" s="22">
        <v>511.83413616793956</v>
      </c>
      <c r="AM35" s="16">
        <v>9.5</v>
      </c>
      <c r="AN35" s="23">
        <f t="shared" si="2"/>
        <v>0</v>
      </c>
      <c r="AO35" s="23">
        <f t="shared" si="3"/>
        <v>0</v>
      </c>
      <c r="AP35" s="23">
        <f t="shared" si="4"/>
        <v>0</v>
      </c>
      <c r="AQ35" s="23">
        <f t="shared" si="5"/>
        <v>0</v>
      </c>
      <c r="AR35" s="23">
        <f t="shared" si="6"/>
        <v>0</v>
      </c>
      <c r="AS35" s="23">
        <f t="shared" si="7"/>
        <v>0</v>
      </c>
      <c r="AT35" s="23">
        <f t="shared" si="8"/>
        <v>0</v>
      </c>
      <c r="AU35" s="23">
        <f t="shared" si="9"/>
        <v>0</v>
      </c>
      <c r="AV35" s="23">
        <f t="shared" si="10"/>
        <v>0</v>
      </c>
      <c r="AW35" s="23">
        <f t="shared" si="11"/>
        <v>0</v>
      </c>
      <c r="AX35" s="23">
        <f t="shared" si="12"/>
        <v>53.68</v>
      </c>
      <c r="AY35" s="23">
        <f t="shared" si="13"/>
        <v>0</v>
      </c>
      <c r="AZ35" s="23">
        <f t="shared" si="14"/>
        <v>0</v>
      </c>
      <c r="BA35" s="23">
        <f t="shared" si="15"/>
        <v>378.95</v>
      </c>
      <c r="BB35" s="23">
        <f t="shared" si="16"/>
        <v>75</v>
      </c>
      <c r="BC35" s="23">
        <f t="shared" si="17"/>
        <v>0</v>
      </c>
      <c r="BD35" s="23">
        <f t="shared" si="18"/>
        <v>21.32</v>
      </c>
      <c r="BE35" s="23">
        <f t="shared" si="19"/>
        <v>0</v>
      </c>
      <c r="BF35" s="23">
        <f t="shared" si="20"/>
        <v>0</v>
      </c>
      <c r="BG35" s="23">
        <f t="shared" si="21"/>
        <v>0</v>
      </c>
      <c r="BH35" s="23">
        <f t="shared" si="22"/>
        <v>528.95000000000005</v>
      </c>
      <c r="BI35" s="23">
        <f t="shared" si="23"/>
        <v>527.89</v>
      </c>
      <c r="BJ35" s="23">
        <f t="shared" si="24"/>
        <v>0</v>
      </c>
      <c r="BK35" s="23">
        <f t="shared" si="25"/>
        <v>0</v>
      </c>
      <c r="BL35" s="23">
        <f t="shared" si="26"/>
        <v>142.37</v>
      </c>
      <c r="BM35" s="23">
        <f t="shared" si="27"/>
        <v>0</v>
      </c>
      <c r="BN35" s="23">
        <f t="shared" si="28"/>
        <v>0</v>
      </c>
      <c r="BO35" s="23">
        <f t="shared" si="29"/>
        <v>0</v>
      </c>
      <c r="BP35" s="23">
        <f t="shared" si="30"/>
        <v>0</v>
      </c>
      <c r="BQ35" s="23">
        <f t="shared" si="31"/>
        <v>0</v>
      </c>
      <c r="BR35" s="23">
        <f t="shared" si="32"/>
        <v>298.42</v>
      </c>
      <c r="BS35" s="23">
        <f t="shared" si="33"/>
        <v>0</v>
      </c>
      <c r="BT35" s="23">
        <f t="shared" si="38"/>
        <v>1.05</v>
      </c>
      <c r="BU35" s="23">
        <f t="shared" si="38"/>
        <v>15</v>
      </c>
      <c r="BV35" s="23">
        <f t="shared" si="38"/>
        <v>8813.0300000000007</v>
      </c>
      <c r="BW35" s="23">
        <f t="shared" si="38"/>
        <v>5246.49</v>
      </c>
      <c r="BX35" s="23">
        <f t="shared" si="38"/>
        <v>5387.73</v>
      </c>
      <c r="BY35" t="s">
        <v>270</v>
      </c>
      <c r="CB35" s="40">
        <v>4.4999999999999998E-2</v>
      </c>
      <c r="CC35" s="36">
        <v>0.09</v>
      </c>
      <c r="CD35" s="36">
        <v>0</v>
      </c>
      <c r="CE35" t="s">
        <v>266</v>
      </c>
      <c r="CF35" t="s">
        <v>267</v>
      </c>
      <c r="CG35" t="s">
        <v>267</v>
      </c>
      <c r="CH35" t="s">
        <v>267</v>
      </c>
      <c r="CI35" t="s">
        <v>267</v>
      </c>
      <c r="CJ35" t="s">
        <v>267</v>
      </c>
      <c r="CK35" t="s">
        <v>266</v>
      </c>
      <c r="CL35" t="s">
        <v>266</v>
      </c>
      <c r="CM35" t="s">
        <v>285</v>
      </c>
      <c r="CN35" t="s">
        <v>267</v>
      </c>
      <c r="CO35" t="s">
        <v>266</v>
      </c>
      <c r="CP35" t="s">
        <v>303</v>
      </c>
      <c r="CQ35" t="s">
        <v>303</v>
      </c>
    </row>
    <row r="36" spans="1:95" x14ac:dyDescent="0.25">
      <c r="A36" s="2" t="s">
        <v>42</v>
      </c>
      <c r="B36" s="17">
        <v>0</v>
      </c>
      <c r="C36" s="17">
        <v>0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4.5749999999999993</v>
      </c>
      <c r="M36" s="17">
        <v>0</v>
      </c>
      <c r="N36" s="17">
        <v>0</v>
      </c>
      <c r="O36" s="17">
        <v>36</v>
      </c>
      <c r="P36" s="17">
        <v>7.2</v>
      </c>
      <c r="Q36" s="17">
        <v>0</v>
      </c>
      <c r="R36" s="17">
        <v>2.5249999999999915</v>
      </c>
      <c r="S36" s="17">
        <v>0</v>
      </c>
      <c r="T36" s="17">
        <v>0</v>
      </c>
      <c r="U36" s="17">
        <v>0</v>
      </c>
      <c r="V36" s="17">
        <f t="shared" si="35"/>
        <v>50.3</v>
      </c>
      <c r="W36" s="18">
        <v>48.824999999999996</v>
      </c>
      <c r="X36" s="17">
        <v>0</v>
      </c>
      <c r="Y36" s="17">
        <v>0</v>
      </c>
      <c r="Z36" s="19">
        <v>13.075000000000001</v>
      </c>
      <c r="AA36" s="17">
        <v>0</v>
      </c>
      <c r="AB36" s="17">
        <v>0</v>
      </c>
      <c r="AC36" s="17">
        <v>0</v>
      </c>
      <c r="AD36" s="17">
        <v>0</v>
      </c>
      <c r="AE36" s="17">
        <v>0</v>
      </c>
      <c r="AF36" s="19">
        <v>28.5</v>
      </c>
      <c r="AG36" s="17">
        <v>0</v>
      </c>
      <c r="AH36" s="17">
        <f t="shared" si="36"/>
        <v>1.4750000000000014</v>
      </c>
      <c r="AI36" s="20">
        <v>2.6750000000000007</v>
      </c>
      <c r="AJ36" s="21">
        <v>837.18145635644225</v>
      </c>
      <c r="AK36" s="22">
        <v>525.25895351099632</v>
      </c>
      <c r="AL36" s="22">
        <v>538.69115909141658</v>
      </c>
      <c r="AM36" s="16">
        <v>8.6999999999999993</v>
      </c>
      <c r="AN36" s="23">
        <f t="shared" si="2"/>
        <v>0</v>
      </c>
      <c r="AO36" s="23">
        <f t="shared" si="3"/>
        <v>0</v>
      </c>
      <c r="AP36" s="23">
        <f t="shared" si="4"/>
        <v>0</v>
      </c>
      <c r="AQ36" s="23">
        <f t="shared" si="5"/>
        <v>0</v>
      </c>
      <c r="AR36" s="23">
        <f t="shared" si="6"/>
        <v>0</v>
      </c>
      <c r="AS36" s="23">
        <f t="shared" si="7"/>
        <v>0</v>
      </c>
      <c r="AT36" s="23">
        <f t="shared" si="8"/>
        <v>0</v>
      </c>
      <c r="AU36" s="23">
        <f t="shared" si="9"/>
        <v>0</v>
      </c>
      <c r="AV36" s="23">
        <f t="shared" si="10"/>
        <v>0</v>
      </c>
      <c r="AW36" s="23">
        <f t="shared" si="11"/>
        <v>0</v>
      </c>
      <c r="AX36" s="23">
        <f t="shared" si="12"/>
        <v>52.59</v>
      </c>
      <c r="AY36" s="23">
        <f t="shared" si="13"/>
        <v>0</v>
      </c>
      <c r="AZ36" s="23">
        <f t="shared" si="14"/>
        <v>0</v>
      </c>
      <c r="BA36" s="23">
        <f t="shared" si="15"/>
        <v>413.79</v>
      </c>
      <c r="BB36" s="23">
        <f t="shared" si="16"/>
        <v>82.76</v>
      </c>
      <c r="BC36" s="23">
        <f t="shared" si="17"/>
        <v>0</v>
      </c>
      <c r="BD36" s="23">
        <f t="shared" si="18"/>
        <v>29.02</v>
      </c>
      <c r="BE36" s="23">
        <f t="shared" si="19"/>
        <v>0</v>
      </c>
      <c r="BF36" s="23">
        <f t="shared" si="20"/>
        <v>0</v>
      </c>
      <c r="BG36" s="23">
        <f t="shared" si="21"/>
        <v>0</v>
      </c>
      <c r="BH36" s="23">
        <f t="shared" si="22"/>
        <v>578.16</v>
      </c>
      <c r="BI36" s="23">
        <f t="shared" si="23"/>
        <v>561.21</v>
      </c>
      <c r="BJ36" s="23">
        <f t="shared" si="24"/>
        <v>0</v>
      </c>
      <c r="BK36" s="23">
        <f t="shared" si="25"/>
        <v>0</v>
      </c>
      <c r="BL36" s="23">
        <f t="shared" si="26"/>
        <v>150.29</v>
      </c>
      <c r="BM36" s="23">
        <f t="shared" si="27"/>
        <v>0</v>
      </c>
      <c r="BN36" s="23">
        <f t="shared" si="28"/>
        <v>0</v>
      </c>
      <c r="BO36" s="23">
        <f t="shared" si="29"/>
        <v>0</v>
      </c>
      <c r="BP36" s="23">
        <f t="shared" si="30"/>
        <v>0</v>
      </c>
      <c r="BQ36" s="23">
        <f t="shared" si="31"/>
        <v>0</v>
      </c>
      <c r="BR36" s="23">
        <f t="shared" si="32"/>
        <v>327.58999999999997</v>
      </c>
      <c r="BS36" s="23">
        <f t="shared" si="33"/>
        <v>0</v>
      </c>
      <c r="BT36" s="23">
        <f t="shared" si="38"/>
        <v>16.95</v>
      </c>
      <c r="BU36" s="23">
        <f t="shared" si="38"/>
        <v>30.75</v>
      </c>
      <c r="BV36" s="23">
        <f t="shared" si="38"/>
        <v>9622.7800000000007</v>
      </c>
      <c r="BW36" s="23">
        <f t="shared" si="38"/>
        <v>6037.46</v>
      </c>
      <c r="BX36" s="23">
        <f t="shared" si="38"/>
        <v>6191.85</v>
      </c>
      <c r="BY36" t="s">
        <v>270</v>
      </c>
      <c r="CB36" s="40">
        <v>4.4999999999999998E-2</v>
      </c>
      <c r="CC36" s="36">
        <v>0.09</v>
      </c>
      <c r="CD36" s="36">
        <v>0</v>
      </c>
      <c r="CE36" t="s">
        <v>266</v>
      </c>
      <c r="CF36" t="s">
        <v>267</v>
      </c>
      <c r="CG36" t="s">
        <v>267</v>
      </c>
      <c r="CH36" t="s">
        <v>267</v>
      </c>
      <c r="CI36" t="s">
        <v>267</v>
      </c>
      <c r="CJ36" t="s">
        <v>267</v>
      </c>
      <c r="CK36" t="s">
        <v>266</v>
      </c>
      <c r="CL36" t="s">
        <v>266</v>
      </c>
      <c r="CM36" t="s">
        <v>285</v>
      </c>
      <c r="CN36" t="s">
        <v>267</v>
      </c>
      <c r="CO36" t="s">
        <v>266</v>
      </c>
      <c r="CQ36" t="s">
        <v>303</v>
      </c>
    </row>
    <row r="37" spans="1:95" x14ac:dyDescent="0.25">
      <c r="A37" s="2" t="s">
        <v>43</v>
      </c>
      <c r="B37" s="17">
        <v>0</v>
      </c>
      <c r="C37" s="17">
        <v>0</v>
      </c>
      <c r="D37" s="17">
        <v>0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  <c r="L37" s="17">
        <v>3.9</v>
      </c>
      <c r="M37" s="17">
        <v>0</v>
      </c>
      <c r="N37" s="17">
        <v>0</v>
      </c>
      <c r="O37" s="17">
        <v>36.750000000000007</v>
      </c>
      <c r="P37" s="17">
        <v>7.25</v>
      </c>
      <c r="Q37" s="17">
        <v>0</v>
      </c>
      <c r="R37" s="17">
        <v>2.7499999999999929</v>
      </c>
      <c r="S37" s="17">
        <v>0</v>
      </c>
      <c r="T37" s="17">
        <v>0</v>
      </c>
      <c r="U37" s="17">
        <v>0</v>
      </c>
      <c r="V37" s="17">
        <f t="shared" si="35"/>
        <v>50.65</v>
      </c>
      <c r="W37" s="18">
        <v>52.974999999999994</v>
      </c>
      <c r="X37" s="17">
        <v>0</v>
      </c>
      <c r="Y37" s="17">
        <v>0</v>
      </c>
      <c r="Z37" s="19">
        <v>12.225000000000001</v>
      </c>
      <c r="AA37" s="17">
        <v>0</v>
      </c>
      <c r="AB37" s="17">
        <v>0</v>
      </c>
      <c r="AC37" s="17">
        <v>0</v>
      </c>
      <c r="AD37" s="17">
        <v>0</v>
      </c>
      <c r="AE37" s="17">
        <v>0</v>
      </c>
      <c r="AF37" s="19">
        <v>28.524999999999999</v>
      </c>
      <c r="AG37" s="17">
        <v>0</v>
      </c>
      <c r="AH37" s="17">
        <f t="shared" si="36"/>
        <v>-2.3249999999999957</v>
      </c>
      <c r="AI37" s="20">
        <v>11.750000000000002</v>
      </c>
      <c r="AJ37" s="21">
        <v>845.95</v>
      </c>
      <c r="AK37" s="22">
        <v>556.09971209446815</v>
      </c>
      <c r="AL37" s="22">
        <v>577.4846125201509</v>
      </c>
      <c r="AM37" s="16">
        <v>8.9</v>
      </c>
      <c r="AN37" s="23">
        <f t="shared" si="2"/>
        <v>0</v>
      </c>
      <c r="AO37" s="23">
        <f t="shared" si="3"/>
        <v>0</v>
      </c>
      <c r="AP37" s="23">
        <f t="shared" si="4"/>
        <v>0</v>
      </c>
      <c r="AQ37" s="23">
        <f t="shared" si="5"/>
        <v>0</v>
      </c>
      <c r="AR37" s="23">
        <f t="shared" si="6"/>
        <v>0</v>
      </c>
      <c r="AS37" s="23">
        <f t="shared" si="7"/>
        <v>0</v>
      </c>
      <c r="AT37" s="23">
        <f t="shared" si="8"/>
        <v>0</v>
      </c>
      <c r="AU37" s="23">
        <f t="shared" si="9"/>
        <v>0</v>
      </c>
      <c r="AV37" s="23">
        <f t="shared" si="10"/>
        <v>0</v>
      </c>
      <c r="AW37" s="23">
        <f t="shared" si="11"/>
        <v>0</v>
      </c>
      <c r="AX37" s="23">
        <f t="shared" si="12"/>
        <v>43.82</v>
      </c>
      <c r="AY37" s="23">
        <f t="shared" si="13"/>
        <v>0</v>
      </c>
      <c r="AZ37" s="23">
        <f t="shared" si="14"/>
        <v>0</v>
      </c>
      <c r="BA37" s="23">
        <f t="shared" si="15"/>
        <v>412.92</v>
      </c>
      <c r="BB37" s="23">
        <f t="shared" si="16"/>
        <v>81.459999999999994</v>
      </c>
      <c r="BC37" s="23">
        <f t="shared" si="17"/>
        <v>0</v>
      </c>
      <c r="BD37" s="23">
        <f t="shared" si="18"/>
        <v>30.9</v>
      </c>
      <c r="BE37" s="23">
        <f t="shared" si="19"/>
        <v>0</v>
      </c>
      <c r="BF37" s="23">
        <f t="shared" si="20"/>
        <v>0</v>
      </c>
      <c r="BG37" s="23">
        <f t="shared" si="21"/>
        <v>0</v>
      </c>
      <c r="BH37" s="23">
        <f t="shared" si="22"/>
        <v>569.1</v>
      </c>
      <c r="BI37" s="23">
        <f t="shared" si="23"/>
        <v>595.22</v>
      </c>
      <c r="BJ37" s="23">
        <f t="shared" si="24"/>
        <v>0</v>
      </c>
      <c r="BK37" s="23">
        <f t="shared" si="25"/>
        <v>0</v>
      </c>
      <c r="BL37" s="23">
        <f t="shared" si="26"/>
        <v>137.36000000000001</v>
      </c>
      <c r="BM37" s="23">
        <f t="shared" si="27"/>
        <v>0</v>
      </c>
      <c r="BN37" s="23">
        <f t="shared" si="28"/>
        <v>0</v>
      </c>
      <c r="BO37" s="23">
        <f t="shared" si="29"/>
        <v>0</v>
      </c>
      <c r="BP37" s="23">
        <f t="shared" si="30"/>
        <v>0</v>
      </c>
      <c r="BQ37" s="23">
        <f t="shared" si="31"/>
        <v>0</v>
      </c>
      <c r="BR37" s="23">
        <f t="shared" si="32"/>
        <v>320.51</v>
      </c>
      <c r="BS37" s="23">
        <f t="shared" si="33"/>
        <v>0</v>
      </c>
      <c r="BT37" s="23">
        <f t="shared" si="38"/>
        <v>-26.12</v>
      </c>
      <c r="BU37" s="23">
        <f t="shared" si="38"/>
        <v>132.02000000000001</v>
      </c>
      <c r="BV37" s="23">
        <f t="shared" si="38"/>
        <v>9505.06</v>
      </c>
      <c r="BW37" s="23">
        <f t="shared" si="38"/>
        <v>6248.31</v>
      </c>
      <c r="BX37" s="23">
        <f t="shared" si="38"/>
        <v>6488.59</v>
      </c>
      <c r="BY37" t="s">
        <v>269</v>
      </c>
      <c r="CB37" s="40">
        <v>4.4999999999999998E-2</v>
      </c>
      <c r="CC37" s="36">
        <v>0.09</v>
      </c>
      <c r="CD37" s="36">
        <v>0</v>
      </c>
      <c r="CE37" t="s">
        <v>266</v>
      </c>
      <c r="CF37" t="s">
        <v>267</v>
      </c>
      <c r="CG37" t="s">
        <v>267</v>
      </c>
      <c r="CH37" t="s">
        <v>267</v>
      </c>
      <c r="CI37" t="s">
        <v>267</v>
      </c>
      <c r="CJ37" t="s">
        <v>267</v>
      </c>
      <c r="CK37" t="s">
        <v>266</v>
      </c>
      <c r="CL37" t="s">
        <v>266</v>
      </c>
      <c r="CM37" t="s">
        <v>285</v>
      </c>
      <c r="CN37" t="s">
        <v>267</v>
      </c>
      <c r="CO37" t="s">
        <v>266</v>
      </c>
    </row>
    <row r="38" spans="1:95" x14ac:dyDescent="0.25">
      <c r="A38" s="2" t="s">
        <v>44</v>
      </c>
      <c r="B38" s="17">
        <v>0</v>
      </c>
      <c r="C38" s="17">
        <v>0</v>
      </c>
      <c r="D38" s="17">
        <v>0</v>
      </c>
      <c r="E38" s="17">
        <v>0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7">
        <v>0</v>
      </c>
      <c r="L38" s="17">
        <v>3.9</v>
      </c>
      <c r="M38" s="17">
        <v>0</v>
      </c>
      <c r="N38" s="17">
        <v>0</v>
      </c>
      <c r="O38" s="17">
        <v>38.499999999999993</v>
      </c>
      <c r="P38" s="17">
        <v>7.3250000000000011</v>
      </c>
      <c r="Q38" s="17">
        <v>0</v>
      </c>
      <c r="R38" s="17">
        <v>2.3250000000000099</v>
      </c>
      <c r="S38" s="17">
        <v>0</v>
      </c>
      <c r="T38" s="17">
        <v>0</v>
      </c>
      <c r="U38" s="17">
        <v>0</v>
      </c>
      <c r="V38" s="17">
        <f t="shared" si="35"/>
        <v>52.050000000000004</v>
      </c>
      <c r="W38" s="18">
        <v>62.400000000000006</v>
      </c>
      <c r="X38" s="17">
        <v>0</v>
      </c>
      <c r="Y38" s="17">
        <v>0</v>
      </c>
      <c r="Z38" s="19">
        <v>11.799999999999999</v>
      </c>
      <c r="AA38" s="17">
        <v>0</v>
      </c>
      <c r="AB38" s="17">
        <v>0</v>
      </c>
      <c r="AC38" s="17">
        <v>0</v>
      </c>
      <c r="AD38" s="17">
        <v>0</v>
      </c>
      <c r="AE38" s="17">
        <v>0</v>
      </c>
      <c r="AF38" s="19">
        <v>28.800000000000004</v>
      </c>
      <c r="AG38" s="17">
        <v>0</v>
      </c>
      <c r="AH38" s="17">
        <f t="shared" si="36"/>
        <v>-10.350000000000001</v>
      </c>
      <c r="AI38" s="20">
        <v>1.2249999999999996</v>
      </c>
      <c r="AJ38" s="21">
        <v>844.6</v>
      </c>
      <c r="AK38" s="22">
        <v>584.30890317723492</v>
      </c>
      <c r="AL38" s="22">
        <v>576.57258406572032</v>
      </c>
      <c r="AM38" s="16">
        <v>9.9</v>
      </c>
      <c r="AN38" s="23">
        <f t="shared" si="2"/>
        <v>0</v>
      </c>
      <c r="AO38" s="23">
        <f t="shared" si="3"/>
        <v>0</v>
      </c>
      <c r="AP38" s="23">
        <f t="shared" si="4"/>
        <v>0</v>
      </c>
      <c r="AQ38" s="23">
        <f t="shared" si="5"/>
        <v>0</v>
      </c>
      <c r="AR38" s="23">
        <f t="shared" si="6"/>
        <v>0</v>
      </c>
      <c r="AS38" s="23">
        <f t="shared" si="7"/>
        <v>0</v>
      </c>
      <c r="AT38" s="23">
        <f t="shared" si="8"/>
        <v>0</v>
      </c>
      <c r="AU38" s="23">
        <f t="shared" si="9"/>
        <v>0</v>
      </c>
      <c r="AV38" s="23">
        <f t="shared" si="10"/>
        <v>0</v>
      </c>
      <c r="AW38" s="23">
        <f t="shared" si="11"/>
        <v>0</v>
      </c>
      <c r="AX38" s="23">
        <f t="shared" si="12"/>
        <v>39.39</v>
      </c>
      <c r="AY38" s="23">
        <f t="shared" si="13"/>
        <v>0</v>
      </c>
      <c r="AZ38" s="23">
        <f t="shared" si="14"/>
        <v>0</v>
      </c>
      <c r="BA38" s="23">
        <f t="shared" si="15"/>
        <v>388.89</v>
      </c>
      <c r="BB38" s="23">
        <f t="shared" si="16"/>
        <v>73.989999999999995</v>
      </c>
      <c r="BC38" s="23">
        <f t="shared" si="17"/>
        <v>0</v>
      </c>
      <c r="BD38" s="23">
        <f t="shared" si="18"/>
        <v>23.48</v>
      </c>
      <c r="BE38" s="23">
        <f t="shared" si="19"/>
        <v>0</v>
      </c>
      <c r="BF38" s="23">
        <f t="shared" si="20"/>
        <v>0</v>
      </c>
      <c r="BG38" s="23">
        <f t="shared" si="21"/>
        <v>0</v>
      </c>
      <c r="BH38" s="23">
        <f t="shared" si="22"/>
        <v>525.76</v>
      </c>
      <c r="BI38" s="23">
        <f t="shared" si="23"/>
        <v>630.29999999999995</v>
      </c>
      <c r="BJ38" s="23">
        <f t="shared" si="24"/>
        <v>0</v>
      </c>
      <c r="BK38" s="23">
        <f t="shared" si="25"/>
        <v>0</v>
      </c>
      <c r="BL38" s="23">
        <f t="shared" si="26"/>
        <v>119.19</v>
      </c>
      <c r="BM38" s="23">
        <f t="shared" si="27"/>
        <v>0</v>
      </c>
      <c r="BN38" s="23">
        <f t="shared" si="28"/>
        <v>0</v>
      </c>
      <c r="BO38" s="23">
        <f t="shared" si="29"/>
        <v>0</v>
      </c>
      <c r="BP38" s="23">
        <f t="shared" si="30"/>
        <v>0</v>
      </c>
      <c r="BQ38" s="23">
        <f t="shared" si="31"/>
        <v>0</v>
      </c>
      <c r="BR38" s="23">
        <f t="shared" si="32"/>
        <v>290.91000000000003</v>
      </c>
      <c r="BS38" s="23">
        <f t="shared" si="33"/>
        <v>0</v>
      </c>
      <c r="BT38" s="23">
        <f t="shared" si="38"/>
        <v>-104.55</v>
      </c>
      <c r="BU38" s="23">
        <f t="shared" si="38"/>
        <v>12.37</v>
      </c>
      <c r="BV38" s="23">
        <f t="shared" si="38"/>
        <v>8531.31</v>
      </c>
      <c r="BW38" s="23">
        <f t="shared" si="38"/>
        <v>5902.11</v>
      </c>
      <c r="BX38" s="23">
        <f t="shared" si="38"/>
        <v>5823.97</v>
      </c>
      <c r="BY38" t="s">
        <v>269</v>
      </c>
      <c r="CB38" s="40">
        <v>4.4999999999999998E-2</v>
      </c>
      <c r="CC38" s="36">
        <v>0.09</v>
      </c>
      <c r="CD38" s="36">
        <v>0</v>
      </c>
      <c r="CE38" t="s">
        <v>266</v>
      </c>
      <c r="CF38" t="s">
        <v>267</v>
      </c>
      <c r="CG38" t="s">
        <v>267</v>
      </c>
      <c r="CH38" t="s">
        <v>267</v>
      </c>
      <c r="CI38" t="s">
        <v>267</v>
      </c>
      <c r="CJ38" t="s">
        <v>267</v>
      </c>
      <c r="CK38" t="s">
        <v>266</v>
      </c>
      <c r="CL38" t="s">
        <v>266</v>
      </c>
      <c r="CM38" t="s">
        <v>285</v>
      </c>
      <c r="CN38" t="s">
        <v>267</v>
      </c>
      <c r="CO38" t="s">
        <v>266</v>
      </c>
      <c r="CP38" t="s">
        <v>303</v>
      </c>
    </row>
    <row r="39" spans="1:95" x14ac:dyDescent="0.25">
      <c r="A39" s="2" t="s">
        <v>45</v>
      </c>
      <c r="B39" s="17">
        <v>0</v>
      </c>
      <c r="C39" s="17">
        <v>0</v>
      </c>
      <c r="D39" s="17">
        <v>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3.9</v>
      </c>
      <c r="M39" s="17">
        <v>0</v>
      </c>
      <c r="N39" s="17">
        <v>0</v>
      </c>
      <c r="O39" s="17">
        <v>37</v>
      </c>
      <c r="P39" s="17">
        <v>7.1249999999999991</v>
      </c>
      <c r="Q39" s="17">
        <v>0</v>
      </c>
      <c r="R39" s="17">
        <v>2.6000000000000014</v>
      </c>
      <c r="S39" s="17">
        <v>0</v>
      </c>
      <c r="T39" s="17">
        <v>0</v>
      </c>
      <c r="U39" s="17">
        <v>0</v>
      </c>
      <c r="V39" s="17">
        <f t="shared" si="35"/>
        <v>50.625</v>
      </c>
      <c r="W39" s="18">
        <v>53.274999999999999</v>
      </c>
      <c r="X39" s="17">
        <v>0</v>
      </c>
      <c r="Y39" s="17">
        <v>0</v>
      </c>
      <c r="Z39" s="19">
        <v>12.275000000000002</v>
      </c>
      <c r="AA39" s="17">
        <v>0</v>
      </c>
      <c r="AB39" s="17">
        <v>0</v>
      </c>
      <c r="AC39" s="17">
        <v>0</v>
      </c>
      <c r="AD39" s="17">
        <v>0</v>
      </c>
      <c r="AE39" s="17">
        <v>0</v>
      </c>
      <c r="AF39" s="19">
        <v>29.449999999999996</v>
      </c>
      <c r="AG39" s="17">
        <v>0</v>
      </c>
      <c r="AH39" s="17">
        <f t="shared" si="36"/>
        <v>-2.6499999999999986</v>
      </c>
      <c r="AI39" s="20">
        <v>0.62500000000000355</v>
      </c>
      <c r="AJ39" s="21">
        <v>841.52499999999998</v>
      </c>
      <c r="AK39" s="22">
        <v>579.40339063943247</v>
      </c>
      <c r="AL39" s="22">
        <v>592.80132289837161</v>
      </c>
      <c r="AM39" s="16">
        <v>10.1</v>
      </c>
      <c r="AN39" s="23">
        <f t="shared" si="2"/>
        <v>0</v>
      </c>
      <c r="AO39" s="23">
        <f t="shared" si="3"/>
        <v>0</v>
      </c>
      <c r="AP39" s="23">
        <f t="shared" si="4"/>
        <v>0</v>
      </c>
      <c r="AQ39" s="23">
        <f t="shared" si="5"/>
        <v>0</v>
      </c>
      <c r="AR39" s="23">
        <f t="shared" si="6"/>
        <v>0</v>
      </c>
      <c r="AS39" s="23">
        <f t="shared" si="7"/>
        <v>0</v>
      </c>
      <c r="AT39" s="23">
        <f t="shared" si="8"/>
        <v>0</v>
      </c>
      <c r="AU39" s="23">
        <f t="shared" si="9"/>
        <v>0</v>
      </c>
      <c r="AV39" s="23">
        <f t="shared" si="10"/>
        <v>0</v>
      </c>
      <c r="AW39" s="23">
        <f t="shared" si="11"/>
        <v>0</v>
      </c>
      <c r="AX39" s="23">
        <f t="shared" si="12"/>
        <v>38.61</v>
      </c>
      <c r="AY39" s="23">
        <f t="shared" si="13"/>
        <v>0</v>
      </c>
      <c r="AZ39" s="23">
        <f t="shared" si="14"/>
        <v>0</v>
      </c>
      <c r="BA39" s="23">
        <f t="shared" si="15"/>
        <v>366.34</v>
      </c>
      <c r="BB39" s="23">
        <f t="shared" si="16"/>
        <v>70.540000000000006</v>
      </c>
      <c r="BC39" s="23">
        <f t="shared" si="17"/>
        <v>0</v>
      </c>
      <c r="BD39" s="23">
        <f t="shared" si="18"/>
        <v>25.74</v>
      </c>
      <c r="BE39" s="23">
        <f t="shared" si="19"/>
        <v>0</v>
      </c>
      <c r="BF39" s="23">
        <f t="shared" si="20"/>
        <v>0</v>
      </c>
      <c r="BG39" s="23">
        <f t="shared" si="21"/>
        <v>0</v>
      </c>
      <c r="BH39" s="23">
        <f t="shared" si="22"/>
        <v>501.24</v>
      </c>
      <c r="BI39" s="23">
        <f t="shared" si="23"/>
        <v>527.48</v>
      </c>
      <c r="BJ39" s="23">
        <f t="shared" si="24"/>
        <v>0</v>
      </c>
      <c r="BK39" s="23">
        <f t="shared" si="25"/>
        <v>0</v>
      </c>
      <c r="BL39" s="23">
        <f t="shared" si="26"/>
        <v>121.53</v>
      </c>
      <c r="BM39" s="23">
        <f t="shared" si="27"/>
        <v>0</v>
      </c>
      <c r="BN39" s="23">
        <f t="shared" si="28"/>
        <v>0</v>
      </c>
      <c r="BO39" s="23">
        <f t="shared" si="29"/>
        <v>0</v>
      </c>
      <c r="BP39" s="23">
        <f t="shared" si="30"/>
        <v>0</v>
      </c>
      <c r="BQ39" s="23">
        <f t="shared" si="31"/>
        <v>0</v>
      </c>
      <c r="BR39" s="23">
        <f t="shared" si="32"/>
        <v>291.58</v>
      </c>
      <c r="BS39" s="23">
        <f t="shared" si="33"/>
        <v>0</v>
      </c>
      <c r="BT39" s="23">
        <f t="shared" si="38"/>
        <v>-26.24</v>
      </c>
      <c r="BU39" s="23">
        <f t="shared" si="38"/>
        <v>6.19</v>
      </c>
      <c r="BV39" s="23">
        <f t="shared" si="38"/>
        <v>8331.93</v>
      </c>
      <c r="BW39" s="23">
        <f t="shared" si="38"/>
        <v>5736.67</v>
      </c>
      <c r="BX39" s="23">
        <f t="shared" si="38"/>
        <v>5869.32</v>
      </c>
      <c r="BY39" t="s">
        <v>269</v>
      </c>
      <c r="CB39" s="40">
        <v>4.4999999999999998E-2</v>
      </c>
      <c r="CC39" s="36">
        <v>0.09</v>
      </c>
      <c r="CD39" s="36">
        <v>0</v>
      </c>
      <c r="CE39" t="s">
        <v>266</v>
      </c>
      <c r="CF39" t="s">
        <v>267</v>
      </c>
      <c r="CG39" t="s">
        <v>267</v>
      </c>
      <c r="CH39" t="s">
        <v>267</v>
      </c>
      <c r="CI39" t="s">
        <v>267</v>
      </c>
      <c r="CJ39" t="s">
        <v>267</v>
      </c>
      <c r="CK39" t="s">
        <v>266</v>
      </c>
      <c r="CL39" t="s">
        <v>266</v>
      </c>
      <c r="CM39" t="s">
        <v>285</v>
      </c>
      <c r="CN39" t="s">
        <v>267</v>
      </c>
      <c r="CO39" t="s">
        <v>266</v>
      </c>
      <c r="CP39" t="s">
        <v>303</v>
      </c>
    </row>
    <row r="40" spans="1:95" x14ac:dyDescent="0.25">
      <c r="A40" s="2" t="s">
        <v>46</v>
      </c>
      <c r="B40" s="17">
        <v>0</v>
      </c>
      <c r="C40" s="17">
        <v>0</v>
      </c>
      <c r="D40" s="17">
        <v>0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3.9</v>
      </c>
      <c r="M40" s="17">
        <v>0</v>
      </c>
      <c r="N40" s="17">
        <v>0</v>
      </c>
      <c r="O40" s="17">
        <v>37.25</v>
      </c>
      <c r="P40" s="17">
        <v>7.2</v>
      </c>
      <c r="Q40" s="17">
        <v>0</v>
      </c>
      <c r="R40" s="17">
        <v>3.0749999999999957</v>
      </c>
      <c r="S40" s="17">
        <v>0</v>
      </c>
      <c r="T40" s="17">
        <v>0</v>
      </c>
      <c r="U40" s="17">
        <v>0</v>
      </c>
      <c r="V40" s="17">
        <f t="shared" si="35"/>
        <v>51.424999999999997</v>
      </c>
      <c r="W40" s="18">
        <v>51.25</v>
      </c>
      <c r="X40" s="17">
        <v>0</v>
      </c>
      <c r="Y40" s="17">
        <v>0</v>
      </c>
      <c r="Z40" s="19">
        <v>12.750000000000002</v>
      </c>
      <c r="AA40" s="17">
        <v>0</v>
      </c>
      <c r="AB40" s="17">
        <v>0</v>
      </c>
      <c r="AC40" s="17">
        <v>0</v>
      </c>
      <c r="AD40" s="17">
        <v>0</v>
      </c>
      <c r="AE40" s="17">
        <v>0</v>
      </c>
      <c r="AF40" s="19">
        <v>29.550000000000004</v>
      </c>
      <c r="AG40" s="17">
        <v>0</v>
      </c>
      <c r="AH40" s="17">
        <f t="shared" si="36"/>
        <v>0.17499999999999716</v>
      </c>
      <c r="AI40" s="20">
        <v>0.70000000000000462</v>
      </c>
      <c r="AJ40" s="21">
        <v>840.05</v>
      </c>
      <c r="AK40" s="22">
        <v>605.04875786989351</v>
      </c>
      <c r="AL40" s="22">
        <v>616.14569555399817</v>
      </c>
      <c r="AM40" s="16">
        <v>10.199999999999999</v>
      </c>
      <c r="AN40" s="23">
        <f t="shared" si="2"/>
        <v>0</v>
      </c>
      <c r="AO40" s="23">
        <f t="shared" si="3"/>
        <v>0</v>
      </c>
      <c r="AP40" s="23">
        <f t="shared" si="4"/>
        <v>0</v>
      </c>
      <c r="AQ40" s="23">
        <f t="shared" si="5"/>
        <v>0</v>
      </c>
      <c r="AR40" s="23">
        <f t="shared" si="6"/>
        <v>0</v>
      </c>
      <c r="AS40" s="23">
        <f t="shared" si="7"/>
        <v>0</v>
      </c>
      <c r="AT40" s="23">
        <f t="shared" si="8"/>
        <v>0</v>
      </c>
      <c r="AU40" s="23">
        <f t="shared" si="9"/>
        <v>0</v>
      </c>
      <c r="AV40" s="23">
        <f t="shared" si="10"/>
        <v>0</v>
      </c>
      <c r="AW40" s="23">
        <f t="shared" si="11"/>
        <v>0</v>
      </c>
      <c r="AX40" s="23">
        <f t="shared" si="12"/>
        <v>38.24</v>
      </c>
      <c r="AY40" s="23">
        <f t="shared" si="13"/>
        <v>0</v>
      </c>
      <c r="AZ40" s="23">
        <f t="shared" si="14"/>
        <v>0</v>
      </c>
      <c r="BA40" s="23">
        <f t="shared" si="15"/>
        <v>365.2</v>
      </c>
      <c r="BB40" s="23">
        <f t="shared" si="16"/>
        <v>70.59</v>
      </c>
      <c r="BC40" s="23">
        <f t="shared" si="17"/>
        <v>0</v>
      </c>
      <c r="BD40" s="23">
        <f t="shared" si="18"/>
        <v>30.15</v>
      </c>
      <c r="BE40" s="23">
        <f t="shared" si="19"/>
        <v>0</v>
      </c>
      <c r="BF40" s="23">
        <f t="shared" si="20"/>
        <v>0</v>
      </c>
      <c r="BG40" s="23">
        <f t="shared" si="21"/>
        <v>0</v>
      </c>
      <c r="BH40" s="23">
        <f t="shared" si="22"/>
        <v>504.17</v>
      </c>
      <c r="BI40" s="23">
        <f t="shared" si="23"/>
        <v>502.45</v>
      </c>
      <c r="BJ40" s="23">
        <f t="shared" si="24"/>
        <v>0</v>
      </c>
      <c r="BK40" s="23">
        <f t="shared" si="25"/>
        <v>0</v>
      </c>
      <c r="BL40" s="23">
        <f t="shared" si="26"/>
        <v>125</v>
      </c>
      <c r="BM40" s="23">
        <f t="shared" si="27"/>
        <v>0</v>
      </c>
      <c r="BN40" s="23">
        <f t="shared" si="28"/>
        <v>0</v>
      </c>
      <c r="BO40" s="23">
        <f t="shared" si="29"/>
        <v>0</v>
      </c>
      <c r="BP40" s="23">
        <f t="shared" si="30"/>
        <v>0</v>
      </c>
      <c r="BQ40" s="23">
        <f t="shared" si="31"/>
        <v>0</v>
      </c>
      <c r="BR40" s="23">
        <f t="shared" si="32"/>
        <v>289.70999999999998</v>
      </c>
      <c r="BS40" s="23">
        <f t="shared" si="33"/>
        <v>0</v>
      </c>
      <c r="BT40" s="23">
        <f t="shared" si="38"/>
        <v>1.72</v>
      </c>
      <c r="BU40" s="23">
        <f t="shared" si="38"/>
        <v>6.86</v>
      </c>
      <c r="BV40" s="23">
        <f t="shared" si="38"/>
        <v>8235.7800000000007</v>
      </c>
      <c r="BW40" s="23">
        <f t="shared" si="38"/>
        <v>5931.85</v>
      </c>
      <c r="BX40" s="23">
        <f t="shared" si="38"/>
        <v>6040.64</v>
      </c>
      <c r="BY40" t="s">
        <v>269</v>
      </c>
      <c r="CB40" s="40">
        <v>4.4999999999999998E-2</v>
      </c>
      <c r="CC40" s="36">
        <v>0.09</v>
      </c>
      <c r="CD40" s="36">
        <v>0</v>
      </c>
      <c r="CE40" t="s">
        <v>266</v>
      </c>
      <c r="CF40" t="s">
        <v>267</v>
      </c>
      <c r="CG40" t="s">
        <v>267</v>
      </c>
      <c r="CH40" t="s">
        <v>267</v>
      </c>
      <c r="CI40" t="s">
        <v>267</v>
      </c>
      <c r="CJ40" t="s">
        <v>267</v>
      </c>
      <c r="CK40" t="s">
        <v>266</v>
      </c>
      <c r="CL40" t="s">
        <v>266</v>
      </c>
      <c r="CM40" t="s">
        <v>285</v>
      </c>
      <c r="CN40" t="s">
        <v>267</v>
      </c>
      <c r="CO40" t="s">
        <v>266</v>
      </c>
      <c r="CP40" t="s">
        <v>303</v>
      </c>
      <c r="CQ40" t="s">
        <v>303</v>
      </c>
    </row>
    <row r="41" spans="1:95" x14ac:dyDescent="0.25">
      <c r="A41" s="2" t="s">
        <v>47</v>
      </c>
      <c r="B41" s="17">
        <v>0</v>
      </c>
      <c r="C41" s="17">
        <v>0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3.9749999999999996</v>
      </c>
      <c r="M41" s="17">
        <v>0</v>
      </c>
      <c r="N41" s="17">
        <v>0</v>
      </c>
      <c r="O41" s="17">
        <v>38.000000000000007</v>
      </c>
      <c r="P41" s="17">
        <v>7.25</v>
      </c>
      <c r="Q41" s="17">
        <v>0</v>
      </c>
      <c r="R41" s="17">
        <v>2.5249999999999844</v>
      </c>
      <c r="S41" s="17">
        <v>0</v>
      </c>
      <c r="T41" s="17">
        <v>0</v>
      </c>
      <c r="U41" s="17">
        <v>0</v>
      </c>
      <c r="V41" s="17">
        <f t="shared" si="35"/>
        <v>51.749999999999993</v>
      </c>
      <c r="W41" s="18">
        <v>52.125000000000007</v>
      </c>
      <c r="X41" s="17">
        <v>0</v>
      </c>
      <c r="Y41" s="17">
        <v>0</v>
      </c>
      <c r="Z41" s="19">
        <v>12.899999999999999</v>
      </c>
      <c r="AA41" s="17">
        <v>0</v>
      </c>
      <c r="AB41" s="17">
        <v>0</v>
      </c>
      <c r="AC41" s="17">
        <v>0</v>
      </c>
      <c r="AD41" s="17">
        <v>0</v>
      </c>
      <c r="AE41" s="17">
        <v>0</v>
      </c>
      <c r="AF41" s="19">
        <v>29.449999999999996</v>
      </c>
      <c r="AG41" s="17">
        <v>0</v>
      </c>
      <c r="AH41" s="17">
        <f t="shared" si="36"/>
        <v>-0.37500000000001421</v>
      </c>
      <c r="AI41" s="20">
        <v>1.6000000000000014</v>
      </c>
      <c r="AJ41" s="21">
        <v>838.95</v>
      </c>
      <c r="AK41" s="22">
        <v>616.0487804128212</v>
      </c>
      <c r="AL41" s="22">
        <v>604.7580124463625</v>
      </c>
      <c r="AM41" s="16">
        <v>10.9</v>
      </c>
      <c r="AN41" s="23">
        <f t="shared" si="2"/>
        <v>0</v>
      </c>
      <c r="AO41" s="23">
        <f t="shared" si="3"/>
        <v>0</v>
      </c>
      <c r="AP41" s="23">
        <f t="shared" si="4"/>
        <v>0</v>
      </c>
      <c r="AQ41" s="23">
        <f t="shared" si="5"/>
        <v>0</v>
      </c>
      <c r="AR41" s="23">
        <f t="shared" si="6"/>
        <v>0</v>
      </c>
      <c r="AS41" s="23">
        <f t="shared" si="7"/>
        <v>0</v>
      </c>
      <c r="AT41" s="23">
        <f t="shared" si="8"/>
        <v>0</v>
      </c>
      <c r="AU41" s="23">
        <f t="shared" si="9"/>
        <v>0</v>
      </c>
      <c r="AV41" s="23">
        <f t="shared" si="10"/>
        <v>0</v>
      </c>
      <c r="AW41" s="23">
        <f t="shared" si="11"/>
        <v>0</v>
      </c>
      <c r="AX41" s="23">
        <f t="shared" si="12"/>
        <v>36.47</v>
      </c>
      <c r="AY41" s="23">
        <f t="shared" si="13"/>
        <v>0</v>
      </c>
      <c r="AZ41" s="23">
        <f t="shared" si="14"/>
        <v>0</v>
      </c>
      <c r="BA41" s="23">
        <f t="shared" si="15"/>
        <v>348.62</v>
      </c>
      <c r="BB41" s="23">
        <f t="shared" si="16"/>
        <v>66.510000000000005</v>
      </c>
      <c r="BC41" s="23">
        <f t="shared" si="17"/>
        <v>0</v>
      </c>
      <c r="BD41" s="23">
        <f t="shared" si="18"/>
        <v>23.17</v>
      </c>
      <c r="BE41" s="23">
        <f t="shared" si="19"/>
        <v>0</v>
      </c>
      <c r="BF41" s="23">
        <f t="shared" si="20"/>
        <v>0</v>
      </c>
      <c r="BG41" s="23">
        <f t="shared" si="21"/>
        <v>0</v>
      </c>
      <c r="BH41" s="23">
        <f t="shared" si="22"/>
        <v>474.77</v>
      </c>
      <c r="BI41" s="23">
        <f t="shared" si="23"/>
        <v>478.21</v>
      </c>
      <c r="BJ41" s="23">
        <f t="shared" si="24"/>
        <v>0</v>
      </c>
      <c r="BK41" s="23">
        <f t="shared" si="25"/>
        <v>0</v>
      </c>
      <c r="BL41" s="23">
        <f t="shared" si="26"/>
        <v>118.35</v>
      </c>
      <c r="BM41" s="23">
        <f t="shared" si="27"/>
        <v>0</v>
      </c>
      <c r="BN41" s="23">
        <f t="shared" si="28"/>
        <v>0</v>
      </c>
      <c r="BO41" s="23">
        <f t="shared" si="29"/>
        <v>0</v>
      </c>
      <c r="BP41" s="23">
        <f t="shared" si="30"/>
        <v>0</v>
      </c>
      <c r="BQ41" s="23">
        <f t="shared" si="31"/>
        <v>0</v>
      </c>
      <c r="BR41" s="23">
        <f t="shared" si="32"/>
        <v>270.18</v>
      </c>
      <c r="BS41" s="23">
        <f t="shared" si="33"/>
        <v>0</v>
      </c>
      <c r="BT41" s="23">
        <f t="shared" si="38"/>
        <v>-3.44</v>
      </c>
      <c r="BU41" s="23">
        <f t="shared" si="38"/>
        <v>14.68</v>
      </c>
      <c r="BV41" s="23">
        <f t="shared" si="38"/>
        <v>7696.79</v>
      </c>
      <c r="BW41" s="23">
        <f t="shared" si="38"/>
        <v>5651.82</v>
      </c>
      <c r="BX41" s="23">
        <f t="shared" si="38"/>
        <v>5548.24</v>
      </c>
      <c r="BY41" t="s">
        <v>269</v>
      </c>
      <c r="CB41" s="40">
        <v>4.4999999999999998E-2</v>
      </c>
      <c r="CC41" s="36">
        <v>0.09</v>
      </c>
      <c r="CD41" s="36">
        <v>0</v>
      </c>
      <c r="CE41" t="s">
        <v>266</v>
      </c>
      <c r="CF41" t="s">
        <v>267</v>
      </c>
      <c r="CG41" t="s">
        <v>267</v>
      </c>
      <c r="CH41" t="s">
        <v>267</v>
      </c>
      <c r="CI41" t="s">
        <v>267</v>
      </c>
      <c r="CJ41" t="s">
        <v>267</v>
      </c>
      <c r="CK41" t="s">
        <v>266</v>
      </c>
      <c r="CL41" t="s">
        <v>266</v>
      </c>
      <c r="CM41" t="s">
        <v>285</v>
      </c>
      <c r="CN41" t="s">
        <v>267</v>
      </c>
      <c r="CO41" t="s">
        <v>266</v>
      </c>
      <c r="CP41" t="s">
        <v>303</v>
      </c>
      <c r="CQ41" t="s">
        <v>303</v>
      </c>
    </row>
    <row r="42" spans="1:95" x14ac:dyDescent="0.25">
      <c r="A42" s="2" t="s">
        <v>48</v>
      </c>
      <c r="B42" s="17">
        <v>0</v>
      </c>
      <c r="C42" s="17">
        <v>0</v>
      </c>
      <c r="D42" s="17">
        <v>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4.3250000000000002</v>
      </c>
      <c r="M42" s="17">
        <v>0</v>
      </c>
      <c r="N42" s="17">
        <v>0</v>
      </c>
      <c r="O42" s="17">
        <v>38</v>
      </c>
      <c r="P42" s="17">
        <v>7.3750000000000009</v>
      </c>
      <c r="Q42" s="17">
        <v>0</v>
      </c>
      <c r="R42" s="17">
        <v>2.0499999999999972</v>
      </c>
      <c r="S42" s="17">
        <v>0</v>
      </c>
      <c r="T42" s="17">
        <v>0</v>
      </c>
      <c r="U42" s="17">
        <v>0</v>
      </c>
      <c r="V42" s="17">
        <f t="shared" si="35"/>
        <v>51.75</v>
      </c>
      <c r="W42" s="18">
        <v>53.349999999999994</v>
      </c>
      <c r="X42" s="17">
        <v>0</v>
      </c>
      <c r="Y42" s="17">
        <v>0</v>
      </c>
      <c r="Z42" s="19">
        <v>13.825000000000001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19">
        <v>29.575000000000003</v>
      </c>
      <c r="AG42" s="17">
        <v>0</v>
      </c>
      <c r="AH42" s="17">
        <f t="shared" si="36"/>
        <v>-1.5999999999999943</v>
      </c>
      <c r="AI42" s="20">
        <v>1.7249999999999996</v>
      </c>
      <c r="AJ42" s="21">
        <v>839.3</v>
      </c>
      <c r="AK42" s="22">
        <v>595.36577744545298</v>
      </c>
      <c r="AL42" s="22">
        <v>587.87207541009298</v>
      </c>
      <c r="AM42" s="16">
        <v>11.1</v>
      </c>
      <c r="AN42" s="23">
        <f t="shared" si="2"/>
        <v>0</v>
      </c>
      <c r="AO42" s="23">
        <f t="shared" si="3"/>
        <v>0</v>
      </c>
      <c r="AP42" s="23">
        <f t="shared" si="4"/>
        <v>0</v>
      </c>
      <c r="AQ42" s="23">
        <f t="shared" si="5"/>
        <v>0</v>
      </c>
      <c r="AR42" s="23">
        <f t="shared" si="6"/>
        <v>0</v>
      </c>
      <c r="AS42" s="23">
        <f t="shared" si="7"/>
        <v>0</v>
      </c>
      <c r="AT42" s="23">
        <f t="shared" si="8"/>
        <v>0</v>
      </c>
      <c r="AU42" s="23">
        <f t="shared" si="9"/>
        <v>0</v>
      </c>
      <c r="AV42" s="23">
        <f t="shared" si="10"/>
        <v>0</v>
      </c>
      <c r="AW42" s="23">
        <f t="shared" si="11"/>
        <v>0</v>
      </c>
      <c r="AX42" s="23">
        <f t="shared" si="12"/>
        <v>38.96</v>
      </c>
      <c r="AY42" s="23">
        <f t="shared" si="13"/>
        <v>0</v>
      </c>
      <c r="AZ42" s="23">
        <f t="shared" si="14"/>
        <v>0</v>
      </c>
      <c r="BA42" s="23">
        <f t="shared" si="15"/>
        <v>342.34</v>
      </c>
      <c r="BB42" s="23">
        <f t="shared" si="16"/>
        <v>66.44</v>
      </c>
      <c r="BC42" s="23">
        <f t="shared" si="17"/>
        <v>0</v>
      </c>
      <c r="BD42" s="23">
        <f t="shared" si="18"/>
        <v>18.47</v>
      </c>
      <c r="BE42" s="23">
        <f t="shared" si="19"/>
        <v>0</v>
      </c>
      <c r="BF42" s="23">
        <f t="shared" si="20"/>
        <v>0</v>
      </c>
      <c r="BG42" s="23">
        <f t="shared" si="21"/>
        <v>0</v>
      </c>
      <c r="BH42" s="23">
        <f t="shared" si="22"/>
        <v>466.22</v>
      </c>
      <c r="BI42" s="23">
        <f t="shared" si="23"/>
        <v>480.63</v>
      </c>
      <c r="BJ42" s="23">
        <f t="shared" si="24"/>
        <v>0</v>
      </c>
      <c r="BK42" s="23">
        <f t="shared" si="25"/>
        <v>0</v>
      </c>
      <c r="BL42" s="23">
        <f t="shared" si="26"/>
        <v>124.55</v>
      </c>
      <c r="BM42" s="23">
        <f t="shared" si="27"/>
        <v>0</v>
      </c>
      <c r="BN42" s="23">
        <f t="shared" si="28"/>
        <v>0</v>
      </c>
      <c r="BO42" s="23">
        <f t="shared" si="29"/>
        <v>0</v>
      </c>
      <c r="BP42" s="23">
        <f t="shared" si="30"/>
        <v>0</v>
      </c>
      <c r="BQ42" s="23">
        <f t="shared" si="31"/>
        <v>0</v>
      </c>
      <c r="BR42" s="23">
        <f t="shared" si="32"/>
        <v>266.44</v>
      </c>
      <c r="BS42" s="23">
        <f t="shared" si="33"/>
        <v>0</v>
      </c>
      <c r="BT42" s="23">
        <f t="shared" si="38"/>
        <v>-14.41</v>
      </c>
      <c r="BU42" s="23">
        <f t="shared" si="38"/>
        <v>15.54</v>
      </c>
      <c r="BV42" s="23">
        <f t="shared" si="38"/>
        <v>7561.26</v>
      </c>
      <c r="BW42" s="23">
        <f t="shared" si="38"/>
        <v>5363.66</v>
      </c>
      <c r="BX42" s="23">
        <f t="shared" si="38"/>
        <v>5296.14</v>
      </c>
      <c r="BY42" t="s">
        <v>269</v>
      </c>
      <c r="CB42" s="40">
        <v>4.4999999999999998E-2</v>
      </c>
      <c r="CC42" s="36">
        <v>0.09</v>
      </c>
      <c r="CD42" s="36">
        <v>0</v>
      </c>
      <c r="CE42" t="s">
        <v>266</v>
      </c>
      <c r="CF42" t="s">
        <v>267</v>
      </c>
      <c r="CG42" t="s">
        <v>267</v>
      </c>
      <c r="CH42" t="s">
        <v>267</v>
      </c>
      <c r="CI42" t="s">
        <v>267</v>
      </c>
      <c r="CJ42" t="s">
        <v>267</v>
      </c>
      <c r="CK42" t="s">
        <v>266</v>
      </c>
      <c r="CL42" t="s">
        <v>266</v>
      </c>
      <c r="CM42" t="s">
        <v>285</v>
      </c>
      <c r="CN42" t="s">
        <v>267</v>
      </c>
      <c r="CO42" t="s">
        <v>266</v>
      </c>
      <c r="CP42" t="s">
        <v>303</v>
      </c>
      <c r="CQ42" t="s">
        <v>303</v>
      </c>
    </row>
    <row r="43" spans="1:95" x14ac:dyDescent="0.25">
      <c r="A43" s="2" t="s">
        <v>49</v>
      </c>
      <c r="B43" s="17">
        <v>0.15</v>
      </c>
      <c r="C43" s="17">
        <v>0</v>
      </c>
      <c r="D43" s="17">
        <v>0</v>
      </c>
      <c r="E43" s="17">
        <v>0</v>
      </c>
      <c r="F43" s="17">
        <v>0</v>
      </c>
      <c r="G43" s="17">
        <v>0</v>
      </c>
      <c r="H43" s="17">
        <v>0</v>
      </c>
      <c r="I43" s="17">
        <v>0</v>
      </c>
      <c r="J43" s="17">
        <v>0</v>
      </c>
      <c r="K43" s="17">
        <v>0</v>
      </c>
      <c r="L43" s="17">
        <v>4.6500000000000004</v>
      </c>
      <c r="M43" s="17">
        <v>0</v>
      </c>
      <c r="N43" s="17">
        <v>0</v>
      </c>
      <c r="O43" s="17">
        <v>37.749999999999993</v>
      </c>
      <c r="P43" s="17">
        <v>7.2749999999999995</v>
      </c>
      <c r="Q43" s="17">
        <v>0</v>
      </c>
      <c r="R43" s="17">
        <v>2.1000000000000156</v>
      </c>
      <c r="S43" s="17">
        <v>0</v>
      </c>
      <c r="T43" s="17">
        <v>0</v>
      </c>
      <c r="U43" s="17">
        <v>0</v>
      </c>
      <c r="V43" s="17">
        <f t="shared" si="35"/>
        <v>51.925000000000011</v>
      </c>
      <c r="W43" s="18">
        <v>53.475000000000009</v>
      </c>
      <c r="X43" s="17">
        <v>0</v>
      </c>
      <c r="Y43" s="17">
        <v>0</v>
      </c>
      <c r="Z43" s="19">
        <v>14.025</v>
      </c>
      <c r="AA43" s="17">
        <v>0</v>
      </c>
      <c r="AB43" s="17">
        <v>0</v>
      </c>
      <c r="AC43" s="17">
        <v>0</v>
      </c>
      <c r="AD43" s="17">
        <v>0</v>
      </c>
      <c r="AE43" s="17">
        <v>0</v>
      </c>
      <c r="AF43" s="19">
        <v>29.55</v>
      </c>
      <c r="AG43" s="17">
        <v>0</v>
      </c>
      <c r="AH43" s="17">
        <f t="shared" si="36"/>
        <v>-1.5499999999999972</v>
      </c>
      <c r="AI43" s="20">
        <v>2.5749999999999957</v>
      </c>
      <c r="AJ43" s="21">
        <v>840.27499999999986</v>
      </c>
      <c r="AK43" s="22">
        <v>576.78324398673897</v>
      </c>
      <c r="AL43" s="22">
        <v>562.09928317539095</v>
      </c>
      <c r="AM43" s="16">
        <v>10.9</v>
      </c>
      <c r="AN43" s="23">
        <f t="shared" si="2"/>
        <v>1.38</v>
      </c>
      <c r="AO43" s="23">
        <f t="shared" si="3"/>
        <v>0</v>
      </c>
      <c r="AP43" s="23">
        <f t="shared" si="4"/>
        <v>0</v>
      </c>
      <c r="AQ43" s="23">
        <f t="shared" si="5"/>
        <v>0</v>
      </c>
      <c r="AR43" s="23">
        <f t="shared" si="6"/>
        <v>0</v>
      </c>
      <c r="AS43" s="23">
        <f t="shared" si="7"/>
        <v>0</v>
      </c>
      <c r="AT43" s="23">
        <f t="shared" si="8"/>
        <v>0</v>
      </c>
      <c r="AU43" s="23">
        <f t="shared" si="9"/>
        <v>0</v>
      </c>
      <c r="AV43" s="23">
        <f t="shared" si="10"/>
        <v>0</v>
      </c>
      <c r="AW43" s="23">
        <f t="shared" si="11"/>
        <v>0</v>
      </c>
      <c r="AX43" s="23">
        <f t="shared" si="12"/>
        <v>42.66</v>
      </c>
      <c r="AY43" s="23">
        <f t="shared" si="13"/>
        <v>0</v>
      </c>
      <c r="AZ43" s="23">
        <f t="shared" si="14"/>
        <v>0</v>
      </c>
      <c r="BA43" s="23">
        <f t="shared" si="15"/>
        <v>346.33</v>
      </c>
      <c r="BB43" s="23">
        <f t="shared" si="16"/>
        <v>66.739999999999995</v>
      </c>
      <c r="BC43" s="23">
        <f t="shared" si="17"/>
        <v>0</v>
      </c>
      <c r="BD43" s="23">
        <f t="shared" si="18"/>
        <v>19.27</v>
      </c>
      <c r="BE43" s="23">
        <f t="shared" si="19"/>
        <v>0</v>
      </c>
      <c r="BF43" s="23">
        <f t="shared" si="20"/>
        <v>0</v>
      </c>
      <c r="BG43" s="23">
        <f t="shared" si="21"/>
        <v>0</v>
      </c>
      <c r="BH43" s="23">
        <f t="shared" si="22"/>
        <v>476.38</v>
      </c>
      <c r="BI43" s="23">
        <f t="shared" si="23"/>
        <v>490.6</v>
      </c>
      <c r="BJ43" s="23">
        <f t="shared" si="24"/>
        <v>0</v>
      </c>
      <c r="BK43" s="23">
        <f t="shared" si="25"/>
        <v>0</v>
      </c>
      <c r="BL43" s="23">
        <f t="shared" si="26"/>
        <v>128.66999999999999</v>
      </c>
      <c r="BM43" s="23">
        <f t="shared" si="27"/>
        <v>0</v>
      </c>
      <c r="BN43" s="23">
        <f t="shared" si="28"/>
        <v>0</v>
      </c>
      <c r="BO43" s="23">
        <f t="shared" si="29"/>
        <v>0</v>
      </c>
      <c r="BP43" s="23">
        <f t="shared" si="30"/>
        <v>0</v>
      </c>
      <c r="BQ43" s="23">
        <f t="shared" si="31"/>
        <v>0</v>
      </c>
      <c r="BR43" s="23">
        <f t="shared" si="32"/>
        <v>271.10000000000002</v>
      </c>
      <c r="BS43" s="23">
        <f t="shared" si="33"/>
        <v>0</v>
      </c>
      <c r="BT43" s="23">
        <f t="shared" si="38"/>
        <v>-14.22</v>
      </c>
      <c r="BU43" s="23">
        <f t="shared" si="38"/>
        <v>23.62</v>
      </c>
      <c r="BV43" s="23">
        <f t="shared" si="38"/>
        <v>7708.94</v>
      </c>
      <c r="BW43" s="23">
        <f t="shared" si="38"/>
        <v>5291.59</v>
      </c>
      <c r="BX43" s="23">
        <f t="shared" si="38"/>
        <v>5156.87</v>
      </c>
      <c r="BY43" t="s">
        <v>269</v>
      </c>
      <c r="CB43" s="40">
        <v>4.4999999999999998E-2</v>
      </c>
      <c r="CC43" s="36">
        <v>0.09</v>
      </c>
      <c r="CD43" s="36">
        <v>0</v>
      </c>
      <c r="CE43" t="s">
        <v>266</v>
      </c>
      <c r="CF43" t="s">
        <v>267</v>
      </c>
      <c r="CG43" t="s">
        <v>267</v>
      </c>
      <c r="CH43" t="s">
        <v>267</v>
      </c>
      <c r="CI43" t="s">
        <v>267</v>
      </c>
      <c r="CJ43" t="s">
        <v>267</v>
      </c>
      <c r="CK43" t="s">
        <v>266</v>
      </c>
      <c r="CL43" t="s">
        <v>266</v>
      </c>
      <c r="CM43" t="s">
        <v>285</v>
      </c>
      <c r="CN43" t="s">
        <v>267</v>
      </c>
      <c r="CO43" t="s">
        <v>266</v>
      </c>
      <c r="CP43" t="s">
        <v>303</v>
      </c>
      <c r="CQ43" t="s">
        <v>303</v>
      </c>
    </row>
    <row r="44" spans="1:95" x14ac:dyDescent="0.25">
      <c r="A44" s="2" t="s">
        <v>50</v>
      </c>
      <c r="B44" s="17">
        <v>1.7749999999999999</v>
      </c>
      <c r="C44" s="17">
        <v>0</v>
      </c>
      <c r="D44" s="17">
        <v>0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4.4749999999999996</v>
      </c>
      <c r="M44" s="17">
        <v>0</v>
      </c>
      <c r="N44" s="17">
        <v>0</v>
      </c>
      <c r="O44" s="17">
        <v>37</v>
      </c>
      <c r="P44" s="17">
        <v>7.1750000000000007</v>
      </c>
      <c r="Q44" s="17">
        <v>0</v>
      </c>
      <c r="R44" s="17">
        <v>2.0750000000000028</v>
      </c>
      <c r="S44" s="17">
        <v>0</v>
      </c>
      <c r="T44" s="17">
        <v>0</v>
      </c>
      <c r="U44" s="17">
        <v>0</v>
      </c>
      <c r="V44" s="17">
        <f t="shared" si="35"/>
        <v>52.5</v>
      </c>
      <c r="W44" s="18">
        <v>54.499999999999993</v>
      </c>
      <c r="X44" s="17">
        <v>0</v>
      </c>
      <c r="Y44" s="17">
        <v>0</v>
      </c>
      <c r="Z44" s="19">
        <v>14.399999999999999</v>
      </c>
      <c r="AA44" s="17">
        <v>0</v>
      </c>
      <c r="AB44" s="17">
        <v>0</v>
      </c>
      <c r="AC44" s="17">
        <v>0</v>
      </c>
      <c r="AD44" s="17">
        <v>0</v>
      </c>
      <c r="AE44" s="17">
        <v>0</v>
      </c>
      <c r="AF44" s="19">
        <v>29.674999999999997</v>
      </c>
      <c r="AG44" s="17">
        <v>0</v>
      </c>
      <c r="AH44" s="17">
        <f t="shared" si="36"/>
        <v>-1.9999999999999929</v>
      </c>
      <c r="AI44" s="20">
        <v>2.6749999999999989</v>
      </c>
      <c r="AJ44" s="21">
        <v>838.60000000000014</v>
      </c>
      <c r="AK44" s="22">
        <v>555.69913864300247</v>
      </c>
      <c r="AL44" s="22">
        <v>557.58281038957352</v>
      </c>
      <c r="AM44" s="16">
        <v>10</v>
      </c>
      <c r="AN44" s="23">
        <f t="shared" si="2"/>
        <v>17.75</v>
      </c>
      <c r="AO44" s="23">
        <f t="shared" si="3"/>
        <v>0</v>
      </c>
      <c r="AP44" s="23">
        <f t="shared" si="4"/>
        <v>0</v>
      </c>
      <c r="AQ44" s="23">
        <f t="shared" si="5"/>
        <v>0</v>
      </c>
      <c r="AR44" s="23">
        <f t="shared" si="6"/>
        <v>0</v>
      </c>
      <c r="AS44" s="23">
        <f t="shared" si="7"/>
        <v>0</v>
      </c>
      <c r="AT44" s="23">
        <f t="shared" si="8"/>
        <v>0</v>
      </c>
      <c r="AU44" s="23">
        <f t="shared" si="9"/>
        <v>0</v>
      </c>
      <c r="AV44" s="23">
        <f t="shared" si="10"/>
        <v>0</v>
      </c>
      <c r="AW44" s="23">
        <f t="shared" si="11"/>
        <v>0</v>
      </c>
      <c r="AX44" s="23">
        <f t="shared" si="12"/>
        <v>44.75</v>
      </c>
      <c r="AY44" s="23">
        <f t="shared" si="13"/>
        <v>0</v>
      </c>
      <c r="AZ44" s="23">
        <f t="shared" si="14"/>
        <v>0</v>
      </c>
      <c r="BA44" s="23">
        <f t="shared" si="15"/>
        <v>370</v>
      </c>
      <c r="BB44" s="23">
        <f t="shared" si="16"/>
        <v>71.75</v>
      </c>
      <c r="BC44" s="23">
        <f t="shared" si="17"/>
        <v>0</v>
      </c>
      <c r="BD44" s="23">
        <f t="shared" si="18"/>
        <v>20.75</v>
      </c>
      <c r="BE44" s="23">
        <f t="shared" si="19"/>
        <v>0</v>
      </c>
      <c r="BF44" s="23">
        <f t="shared" si="20"/>
        <v>0</v>
      </c>
      <c r="BG44" s="23">
        <f t="shared" si="21"/>
        <v>0</v>
      </c>
      <c r="BH44" s="23">
        <f t="shared" si="22"/>
        <v>525</v>
      </c>
      <c r="BI44" s="23">
        <f t="shared" si="23"/>
        <v>545</v>
      </c>
      <c r="BJ44" s="23">
        <f t="shared" si="24"/>
        <v>0</v>
      </c>
      <c r="BK44" s="23">
        <f t="shared" si="25"/>
        <v>0</v>
      </c>
      <c r="BL44" s="23">
        <f t="shared" si="26"/>
        <v>144</v>
      </c>
      <c r="BM44" s="23">
        <f t="shared" si="27"/>
        <v>0</v>
      </c>
      <c r="BN44" s="23">
        <f t="shared" si="28"/>
        <v>0</v>
      </c>
      <c r="BO44" s="23">
        <f t="shared" si="29"/>
        <v>0</v>
      </c>
      <c r="BP44" s="23">
        <f t="shared" si="30"/>
        <v>0</v>
      </c>
      <c r="BQ44" s="23">
        <f t="shared" si="31"/>
        <v>0</v>
      </c>
      <c r="BR44" s="23">
        <f t="shared" si="32"/>
        <v>296.75</v>
      </c>
      <c r="BS44" s="23">
        <f t="shared" si="33"/>
        <v>0</v>
      </c>
      <c r="BT44" s="23">
        <f t="shared" si="38"/>
        <v>-20</v>
      </c>
      <c r="BU44" s="23">
        <f t="shared" si="38"/>
        <v>26.75</v>
      </c>
      <c r="BV44" s="23">
        <f t="shared" si="38"/>
        <v>8386</v>
      </c>
      <c r="BW44" s="23">
        <f t="shared" si="38"/>
        <v>5556.99</v>
      </c>
      <c r="BX44" s="23">
        <f t="shared" si="38"/>
        <v>5575.83</v>
      </c>
      <c r="BY44" t="s">
        <v>269</v>
      </c>
      <c r="CB44" s="40">
        <v>4.4999999999999998E-2</v>
      </c>
      <c r="CC44" s="36">
        <v>0.09</v>
      </c>
      <c r="CD44" s="36">
        <v>0</v>
      </c>
      <c r="CE44" t="s">
        <v>266</v>
      </c>
      <c r="CF44" t="s">
        <v>267</v>
      </c>
      <c r="CG44" t="s">
        <v>267</v>
      </c>
      <c r="CH44" t="s">
        <v>267</v>
      </c>
      <c r="CI44" t="s">
        <v>267</v>
      </c>
      <c r="CJ44" t="s">
        <v>267</v>
      </c>
      <c r="CK44" t="s">
        <v>266</v>
      </c>
      <c r="CL44" t="s">
        <v>266</v>
      </c>
      <c r="CM44" t="s">
        <v>285</v>
      </c>
      <c r="CN44" t="s">
        <v>267</v>
      </c>
      <c r="CO44" t="s">
        <v>266</v>
      </c>
      <c r="CP44" t="s">
        <v>303</v>
      </c>
      <c r="CQ44" t="s">
        <v>303</v>
      </c>
    </row>
    <row r="45" spans="1:95" x14ac:dyDescent="0.25">
      <c r="A45" s="2" t="s">
        <v>51</v>
      </c>
      <c r="B45" s="17">
        <v>5.3</v>
      </c>
      <c r="C45" s="17">
        <v>0</v>
      </c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4.4000000000000004</v>
      </c>
      <c r="M45" s="17">
        <v>0</v>
      </c>
      <c r="N45" s="17">
        <v>0</v>
      </c>
      <c r="O45" s="17">
        <v>37.250000000000007</v>
      </c>
      <c r="P45" s="17">
        <v>7.1499999999999995</v>
      </c>
      <c r="Q45" s="17">
        <v>0</v>
      </c>
      <c r="R45" s="17">
        <v>2.9749999999999943</v>
      </c>
      <c r="S45" s="17">
        <v>0</v>
      </c>
      <c r="T45" s="17">
        <v>0</v>
      </c>
      <c r="U45" s="17">
        <v>0</v>
      </c>
      <c r="V45" s="17">
        <f t="shared" si="35"/>
        <v>57.074999999999996</v>
      </c>
      <c r="W45" s="18">
        <v>55.175000000000004</v>
      </c>
      <c r="X45" s="17">
        <v>0</v>
      </c>
      <c r="Y45" s="17">
        <v>0</v>
      </c>
      <c r="Z45" s="19">
        <v>14.324999999999999</v>
      </c>
      <c r="AA45" s="17">
        <v>0</v>
      </c>
      <c r="AB45" s="17">
        <v>0</v>
      </c>
      <c r="AC45" s="17">
        <v>0</v>
      </c>
      <c r="AD45" s="17">
        <v>0</v>
      </c>
      <c r="AE45" s="17">
        <v>0</v>
      </c>
      <c r="AF45" s="19">
        <v>29.550000000000004</v>
      </c>
      <c r="AG45" s="17">
        <v>0</v>
      </c>
      <c r="AH45" s="17">
        <f t="shared" si="36"/>
        <v>1.8999999999999915</v>
      </c>
      <c r="AI45" s="20">
        <v>1.825</v>
      </c>
      <c r="AJ45" s="21">
        <v>837.17499999999995</v>
      </c>
      <c r="AK45" s="22">
        <v>568.70631904438062</v>
      </c>
      <c r="AL45" s="22">
        <v>589.06966460742387</v>
      </c>
      <c r="AM45" s="16">
        <v>8.9</v>
      </c>
      <c r="AN45" s="23">
        <f t="shared" si="2"/>
        <v>59.55</v>
      </c>
      <c r="AO45" s="23">
        <f t="shared" si="3"/>
        <v>0</v>
      </c>
      <c r="AP45" s="23">
        <f t="shared" si="4"/>
        <v>0</v>
      </c>
      <c r="AQ45" s="23">
        <f t="shared" si="5"/>
        <v>0</v>
      </c>
      <c r="AR45" s="23">
        <f t="shared" si="6"/>
        <v>0</v>
      </c>
      <c r="AS45" s="23">
        <f t="shared" si="7"/>
        <v>0</v>
      </c>
      <c r="AT45" s="23">
        <f t="shared" si="8"/>
        <v>0</v>
      </c>
      <c r="AU45" s="23">
        <f t="shared" si="9"/>
        <v>0</v>
      </c>
      <c r="AV45" s="23">
        <f t="shared" si="10"/>
        <v>0</v>
      </c>
      <c r="AW45" s="23">
        <f t="shared" si="11"/>
        <v>0</v>
      </c>
      <c r="AX45" s="23">
        <f t="shared" si="12"/>
        <v>49.44</v>
      </c>
      <c r="AY45" s="23">
        <f t="shared" si="13"/>
        <v>0</v>
      </c>
      <c r="AZ45" s="23">
        <f t="shared" si="14"/>
        <v>0</v>
      </c>
      <c r="BA45" s="23">
        <f t="shared" si="15"/>
        <v>418.54</v>
      </c>
      <c r="BB45" s="23">
        <f t="shared" si="16"/>
        <v>80.34</v>
      </c>
      <c r="BC45" s="23">
        <f t="shared" si="17"/>
        <v>0</v>
      </c>
      <c r="BD45" s="23">
        <f t="shared" si="18"/>
        <v>33.43</v>
      </c>
      <c r="BE45" s="23">
        <f t="shared" si="19"/>
        <v>0</v>
      </c>
      <c r="BF45" s="23">
        <f t="shared" si="20"/>
        <v>0</v>
      </c>
      <c r="BG45" s="23">
        <f t="shared" si="21"/>
        <v>0</v>
      </c>
      <c r="BH45" s="23">
        <f t="shared" si="22"/>
        <v>641.29</v>
      </c>
      <c r="BI45" s="23">
        <f t="shared" si="23"/>
        <v>619.94000000000005</v>
      </c>
      <c r="BJ45" s="23">
        <f t="shared" si="24"/>
        <v>0</v>
      </c>
      <c r="BK45" s="23">
        <f t="shared" si="25"/>
        <v>0</v>
      </c>
      <c r="BL45" s="23">
        <f t="shared" si="26"/>
        <v>160.96</v>
      </c>
      <c r="BM45" s="23">
        <f t="shared" si="27"/>
        <v>0</v>
      </c>
      <c r="BN45" s="23">
        <f t="shared" si="28"/>
        <v>0</v>
      </c>
      <c r="BO45" s="23">
        <f t="shared" si="29"/>
        <v>0</v>
      </c>
      <c r="BP45" s="23">
        <f t="shared" si="30"/>
        <v>0</v>
      </c>
      <c r="BQ45" s="23">
        <f t="shared" si="31"/>
        <v>0</v>
      </c>
      <c r="BR45" s="23">
        <f t="shared" si="32"/>
        <v>332.02</v>
      </c>
      <c r="BS45" s="23">
        <f t="shared" si="33"/>
        <v>0</v>
      </c>
      <c r="BT45" s="23">
        <f t="shared" si="38"/>
        <v>21.35</v>
      </c>
      <c r="BU45" s="23">
        <f t="shared" si="38"/>
        <v>20.51</v>
      </c>
      <c r="BV45" s="23">
        <f t="shared" si="38"/>
        <v>9406.4599999999991</v>
      </c>
      <c r="BW45" s="23">
        <f t="shared" si="38"/>
        <v>6389.96</v>
      </c>
      <c r="BX45" s="23">
        <f t="shared" si="38"/>
        <v>6618.76</v>
      </c>
      <c r="BY45" t="s">
        <v>269</v>
      </c>
      <c r="CB45" s="40">
        <v>4.4999999999999998E-2</v>
      </c>
      <c r="CC45" s="36">
        <v>0.09</v>
      </c>
      <c r="CD45" s="36">
        <v>0</v>
      </c>
      <c r="CE45" t="s">
        <v>266</v>
      </c>
      <c r="CF45" t="s">
        <v>267</v>
      </c>
      <c r="CG45" t="s">
        <v>267</v>
      </c>
      <c r="CH45" t="s">
        <v>267</v>
      </c>
      <c r="CI45" t="s">
        <v>267</v>
      </c>
      <c r="CJ45" t="s">
        <v>267</v>
      </c>
      <c r="CK45" t="s">
        <v>266</v>
      </c>
      <c r="CL45" t="s">
        <v>266</v>
      </c>
      <c r="CM45" t="s">
        <v>285</v>
      </c>
      <c r="CN45" t="s">
        <v>267</v>
      </c>
      <c r="CO45" t="s">
        <v>266</v>
      </c>
      <c r="CP45" t="s">
        <v>303</v>
      </c>
    </row>
    <row r="46" spans="1:95" x14ac:dyDescent="0.25">
      <c r="A46" s="2" t="s">
        <v>52</v>
      </c>
      <c r="B46" s="17">
        <v>5.2749999999999995</v>
      </c>
      <c r="C46" s="17">
        <v>0</v>
      </c>
      <c r="D46" s="17">
        <v>0</v>
      </c>
      <c r="E46" s="17">
        <v>0</v>
      </c>
      <c r="F46" s="17">
        <v>0</v>
      </c>
      <c r="G46" s="17">
        <v>0</v>
      </c>
      <c r="H46" s="17">
        <v>0</v>
      </c>
      <c r="I46" s="17">
        <v>0</v>
      </c>
      <c r="J46" s="17">
        <v>0</v>
      </c>
      <c r="K46" s="17">
        <v>0</v>
      </c>
      <c r="L46" s="17">
        <v>4.4000000000000004</v>
      </c>
      <c r="M46" s="17">
        <v>0</v>
      </c>
      <c r="N46" s="17">
        <v>0</v>
      </c>
      <c r="O46" s="17">
        <v>37.75</v>
      </c>
      <c r="P46" s="17">
        <v>7.4499999999999993</v>
      </c>
      <c r="Q46" s="17">
        <v>0</v>
      </c>
      <c r="R46" s="17">
        <v>3.1500000000000057</v>
      </c>
      <c r="S46" s="17">
        <v>0</v>
      </c>
      <c r="T46" s="17">
        <v>0</v>
      </c>
      <c r="U46" s="17">
        <v>0</v>
      </c>
      <c r="V46" s="17">
        <f t="shared" si="35"/>
        <v>58.025000000000006</v>
      </c>
      <c r="W46" s="18">
        <v>55.25</v>
      </c>
      <c r="X46" s="17">
        <v>0</v>
      </c>
      <c r="Y46" s="17">
        <v>0</v>
      </c>
      <c r="Z46" s="19">
        <v>13.950000000000001</v>
      </c>
      <c r="AA46" s="17">
        <v>0</v>
      </c>
      <c r="AB46" s="17">
        <v>0</v>
      </c>
      <c r="AC46" s="17">
        <v>0</v>
      </c>
      <c r="AD46" s="17">
        <v>0</v>
      </c>
      <c r="AE46" s="17">
        <v>0</v>
      </c>
      <c r="AF46" s="19">
        <v>29.699999999999996</v>
      </c>
      <c r="AG46" s="17">
        <v>0</v>
      </c>
      <c r="AH46" s="17">
        <f t="shared" si="36"/>
        <v>2.7750000000000057</v>
      </c>
      <c r="AI46" s="20">
        <v>3.5</v>
      </c>
      <c r="AJ46" s="21">
        <v>832.8</v>
      </c>
      <c r="AK46" s="22">
        <v>609.17382791164448</v>
      </c>
      <c r="AL46" s="22">
        <v>629.01880895704278</v>
      </c>
      <c r="AM46" s="16">
        <v>8.9</v>
      </c>
      <c r="AN46" s="23">
        <f t="shared" si="2"/>
        <v>59.27</v>
      </c>
      <c r="AO46" s="23">
        <f t="shared" si="3"/>
        <v>0</v>
      </c>
      <c r="AP46" s="23">
        <f t="shared" si="4"/>
        <v>0</v>
      </c>
      <c r="AQ46" s="23">
        <f t="shared" si="5"/>
        <v>0</v>
      </c>
      <c r="AR46" s="23">
        <f t="shared" si="6"/>
        <v>0</v>
      </c>
      <c r="AS46" s="23">
        <f t="shared" si="7"/>
        <v>0</v>
      </c>
      <c r="AT46" s="23">
        <f t="shared" si="8"/>
        <v>0</v>
      </c>
      <c r="AU46" s="23">
        <f t="shared" si="9"/>
        <v>0</v>
      </c>
      <c r="AV46" s="23">
        <f t="shared" si="10"/>
        <v>0</v>
      </c>
      <c r="AW46" s="23">
        <f t="shared" si="11"/>
        <v>0</v>
      </c>
      <c r="AX46" s="23">
        <f t="shared" si="12"/>
        <v>49.44</v>
      </c>
      <c r="AY46" s="23">
        <f t="shared" si="13"/>
        <v>0</v>
      </c>
      <c r="AZ46" s="23">
        <f t="shared" si="14"/>
        <v>0</v>
      </c>
      <c r="BA46" s="23">
        <f t="shared" si="15"/>
        <v>424.16</v>
      </c>
      <c r="BB46" s="23">
        <f t="shared" si="16"/>
        <v>83.71</v>
      </c>
      <c r="BC46" s="23">
        <f t="shared" si="17"/>
        <v>0</v>
      </c>
      <c r="BD46" s="23">
        <f t="shared" si="18"/>
        <v>35.39</v>
      </c>
      <c r="BE46" s="23">
        <f t="shared" si="19"/>
        <v>0</v>
      </c>
      <c r="BF46" s="23">
        <f t="shared" si="20"/>
        <v>0</v>
      </c>
      <c r="BG46" s="23">
        <f t="shared" si="21"/>
        <v>0</v>
      </c>
      <c r="BH46" s="23">
        <f t="shared" si="22"/>
        <v>651.97</v>
      </c>
      <c r="BI46" s="23">
        <f t="shared" si="23"/>
        <v>620.79</v>
      </c>
      <c r="BJ46" s="23">
        <f t="shared" si="24"/>
        <v>0</v>
      </c>
      <c r="BK46" s="23">
        <f t="shared" si="25"/>
        <v>0</v>
      </c>
      <c r="BL46" s="23">
        <f t="shared" si="26"/>
        <v>156.74</v>
      </c>
      <c r="BM46" s="23">
        <f t="shared" si="27"/>
        <v>0</v>
      </c>
      <c r="BN46" s="23">
        <f t="shared" si="28"/>
        <v>0</v>
      </c>
      <c r="BO46" s="23">
        <f t="shared" si="29"/>
        <v>0</v>
      </c>
      <c r="BP46" s="23">
        <f t="shared" si="30"/>
        <v>0</v>
      </c>
      <c r="BQ46" s="23">
        <f t="shared" si="31"/>
        <v>0</v>
      </c>
      <c r="BR46" s="23">
        <f t="shared" si="32"/>
        <v>333.71</v>
      </c>
      <c r="BS46" s="23">
        <f t="shared" si="33"/>
        <v>0</v>
      </c>
      <c r="BT46" s="23">
        <f t="shared" si="38"/>
        <v>31.18</v>
      </c>
      <c r="BU46" s="23">
        <f t="shared" si="38"/>
        <v>39.33</v>
      </c>
      <c r="BV46" s="23">
        <f t="shared" si="38"/>
        <v>9357.2999999999993</v>
      </c>
      <c r="BW46" s="23">
        <f t="shared" si="38"/>
        <v>6844.65</v>
      </c>
      <c r="BX46" s="23">
        <f t="shared" si="38"/>
        <v>7067.63</v>
      </c>
      <c r="BY46" t="s">
        <v>269</v>
      </c>
      <c r="CB46" s="40">
        <v>4.4999999999999998E-2</v>
      </c>
      <c r="CC46" s="36">
        <v>0.09</v>
      </c>
      <c r="CD46" s="36">
        <v>0</v>
      </c>
      <c r="CE46" t="s">
        <v>266</v>
      </c>
      <c r="CF46" t="s">
        <v>267</v>
      </c>
      <c r="CG46" t="s">
        <v>267</v>
      </c>
      <c r="CH46" t="s">
        <v>267</v>
      </c>
      <c r="CI46" t="s">
        <v>267</v>
      </c>
      <c r="CJ46" t="s">
        <v>267</v>
      </c>
      <c r="CK46" t="s">
        <v>266</v>
      </c>
      <c r="CL46" t="s">
        <v>266</v>
      </c>
      <c r="CM46" t="s">
        <v>285</v>
      </c>
      <c r="CN46" t="s">
        <v>267</v>
      </c>
      <c r="CO46" t="s">
        <v>266</v>
      </c>
      <c r="CP46" t="s">
        <v>303</v>
      </c>
    </row>
    <row r="47" spans="1:95" x14ac:dyDescent="0.25">
      <c r="A47" s="2" t="s">
        <v>53</v>
      </c>
      <c r="B47" s="17">
        <v>5.2750000000000004</v>
      </c>
      <c r="C47" s="17">
        <v>0</v>
      </c>
      <c r="D47" s="17">
        <v>0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4.4250000000000007</v>
      </c>
      <c r="M47" s="17">
        <v>0</v>
      </c>
      <c r="N47" s="17">
        <v>0</v>
      </c>
      <c r="O47" s="17">
        <v>36.999999999999993</v>
      </c>
      <c r="P47" s="17">
        <v>7.8500000000000005</v>
      </c>
      <c r="Q47" s="17">
        <v>0</v>
      </c>
      <c r="R47" s="17">
        <v>3.125</v>
      </c>
      <c r="S47" s="17">
        <v>0</v>
      </c>
      <c r="T47" s="17">
        <v>0</v>
      </c>
      <c r="U47" s="17">
        <v>0</v>
      </c>
      <c r="V47" s="17">
        <f t="shared" si="35"/>
        <v>57.674999999999997</v>
      </c>
      <c r="W47" s="18">
        <v>54.524999999999991</v>
      </c>
      <c r="X47" s="17">
        <v>0</v>
      </c>
      <c r="Y47" s="17">
        <v>0</v>
      </c>
      <c r="Z47" s="19">
        <v>13.925000000000001</v>
      </c>
      <c r="AA47" s="17">
        <v>0</v>
      </c>
      <c r="AB47" s="17">
        <v>0</v>
      </c>
      <c r="AC47" s="17">
        <v>0</v>
      </c>
      <c r="AD47" s="17">
        <v>0</v>
      </c>
      <c r="AE47" s="17">
        <v>0</v>
      </c>
      <c r="AF47" s="19">
        <v>30.1</v>
      </c>
      <c r="AG47" s="17">
        <v>0</v>
      </c>
      <c r="AH47" s="17">
        <f t="shared" si="36"/>
        <v>3.1500000000000057</v>
      </c>
      <c r="AI47" s="20">
        <v>3.55</v>
      </c>
      <c r="AJ47" s="21">
        <v>828.87499999999989</v>
      </c>
      <c r="AK47" s="22">
        <v>641.45565162882917</v>
      </c>
      <c r="AL47" s="22">
        <v>646.484355927004</v>
      </c>
      <c r="AM47" s="16">
        <v>9.3000000000000007</v>
      </c>
      <c r="AN47" s="23">
        <f t="shared" si="2"/>
        <v>56.72</v>
      </c>
      <c r="AO47" s="23">
        <f t="shared" si="3"/>
        <v>0</v>
      </c>
      <c r="AP47" s="23">
        <f t="shared" si="4"/>
        <v>0</v>
      </c>
      <c r="AQ47" s="23">
        <f t="shared" si="5"/>
        <v>0</v>
      </c>
      <c r="AR47" s="23">
        <f t="shared" si="6"/>
        <v>0</v>
      </c>
      <c r="AS47" s="23">
        <f t="shared" si="7"/>
        <v>0</v>
      </c>
      <c r="AT47" s="23">
        <f t="shared" si="8"/>
        <v>0</v>
      </c>
      <c r="AU47" s="23">
        <f t="shared" si="9"/>
        <v>0</v>
      </c>
      <c r="AV47" s="23">
        <f t="shared" si="10"/>
        <v>0</v>
      </c>
      <c r="AW47" s="23">
        <f t="shared" si="11"/>
        <v>0</v>
      </c>
      <c r="AX47" s="23">
        <f t="shared" si="12"/>
        <v>47.58</v>
      </c>
      <c r="AY47" s="23">
        <f t="shared" si="13"/>
        <v>0</v>
      </c>
      <c r="AZ47" s="23">
        <f t="shared" si="14"/>
        <v>0</v>
      </c>
      <c r="BA47" s="23">
        <f t="shared" si="15"/>
        <v>397.85</v>
      </c>
      <c r="BB47" s="23">
        <f t="shared" si="16"/>
        <v>84.41</v>
      </c>
      <c r="BC47" s="23">
        <f t="shared" si="17"/>
        <v>0</v>
      </c>
      <c r="BD47" s="23">
        <f t="shared" si="18"/>
        <v>33.6</v>
      </c>
      <c r="BE47" s="23">
        <f t="shared" si="19"/>
        <v>0</v>
      </c>
      <c r="BF47" s="23">
        <f t="shared" si="20"/>
        <v>0</v>
      </c>
      <c r="BG47" s="23">
        <f t="shared" si="21"/>
        <v>0</v>
      </c>
      <c r="BH47" s="23">
        <f t="shared" si="22"/>
        <v>620.16</v>
      </c>
      <c r="BI47" s="23">
        <f t="shared" si="23"/>
        <v>586.29</v>
      </c>
      <c r="BJ47" s="23">
        <f t="shared" si="24"/>
        <v>0</v>
      </c>
      <c r="BK47" s="23">
        <f t="shared" si="25"/>
        <v>0</v>
      </c>
      <c r="BL47" s="23">
        <f t="shared" si="26"/>
        <v>149.72999999999999</v>
      </c>
      <c r="BM47" s="23">
        <f t="shared" si="27"/>
        <v>0</v>
      </c>
      <c r="BN47" s="23">
        <f t="shared" si="28"/>
        <v>0</v>
      </c>
      <c r="BO47" s="23">
        <f t="shared" si="29"/>
        <v>0</v>
      </c>
      <c r="BP47" s="23">
        <f t="shared" si="30"/>
        <v>0</v>
      </c>
      <c r="BQ47" s="23">
        <f t="shared" si="31"/>
        <v>0</v>
      </c>
      <c r="BR47" s="23">
        <f t="shared" si="32"/>
        <v>323.66000000000003</v>
      </c>
      <c r="BS47" s="23">
        <f t="shared" si="33"/>
        <v>0</v>
      </c>
      <c r="BT47" s="23">
        <f t="shared" si="38"/>
        <v>33.869999999999997</v>
      </c>
      <c r="BU47" s="23">
        <f t="shared" si="38"/>
        <v>38.17</v>
      </c>
      <c r="BV47" s="23">
        <f t="shared" si="38"/>
        <v>8912.6299999999992</v>
      </c>
      <c r="BW47" s="23">
        <f t="shared" si="38"/>
        <v>6897.37</v>
      </c>
      <c r="BX47" s="23">
        <f t="shared" si="38"/>
        <v>6951.44</v>
      </c>
      <c r="BY47" t="s">
        <v>269</v>
      </c>
      <c r="CB47" s="40">
        <v>4.4999999999999998E-2</v>
      </c>
      <c r="CC47" s="36">
        <v>0.09</v>
      </c>
      <c r="CD47" s="36">
        <v>0</v>
      </c>
      <c r="CE47" t="s">
        <v>266</v>
      </c>
      <c r="CF47" t="s">
        <v>267</v>
      </c>
      <c r="CG47" t="s">
        <v>267</v>
      </c>
      <c r="CH47" t="s">
        <v>267</v>
      </c>
      <c r="CI47" t="s">
        <v>267</v>
      </c>
      <c r="CJ47" t="s">
        <v>267</v>
      </c>
      <c r="CK47" t="s">
        <v>266</v>
      </c>
      <c r="CL47" t="s">
        <v>266</v>
      </c>
      <c r="CM47" t="s">
        <v>285</v>
      </c>
      <c r="CN47" t="s">
        <v>267</v>
      </c>
      <c r="CO47" t="s">
        <v>266</v>
      </c>
      <c r="CP47" t="s">
        <v>303</v>
      </c>
      <c r="CQ47" t="s">
        <v>303</v>
      </c>
    </row>
    <row r="48" spans="1:95" x14ac:dyDescent="0.25">
      <c r="A48" s="2" t="s">
        <v>54</v>
      </c>
      <c r="B48" s="17">
        <v>5.5250000000000004</v>
      </c>
      <c r="C48" s="17">
        <v>0</v>
      </c>
      <c r="D48" s="17">
        <v>0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4.5250000000000004</v>
      </c>
      <c r="M48" s="17">
        <v>0</v>
      </c>
      <c r="N48" s="17">
        <v>0</v>
      </c>
      <c r="O48" s="17">
        <v>36.75</v>
      </c>
      <c r="P48" s="17">
        <v>7.7</v>
      </c>
      <c r="Q48" s="17">
        <v>0</v>
      </c>
      <c r="R48" s="17">
        <v>3.1750000000000043</v>
      </c>
      <c r="S48" s="17">
        <v>0</v>
      </c>
      <c r="T48" s="17">
        <v>0</v>
      </c>
      <c r="U48" s="17">
        <v>0</v>
      </c>
      <c r="V48" s="17">
        <f t="shared" si="35"/>
        <v>57.675000000000004</v>
      </c>
      <c r="W48" s="18">
        <v>54.125000000000007</v>
      </c>
      <c r="X48" s="17">
        <v>0</v>
      </c>
      <c r="Y48" s="17">
        <v>0</v>
      </c>
      <c r="Z48" s="19">
        <v>15.499999999999998</v>
      </c>
      <c r="AA48" s="17">
        <v>0</v>
      </c>
      <c r="AB48" s="17">
        <v>0</v>
      </c>
      <c r="AC48" s="17">
        <v>0</v>
      </c>
      <c r="AD48" s="17">
        <v>0</v>
      </c>
      <c r="AE48" s="17">
        <v>0</v>
      </c>
      <c r="AF48" s="19">
        <v>28.525000000000002</v>
      </c>
      <c r="AG48" s="17">
        <v>0</v>
      </c>
      <c r="AH48" s="17">
        <f t="shared" si="36"/>
        <v>3.5499999999999972</v>
      </c>
      <c r="AI48" s="20">
        <v>1.35</v>
      </c>
      <c r="AJ48" s="21">
        <v>827.47500000000002</v>
      </c>
      <c r="AK48" s="22">
        <v>656.24230013787155</v>
      </c>
      <c r="AL48" s="22">
        <v>670.72948426143194</v>
      </c>
      <c r="AM48" s="16">
        <v>9.6999999999999993</v>
      </c>
      <c r="AN48" s="23">
        <f t="shared" si="2"/>
        <v>56.96</v>
      </c>
      <c r="AO48" s="23">
        <f t="shared" si="3"/>
        <v>0</v>
      </c>
      <c r="AP48" s="23">
        <f t="shared" si="4"/>
        <v>0</v>
      </c>
      <c r="AQ48" s="23">
        <f t="shared" si="5"/>
        <v>0</v>
      </c>
      <c r="AR48" s="23">
        <f t="shared" si="6"/>
        <v>0</v>
      </c>
      <c r="AS48" s="23">
        <f t="shared" si="7"/>
        <v>0</v>
      </c>
      <c r="AT48" s="23">
        <f t="shared" si="8"/>
        <v>0</v>
      </c>
      <c r="AU48" s="23">
        <f t="shared" si="9"/>
        <v>0</v>
      </c>
      <c r="AV48" s="23">
        <f t="shared" si="10"/>
        <v>0</v>
      </c>
      <c r="AW48" s="23">
        <f t="shared" si="11"/>
        <v>0</v>
      </c>
      <c r="AX48" s="23">
        <f t="shared" si="12"/>
        <v>46.65</v>
      </c>
      <c r="AY48" s="23">
        <f t="shared" si="13"/>
        <v>0</v>
      </c>
      <c r="AZ48" s="23">
        <f t="shared" si="14"/>
        <v>0</v>
      </c>
      <c r="BA48" s="23">
        <f t="shared" si="15"/>
        <v>378.87</v>
      </c>
      <c r="BB48" s="23">
        <f t="shared" si="16"/>
        <v>79.38</v>
      </c>
      <c r="BC48" s="23">
        <f t="shared" si="17"/>
        <v>0</v>
      </c>
      <c r="BD48" s="23">
        <f t="shared" si="18"/>
        <v>32.729999999999997</v>
      </c>
      <c r="BE48" s="23">
        <f t="shared" si="19"/>
        <v>0</v>
      </c>
      <c r="BF48" s="23">
        <f t="shared" si="20"/>
        <v>0</v>
      </c>
      <c r="BG48" s="23">
        <f t="shared" si="21"/>
        <v>0</v>
      </c>
      <c r="BH48" s="23">
        <f t="shared" si="22"/>
        <v>594.59</v>
      </c>
      <c r="BI48" s="23">
        <f t="shared" si="23"/>
        <v>557.99</v>
      </c>
      <c r="BJ48" s="23">
        <f t="shared" si="24"/>
        <v>0</v>
      </c>
      <c r="BK48" s="23">
        <f t="shared" si="25"/>
        <v>0</v>
      </c>
      <c r="BL48" s="23">
        <f t="shared" si="26"/>
        <v>159.79</v>
      </c>
      <c r="BM48" s="23">
        <f t="shared" si="27"/>
        <v>0</v>
      </c>
      <c r="BN48" s="23">
        <f t="shared" si="28"/>
        <v>0</v>
      </c>
      <c r="BO48" s="23">
        <f t="shared" si="29"/>
        <v>0</v>
      </c>
      <c r="BP48" s="23">
        <f t="shared" si="30"/>
        <v>0</v>
      </c>
      <c r="BQ48" s="23">
        <f t="shared" si="31"/>
        <v>0</v>
      </c>
      <c r="BR48" s="23">
        <f t="shared" si="32"/>
        <v>294.07</v>
      </c>
      <c r="BS48" s="23">
        <f t="shared" si="33"/>
        <v>0</v>
      </c>
      <c r="BT48" s="23">
        <f t="shared" si="38"/>
        <v>36.6</v>
      </c>
      <c r="BU48" s="23">
        <f t="shared" si="38"/>
        <v>13.92</v>
      </c>
      <c r="BV48" s="23">
        <f t="shared" si="38"/>
        <v>8530.67</v>
      </c>
      <c r="BW48" s="23">
        <f t="shared" si="38"/>
        <v>6765.38</v>
      </c>
      <c r="BX48" s="23">
        <f t="shared" si="38"/>
        <v>6914.74</v>
      </c>
      <c r="BY48" t="s">
        <v>269</v>
      </c>
      <c r="CB48" s="40">
        <v>4.4999999999999998E-2</v>
      </c>
      <c r="CC48" s="36">
        <v>0.09</v>
      </c>
      <c r="CD48" s="36">
        <v>0</v>
      </c>
      <c r="CE48" t="s">
        <v>266</v>
      </c>
      <c r="CF48" t="s">
        <v>267</v>
      </c>
      <c r="CG48" t="s">
        <v>267</v>
      </c>
      <c r="CH48" t="s">
        <v>267</v>
      </c>
      <c r="CI48" t="s">
        <v>267</v>
      </c>
      <c r="CJ48" t="s">
        <v>267</v>
      </c>
      <c r="CK48" t="s">
        <v>266</v>
      </c>
      <c r="CL48" t="s">
        <v>266</v>
      </c>
      <c r="CM48" t="s">
        <v>285</v>
      </c>
      <c r="CN48" t="s">
        <v>267</v>
      </c>
      <c r="CO48" t="s">
        <v>266</v>
      </c>
      <c r="CP48" t="s">
        <v>303</v>
      </c>
    </row>
    <row r="49" spans="1:95" x14ac:dyDescent="0.25">
      <c r="A49" s="2" t="s">
        <v>55</v>
      </c>
      <c r="B49" s="17">
        <v>5.5749999999999993</v>
      </c>
      <c r="C49" s="17">
        <v>0</v>
      </c>
      <c r="D49" s="17">
        <v>0</v>
      </c>
      <c r="E49" s="17">
        <v>0</v>
      </c>
      <c r="F49" s="17">
        <v>0</v>
      </c>
      <c r="G49" s="17">
        <v>0</v>
      </c>
      <c r="H49" s="17">
        <v>0</v>
      </c>
      <c r="I49" s="17">
        <v>0</v>
      </c>
      <c r="J49" s="17">
        <v>0</v>
      </c>
      <c r="K49" s="17">
        <v>0</v>
      </c>
      <c r="L49" s="17">
        <v>4.5749999999999993</v>
      </c>
      <c r="M49" s="17">
        <v>0</v>
      </c>
      <c r="N49" s="17">
        <v>0</v>
      </c>
      <c r="O49" s="17">
        <v>36.500000000000007</v>
      </c>
      <c r="P49" s="17">
        <v>7.4750000000000005</v>
      </c>
      <c r="Q49" s="17">
        <v>0</v>
      </c>
      <c r="R49" s="17">
        <v>2.3999999999999986</v>
      </c>
      <c r="S49" s="17">
        <v>0</v>
      </c>
      <c r="T49" s="17">
        <v>0</v>
      </c>
      <c r="U49" s="17">
        <v>0</v>
      </c>
      <c r="V49" s="17">
        <f t="shared" si="35"/>
        <v>56.525000000000006</v>
      </c>
      <c r="W49" s="18">
        <v>56.324999999999996</v>
      </c>
      <c r="X49" s="17">
        <v>0</v>
      </c>
      <c r="Y49" s="17">
        <v>0</v>
      </c>
      <c r="Z49" s="19">
        <v>16.799999999999997</v>
      </c>
      <c r="AA49" s="17">
        <v>0</v>
      </c>
      <c r="AB49" s="17">
        <v>0</v>
      </c>
      <c r="AC49" s="17">
        <v>0</v>
      </c>
      <c r="AD49" s="17">
        <v>0</v>
      </c>
      <c r="AE49" s="17">
        <v>0</v>
      </c>
      <c r="AF49" s="19">
        <v>28.325000000000003</v>
      </c>
      <c r="AG49" s="17">
        <v>0</v>
      </c>
      <c r="AH49" s="17">
        <f t="shared" si="36"/>
        <v>0.20000000000000995</v>
      </c>
      <c r="AI49" s="20">
        <v>2.5500000000000007</v>
      </c>
      <c r="AJ49" s="21">
        <v>831.55000000000007</v>
      </c>
      <c r="AK49" s="22">
        <v>670.40835152483464</v>
      </c>
      <c r="AL49" s="22">
        <v>655.27890192807968</v>
      </c>
      <c r="AM49" s="16">
        <v>10.9</v>
      </c>
      <c r="AN49" s="23">
        <f t="shared" si="2"/>
        <v>51.15</v>
      </c>
      <c r="AO49" s="23">
        <f t="shared" si="3"/>
        <v>0</v>
      </c>
      <c r="AP49" s="23">
        <f t="shared" si="4"/>
        <v>0</v>
      </c>
      <c r="AQ49" s="23">
        <f t="shared" si="5"/>
        <v>0</v>
      </c>
      <c r="AR49" s="23">
        <f t="shared" si="6"/>
        <v>0</v>
      </c>
      <c r="AS49" s="23">
        <f t="shared" si="7"/>
        <v>0</v>
      </c>
      <c r="AT49" s="23">
        <f t="shared" si="8"/>
        <v>0</v>
      </c>
      <c r="AU49" s="23">
        <f t="shared" si="9"/>
        <v>0</v>
      </c>
      <c r="AV49" s="23">
        <f t="shared" si="10"/>
        <v>0</v>
      </c>
      <c r="AW49" s="23">
        <f t="shared" si="11"/>
        <v>0</v>
      </c>
      <c r="AX49" s="23">
        <f t="shared" si="12"/>
        <v>41.97</v>
      </c>
      <c r="AY49" s="23">
        <f t="shared" si="13"/>
        <v>0</v>
      </c>
      <c r="AZ49" s="23">
        <f t="shared" si="14"/>
        <v>0</v>
      </c>
      <c r="BA49" s="23">
        <f t="shared" si="15"/>
        <v>334.86</v>
      </c>
      <c r="BB49" s="23">
        <f t="shared" si="16"/>
        <v>68.58</v>
      </c>
      <c r="BC49" s="23">
        <f t="shared" si="17"/>
        <v>0</v>
      </c>
      <c r="BD49" s="23">
        <f t="shared" si="18"/>
        <v>22.02</v>
      </c>
      <c r="BE49" s="23">
        <f t="shared" si="19"/>
        <v>0</v>
      </c>
      <c r="BF49" s="23">
        <f t="shared" si="20"/>
        <v>0</v>
      </c>
      <c r="BG49" s="23">
        <f t="shared" si="21"/>
        <v>0</v>
      </c>
      <c r="BH49" s="23">
        <f t="shared" si="22"/>
        <v>518.58000000000004</v>
      </c>
      <c r="BI49" s="23">
        <f t="shared" si="23"/>
        <v>516.74</v>
      </c>
      <c r="BJ49" s="23">
        <f t="shared" si="24"/>
        <v>0</v>
      </c>
      <c r="BK49" s="23">
        <f t="shared" si="25"/>
        <v>0</v>
      </c>
      <c r="BL49" s="23">
        <f t="shared" si="26"/>
        <v>154.13</v>
      </c>
      <c r="BM49" s="23">
        <f t="shared" si="27"/>
        <v>0</v>
      </c>
      <c r="BN49" s="23">
        <f t="shared" si="28"/>
        <v>0</v>
      </c>
      <c r="BO49" s="23">
        <f t="shared" si="29"/>
        <v>0</v>
      </c>
      <c r="BP49" s="23">
        <f t="shared" si="30"/>
        <v>0</v>
      </c>
      <c r="BQ49" s="23">
        <f t="shared" si="31"/>
        <v>0</v>
      </c>
      <c r="BR49" s="23">
        <f t="shared" si="32"/>
        <v>259.86</v>
      </c>
      <c r="BS49" s="23">
        <f t="shared" si="33"/>
        <v>0</v>
      </c>
      <c r="BT49" s="23">
        <f t="shared" si="38"/>
        <v>1.83</v>
      </c>
      <c r="BU49" s="23">
        <f t="shared" si="38"/>
        <v>23.39</v>
      </c>
      <c r="BV49" s="23">
        <f t="shared" si="38"/>
        <v>7628.9</v>
      </c>
      <c r="BW49" s="23">
        <f t="shared" si="38"/>
        <v>6150.54</v>
      </c>
      <c r="BX49" s="23">
        <f t="shared" si="38"/>
        <v>6011.73</v>
      </c>
      <c r="BY49" t="s">
        <v>270</v>
      </c>
      <c r="CB49" s="40">
        <v>4.4999999999999998E-2</v>
      </c>
      <c r="CC49" s="36">
        <v>0.09</v>
      </c>
      <c r="CD49" s="36">
        <v>0</v>
      </c>
      <c r="CE49" t="s">
        <v>266</v>
      </c>
      <c r="CF49" t="s">
        <v>267</v>
      </c>
      <c r="CG49" t="s">
        <v>267</v>
      </c>
      <c r="CH49" t="s">
        <v>267</v>
      </c>
      <c r="CI49" t="s">
        <v>267</v>
      </c>
      <c r="CJ49" t="s">
        <v>267</v>
      </c>
      <c r="CK49" t="s">
        <v>266</v>
      </c>
      <c r="CL49" t="s">
        <v>266</v>
      </c>
      <c r="CM49" t="s">
        <v>285</v>
      </c>
      <c r="CN49" t="s">
        <v>267</v>
      </c>
      <c r="CO49" t="s">
        <v>266</v>
      </c>
      <c r="CP49" t="s">
        <v>303</v>
      </c>
    </row>
    <row r="50" spans="1:95" x14ac:dyDescent="0.25">
      <c r="A50" s="2" t="s">
        <v>56</v>
      </c>
      <c r="B50" s="17">
        <v>5.5250000000000004</v>
      </c>
      <c r="C50" s="17">
        <v>0</v>
      </c>
      <c r="D50" s="17">
        <v>0</v>
      </c>
      <c r="E50" s="17">
        <v>0</v>
      </c>
      <c r="F50" s="17">
        <v>0</v>
      </c>
      <c r="G50" s="17">
        <v>0</v>
      </c>
      <c r="H50" s="17">
        <v>0</v>
      </c>
      <c r="I50" s="17">
        <v>0</v>
      </c>
      <c r="J50" s="17">
        <v>0</v>
      </c>
      <c r="K50" s="17">
        <v>0</v>
      </c>
      <c r="L50" s="17">
        <v>4.5</v>
      </c>
      <c r="M50" s="17">
        <v>0</v>
      </c>
      <c r="N50" s="17">
        <v>0</v>
      </c>
      <c r="O50" s="17">
        <v>37.749999999999993</v>
      </c>
      <c r="P50" s="17">
        <v>6.85</v>
      </c>
      <c r="Q50" s="17">
        <v>0</v>
      </c>
      <c r="R50" s="17">
        <v>3</v>
      </c>
      <c r="S50" s="17">
        <v>0</v>
      </c>
      <c r="T50" s="17">
        <v>0</v>
      </c>
      <c r="U50" s="17">
        <v>0</v>
      </c>
      <c r="V50" s="17">
        <f t="shared" si="35"/>
        <v>57.624999999999993</v>
      </c>
      <c r="W50" s="18">
        <v>59.075000000000003</v>
      </c>
      <c r="X50" s="17">
        <v>0</v>
      </c>
      <c r="Y50" s="17">
        <v>0</v>
      </c>
      <c r="Z50" s="19">
        <v>17.75</v>
      </c>
      <c r="AA50" s="17">
        <v>0</v>
      </c>
      <c r="AB50" s="17">
        <v>0</v>
      </c>
      <c r="AC50" s="17">
        <v>0</v>
      </c>
      <c r="AD50" s="17">
        <v>0</v>
      </c>
      <c r="AE50" s="17">
        <v>0</v>
      </c>
      <c r="AF50" s="19">
        <v>28.474999999999998</v>
      </c>
      <c r="AG50" s="17">
        <v>0</v>
      </c>
      <c r="AH50" s="17">
        <f t="shared" si="36"/>
        <v>-1.4500000000000099</v>
      </c>
      <c r="AI50" s="20">
        <v>0.50000000000000178</v>
      </c>
      <c r="AJ50" s="21">
        <v>830.77499999999998</v>
      </c>
      <c r="AK50" s="22">
        <v>650.86779604434059</v>
      </c>
      <c r="AL50" s="22">
        <v>657.17503387361728</v>
      </c>
      <c r="AM50" s="16">
        <v>9.5</v>
      </c>
      <c r="AN50" s="23">
        <f t="shared" si="2"/>
        <v>58.16</v>
      </c>
      <c r="AO50" s="23">
        <f t="shared" si="3"/>
        <v>0</v>
      </c>
      <c r="AP50" s="23">
        <f t="shared" si="4"/>
        <v>0</v>
      </c>
      <c r="AQ50" s="23">
        <f t="shared" si="5"/>
        <v>0</v>
      </c>
      <c r="AR50" s="23">
        <f t="shared" si="6"/>
        <v>0</v>
      </c>
      <c r="AS50" s="23">
        <f t="shared" si="7"/>
        <v>0</v>
      </c>
      <c r="AT50" s="23">
        <f t="shared" si="8"/>
        <v>0</v>
      </c>
      <c r="AU50" s="23">
        <f t="shared" si="9"/>
        <v>0</v>
      </c>
      <c r="AV50" s="23">
        <f t="shared" si="10"/>
        <v>0</v>
      </c>
      <c r="AW50" s="23">
        <f t="shared" si="11"/>
        <v>0</v>
      </c>
      <c r="AX50" s="23">
        <f t="shared" si="12"/>
        <v>47.37</v>
      </c>
      <c r="AY50" s="23">
        <f t="shared" si="13"/>
        <v>0</v>
      </c>
      <c r="AZ50" s="23">
        <f t="shared" si="14"/>
        <v>0</v>
      </c>
      <c r="BA50" s="23">
        <f t="shared" si="15"/>
        <v>397.37</v>
      </c>
      <c r="BB50" s="23">
        <f t="shared" si="16"/>
        <v>72.11</v>
      </c>
      <c r="BC50" s="23">
        <f t="shared" si="17"/>
        <v>0</v>
      </c>
      <c r="BD50" s="23">
        <f t="shared" si="18"/>
        <v>31.58</v>
      </c>
      <c r="BE50" s="23">
        <f t="shared" si="19"/>
        <v>0</v>
      </c>
      <c r="BF50" s="23">
        <f t="shared" si="20"/>
        <v>0</v>
      </c>
      <c r="BG50" s="23">
        <f t="shared" si="21"/>
        <v>0</v>
      </c>
      <c r="BH50" s="23">
        <f t="shared" si="22"/>
        <v>606.58000000000004</v>
      </c>
      <c r="BI50" s="23">
        <f t="shared" si="23"/>
        <v>621.84</v>
      </c>
      <c r="BJ50" s="23">
        <f t="shared" si="24"/>
        <v>0</v>
      </c>
      <c r="BK50" s="23">
        <f t="shared" si="25"/>
        <v>0</v>
      </c>
      <c r="BL50" s="23">
        <f t="shared" si="26"/>
        <v>186.84</v>
      </c>
      <c r="BM50" s="23">
        <f t="shared" si="27"/>
        <v>0</v>
      </c>
      <c r="BN50" s="23">
        <f t="shared" si="28"/>
        <v>0</v>
      </c>
      <c r="BO50" s="23">
        <f t="shared" si="29"/>
        <v>0</v>
      </c>
      <c r="BP50" s="23">
        <f t="shared" si="30"/>
        <v>0</v>
      </c>
      <c r="BQ50" s="23">
        <f t="shared" si="31"/>
        <v>0</v>
      </c>
      <c r="BR50" s="23">
        <f t="shared" si="32"/>
        <v>299.74</v>
      </c>
      <c r="BS50" s="23">
        <f t="shared" si="33"/>
        <v>0</v>
      </c>
      <c r="BT50" s="23">
        <f t="shared" ref="BT50:BX65" si="39">_xlfn.SINGLE(ROUND((AH50/$AM50)*100,2))</f>
        <v>-15.26</v>
      </c>
      <c r="BU50" s="23">
        <f t="shared" si="39"/>
        <v>5.26</v>
      </c>
      <c r="BV50" s="23">
        <f t="shared" si="39"/>
        <v>8745</v>
      </c>
      <c r="BW50" s="23">
        <f t="shared" si="39"/>
        <v>6851.24</v>
      </c>
      <c r="BX50" s="23">
        <f t="shared" si="39"/>
        <v>6917.63</v>
      </c>
      <c r="BY50" t="s">
        <v>270</v>
      </c>
      <c r="CB50" s="40">
        <v>4.4999999999999998E-2</v>
      </c>
      <c r="CC50" s="36">
        <v>0.09</v>
      </c>
      <c r="CD50" s="36">
        <v>0</v>
      </c>
      <c r="CE50" t="s">
        <v>266</v>
      </c>
      <c r="CF50" t="s">
        <v>267</v>
      </c>
      <c r="CG50" t="s">
        <v>267</v>
      </c>
      <c r="CH50" t="s">
        <v>267</v>
      </c>
      <c r="CI50" t="s">
        <v>267</v>
      </c>
      <c r="CJ50" t="s">
        <v>267</v>
      </c>
      <c r="CK50" t="s">
        <v>266</v>
      </c>
      <c r="CL50" t="s">
        <v>266</v>
      </c>
      <c r="CM50" t="s">
        <v>285</v>
      </c>
      <c r="CN50" t="s">
        <v>267</v>
      </c>
      <c r="CO50" t="s">
        <v>266</v>
      </c>
      <c r="CP50" t="s">
        <v>303</v>
      </c>
      <c r="CQ50" t="s">
        <v>303</v>
      </c>
    </row>
    <row r="51" spans="1:95" x14ac:dyDescent="0.25">
      <c r="A51" s="2" t="s">
        <v>57</v>
      </c>
      <c r="B51" s="17">
        <v>5.5749999999999993</v>
      </c>
      <c r="C51" s="17">
        <v>0</v>
      </c>
      <c r="D51" s="17">
        <v>0</v>
      </c>
      <c r="E51" s="17">
        <v>0</v>
      </c>
      <c r="F51" s="17">
        <v>0</v>
      </c>
      <c r="G51" s="17">
        <v>0</v>
      </c>
      <c r="H51" s="17">
        <v>0</v>
      </c>
      <c r="I51" s="17">
        <v>0</v>
      </c>
      <c r="J51" s="17">
        <v>0</v>
      </c>
      <c r="K51" s="17">
        <v>0</v>
      </c>
      <c r="L51" s="17">
        <v>4.5250000000000004</v>
      </c>
      <c r="M51" s="17">
        <v>0</v>
      </c>
      <c r="N51" s="17">
        <v>0</v>
      </c>
      <c r="O51" s="17">
        <v>37</v>
      </c>
      <c r="P51" s="17">
        <v>6.9249999999999998</v>
      </c>
      <c r="Q51" s="17">
        <v>0</v>
      </c>
      <c r="R51" s="17">
        <v>3.0750000000000028</v>
      </c>
      <c r="S51" s="17">
        <v>0</v>
      </c>
      <c r="T51" s="17">
        <v>0</v>
      </c>
      <c r="U51" s="17">
        <v>0</v>
      </c>
      <c r="V51" s="17">
        <f t="shared" si="35"/>
        <v>57.1</v>
      </c>
      <c r="W51" s="18">
        <v>58.125</v>
      </c>
      <c r="X51" s="17">
        <v>0</v>
      </c>
      <c r="Y51" s="17">
        <v>0</v>
      </c>
      <c r="Z51" s="19">
        <v>16.524999999999999</v>
      </c>
      <c r="AA51" s="17">
        <v>0</v>
      </c>
      <c r="AB51" s="17">
        <v>0</v>
      </c>
      <c r="AC51" s="17">
        <v>0</v>
      </c>
      <c r="AD51" s="17">
        <v>0</v>
      </c>
      <c r="AE51" s="17">
        <v>0</v>
      </c>
      <c r="AF51" s="19">
        <v>28.65</v>
      </c>
      <c r="AG51" s="17">
        <v>0</v>
      </c>
      <c r="AH51" s="17">
        <f t="shared" si="36"/>
        <v>-1.0249999999999986</v>
      </c>
      <c r="AI51" s="20">
        <v>1.8</v>
      </c>
      <c r="AJ51" s="21">
        <v>827.59999999999991</v>
      </c>
      <c r="AK51" s="22">
        <v>647.87920570246536</v>
      </c>
      <c r="AL51" s="22">
        <v>622.98031153088493</v>
      </c>
      <c r="AM51" s="16">
        <v>8.9</v>
      </c>
      <c r="AN51" s="23">
        <f t="shared" si="2"/>
        <v>62.64</v>
      </c>
      <c r="AO51" s="23">
        <f t="shared" si="3"/>
        <v>0</v>
      </c>
      <c r="AP51" s="23">
        <f t="shared" si="4"/>
        <v>0</v>
      </c>
      <c r="AQ51" s="23">
        <f t="shared" si="5"/>
        <v>0</v>
      </c>
      <c r="AR51" s="23">
        <f t="shared" si="6"/>
        <v>0</v>
      </c>
      <c r="AS51" s="23">
        <f t="shared" si="7"/>
        <v>0</v>
      </c>
      <c r="AT51" s="23">
        <f t="shared" si="8"/>
        <v>0</v>
      </c>
      <c r="AU51" s="23">
        <f t="shared" si="9"/>
        <v>0</v>
      </c>
      <c r="AV51" s="23">
        <f t="shared" si="10"/>
        <v>0</v>
      </c>
      <c r="AW51" s="23">
        <f t="shared" si="11"/>
        <v>0</v>
      </c>
      <c r="AX51" s="23">
        <f t="shared" si="12"/>
        <v>50.84</v>
      </c>
      <c r="AY51" s="23">
        <f t="shared" si="13"/>
        <v>0</v>
      </c>
      <c r="AZ51" s="23">
        <f t="shared" si="14"/>
        <v>0</v>
      </c>
      <c r="BA51" s="23">
        <f t="shared" si="15"/>
        <v>415.73</v>
      </c>
      <c r="BB51" s="23">
        <f t="shared" si="16"/>
        <v>77.81</v>
      </c>
      <c r="BC51" s="23">
        <f t="shared" si="17"/>
        <v>0</v>
      </c>
      <c r="BD51" s="23">
        <f t="shared" si="18"/>
        <v>34.549999999999997</v>
      </c>
      <c r="BE51" s="23">
        <f t="shared" si="19"/>
        <v>0</v>
      </c>
      <c r="BF51" s="23">
        <f t="shared" si="20"/>
        <v>0</v>
      </c>
      <c r="BG51" s="23">
        <f t="shared" si="21"/>
        <v>0</v>
      </c>
      <c r="BH51" s="23">
        <f t="shared" si="22"/>
        <v>641.57000000000005</v>
      </c>
      <c r="BI51" s="23">
        <f t="shared" si="23"/>
        <v>653.09</v>
      </c>
      <c r="BJ51" s="23">
        <f t="shared" si="24"/>
        <v>0</v>
      </c>
      <c r="BK51" s="23">
        <f t="shared" si="25"/>
        <v>0</v>
      </c>
      <c r="BL51" s="23">
        <f t="shared" si="26"/>
        <v>185.67</v>
      </c>
      <c r="BM51" s="23">
        <f t="shared" si="27"/>
        <v>0</v>
      </c>
      <c r="BN51" s="23">
        <f t="shared" si="28"/>
        <v>0</v>
      </c>
      <c r="BO51" s="23">
        <f t="shared" si="29"/>
        <v>0</v>
      </c>
      <c r="BP51" s="23">
        <f t="shared" si="30"/>
        <v>0</v>
      </c>
      <c r="BQ51" s="23">
        <f t="shared" si="31"/>
        <v>0</v>
      </c>
      <c r="BR51" s="23">
        <f t="shared" si="32"/>
        <v>321.91000000000003</v>
      </c>
      <c r="BS51" s="23">
        <f t="shared" si="33"/>
        <v>0</v>
      </c>
      <c r="BT51" s="23">
        <f t="shared" si="39"/>
        <v>-11.52</v>
      </c>
      <c r="BU51" s="23">
        <f t="shared" si="39"/>
        <v>20.22</v>
      </c>
      <c r="BV51" s="23">
        <f t="shared" si="39"/>
        <v>9298.8799999999992</v>
      </c>
      <c r="BW51" s="23">
        <f t="shared" si="39"/>
        <v>7279.54</v>
      </c>
      <c r="BX51" s="23">
        <f t="shared" si="39"/>
        <v>6999.78</v>
      </c>
      <c r="BY51" t="s">
        <v>270</v>
      </c>
      <c r="CB51" s="40">
        <v>4.4999999999999998E-2</v>
      </c>
      <c r="CC51" s="36">
        <v>0.09</v>
      </c>
      <c r="CD51" s="36">
        <v>0</v>
      </c>
      <c r="CE51" t="s">
        <v>266</v>
      </c>
      <c r="CF51" t="s">
        <v>267</v>
      </c>
      <c r="CG51" t="s">
        <v>267</v>
      </c>
      <c r="CH51" t="s">
        <v>267</v>
      </c>
      <c r="CI51" t="s">
        <v>267</v>
      </c>
      <c r="CJ51" t="s">
        <v>267</v>
      </c>
      <c r="CK51" t="s">
        <v>266</v>
      </c>
      <c r="CL51" t="s">
        <v>266</v>
      </c>
      <c r="CM51" t="s">
        <v>285</v>
      </c>
      <c r="CN51" t="s">
        <v>267</v>
      </c>
      <c r="CO51" t="s">
        <v>266</v>
      </c>
      <c r="CP51" t="s">
        <v>303</v>
      </c>
    </row>
    <row r="52" spans="1:95" x14ac:dyDescent="0.25">
      <c r="A52" s="2" t="s">
        <v>58</v>
      </c>
      <c r="B52" s="17">
        <v>5.4749999999999996</v>
      </c>
      <c r="C52" s="17">
        <v>0</v>
      </c>
      <c r="D52" s="17">
        <v>0</v>
      </c>
      <c r="E52" s="17">
        <v>0</v>
      </c>
      <c r="F52" s="17">
        <v>0</v>
      </c>
      <c r="G52" s="17">
        <v>0</v>
      </c>
      <c r="H52" s="17">
        <v>0</v>
      </c>
      <c r="I52" s="17">
        <v>0</v>
      </c>
      <c r="J52" s="17">
        <v>0</v>
      </c>
      <c r="K52" s="17">
        <v>0</v>
      </c>
      <c r="L52" s="17">
        <v>4.3999999999999995</v>
      </c>
      <c r="M52" s="17">
        <v>0</v>
      </c>
      <c r="N52" s="17">
        <v>0</v>
      </c>
      <c r="O52" s="17">
        <v>37.000000000000007</v>
      </c>
      <c r="P52" s="17">
        <v>6.65</v>
      </c>
      <c r="Q52" s="17">
        <v>0</v>
      </c>
      <c r="R52" s="17">
        <v>3.375</v>
      </c>
      <c r="S52" s="17">
        <v>0</v>
      </c>
      <c r="T52" s="17">
        <v>0</v>
      </c>
      <c r="U52" s="17">
        <v>0</v>
      </c>
      <c r="V52" s="17">
        <f t="shared" si="35"/>
        <v>56.900000000000006</v>
      </c>
      <c r="W52" s="18">
        <v>55.3</v>
      </c>
      <c r="X52" s="17">
        <v>0</v>
      </c>
      <c r="Y52" s="17">
        <v>0</v>
      </c>
      <c r="Z52" s="19">
        <v>15</v>
      </c>
      <c r="AA52" s="17">
        <v>0</v>
      </c>
      <c r="AB52" s="17">
        <v>0</v>
      </c>
      <c r="AC52" s="17">
        <v>0</v>
      </c>
      <c r="AD52" s="17">
        <v>0</v>
      </c>
      <c r="AE52" s="17">
        <v>0</v>
      </c>
      <c r="AF52" s="19">
        <v>28.45</v>
      </c>
      <c r="AG52" s="17">
        <v>0</v>
      </c>
      <c r="AH52" s="17">
        <f t="shared" si="36"/>
        <v>1.6000000000000085</v>
      </c>
      <c r="AI52" s="20">
        <v>2.375</v>
      </c>
      <c r="AJ52" s="21">
        <v>822.27500000000009</v>
      </c>
      <c r="AK52" s="22">
        <v>614.85624568195192</v>
      </c>
      <c r="AL52" s="22">
        <v>623.50700815566631</v>
      </c>
      <c r="AM52" s="16">
        <v>8.4</v>
      </c>
      <c r="AN52" s="23">
        <f t="shared" si="2"/>
        <v>65.180000000000007</v>
      </c>
      <c r="AO52" s="23">
        <f t="shared" si="3"/>
        <v>0</v>
      </c>
      <c r="AP52" s="23">
        <f t="shared" si="4"/>
        <v>0</v>
      </c>
      <c r="AQ52" s="23">
        <f t="shared" si="5"/>
        <v>0</v>
      </c>
      <c r="AR52" s="23">
        <f t="shared" si="6"/>
        <v>0</v>
      </c>
      <c r="AS52" s="23">
        <f t="shared" si="7"/>
        <v>0</v>
      </c>
      <c r="AT52" s="23">
        <f t="shared" si="8"/>
        <v>0</v>
      </c>
      <c r="AU52" s="23">
        <f t="shared" si="9"/>
        <v>0</v>
      </c>
      <c r="AV52" s="23">
        <f t="shared" si="10"/>
        <v>0</v>
      </c>
      <c r="AW52" s="23">
        <f t="shared" si="11"/>
        <v>0</v>
      </c>
      <c r="AX52" s="23">
        <f t="shared" si="12"/>
        <v>52.38</v>
      </c>
      <c r="AY52" s="23">
        <f t="shared" si="13"/>
        <v>0</v>
      </c>
      <c r="AZ52" s="23">
        <f t="shared" si="14"/>
        <v>0</v>
      </c>
      <c r="BA52" s="23">
        <f t="shared" si="15"/>
        <v>440.48</v>
      </c>
      <c r="BB52" s="23">
        <f t="shared" si="16"/>
        <v>79.17</v>
      </c>
      <c r="BC52" s="23">
        <f t="shared" si="17"/>
        <v>0</v>
      </c>
      <c r="BD52" s="23">
        <f t="shared" si="18"/>
        <v>40.18</v>
      </c>
      <c r="BE52" s="23">
        <f t="shared" si="19"/>
        <v>0</v>
      </c>
      <c r="BF52" s="23">
        <f t="shared" si="20"/>
        <v>0</v>
      </c>
      <c r="BG52" s="23">
        <f t="shared" si="21"/>
        <v>0</v>
      </c>
      <c r="BH52" s="23">
        <f t="shared" si="22"/>
        <v>677.38</v>
      </c>
      <c r="BI52" s="23">
        <f t="shared" si="23"/>
        <v>658.33</v>
      </c>
      <c r="BJ52" s="23">
        <f t="shared" si="24"/>
        <v>0</v>
      </c>
      <c r="BK52" s="23">
        <f t="shared" si="25"/>
        <v>0</v>
      </c>
      <c r="BL52" s="23">
        <f t="shared" si="26"/>
        <v>178.57</v>
      </c>
      <c r="BM52" s="23">
        <f t="shared" si="27"/>
        <v>0</v>
      </c>
      <c r="BN52" s="23">
        <f t="shared" si="28"/>
        <v>0</v>
      </c>
      <c r="BO52" s="23">
        <f t="shared" si="29"/>
        <v>0</v>
      </c>
      <c r="BP52" s="23">
        <f t="shared" si="30"/>
        <v>0</v>
      </c>
      <c r="BQ52" s="23">
        <f t="shared" si="31"/>
        <v>0</v>
      </c>
      <c r="BR52" s="23">
        <f t="shared" si="32"/>
        <v>338.69</v>
      </c>
      <c r="BS52" s="23">
        <f t="shared" si="33"/>
        <v>0</v>
      </c>
      <c r="BT52" s="23">
        <f t="shared" si="39"/>
        <v>19.05</v>
      </c>
      <c r="BU52" s="23">
        <f t="shared" si="39"/>
        <v>28.27</v>
      </c>
      <c r="BV52" s="23">
        <f t="shared" si="39"/>
        <v>9788.99</v>
      </c>
      <c r="BW52" s="23">
        <f t="shared" si="39"/>
        <v>7319.72</v>
      </c>
      <c r="BX52" s="23">
        <f t="shared" si="39"/>
        <v>7422.7</v>
      </c>
      <c r="BY52" t="s">
        <v>270</v>
      </c>
      <c r="CB52" s="40">
        <v>4.4999999999999998E-2</v>
      </c>
      <c r="CC52" s="36">
        <v>0.09</v>
      </c>
      <c r="CD52" s="36">
        <v>0</v>
      </c>
      <c r="CE52" t="s">
        <v>266</v>
      </c>
      <c r="CF52" t="s">
        <v>267</v>
      </c>
      <c r="CG52" t="s">
        <v>267</v>
      </c>
      <c r="CH52" t="s">
        <v>267</v>
      </c>
      <c r="CI52" t="s">
        <v>267</v>
      </c>
      <c r="CJ52" t="s">
        <v>267</v>
      </c>
      <c r="CK52" t="s">
        <v>266</v>
      </c>
      <c r="CL52" t="s">
        <v>266</v>
      </c>
      <c r="CM52" t="s">
        <v>285</v>
      </c>
      <c r="CN52" t="s">
        <v>267</v>
      </c>
      <c r="CO52" t="s">
        <v>266</v>
      </c>
      <c r="CP52" t="s">
        <v>303</v>
      </c>
    </row>
    <row r="53" spans="1:95" x14ac:dyDescent="0.25">
      <c r="A53" s="2" t="s">
        <v>59</v>
      </c>
      <c r="B53" s="17">
        <v>5.4750000000000005</v>
      </c>
      <c r="C53" s="17">
        <v>0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3.7499999999999996</v>
      </c>
      <c r="M53" s="17">
        <v>0</v>
      </c>
      <c r="N53" s="17">
        <v>0</v>
      </c>
      <c r="O53" s="17">
        <v>37.25</v>
      </c>
      <c r="P53" s="17">
        <v>6.6</v>
      </c>
      <c r="Q53" s="17">
        <v>0</v>
      </c>
      <c r="R53" s="17">
        <v>3.4749999999999943</v>
      </c>
      <c r="S53" s="17">
        <v>0</v>
      </c>
      <c r="T53" s="17">
        <v>0</v>
      </c>
      <c r="U53" s="17">
        <v>0</v>
      </c>
      <c r="V53" s="17">
        <f t="shared" si="35"/>
        <v>56.55</v>
      </c>
      <c r="W53" s="18">
        <v>54.525000000000006</v>
      </c>
      <c r="X53" s="17">
        <v>0</v>
      </c>
      <c r="Y53" s="17">
        <v>0</v>
      </c>
      <c r="Z53" s="19">
        <v>14.45</v>
      </c>
      <c r="AA53" s="17">
        <v>0</v>
      </c>
      <c r="AB53" s="17">
        <v>0</v>
      </c>
      <c r="AC53" s="17">
        <v>0</v>
      </c>
      <c r="AD53" s="17">
        <v>0</v>
      </c>
      <c r="AE53" s="17">
        <v>0</v>
      </c>
      <c r="AF53" s="19">
        <v>28.275000000000002</v>
      </c>
      <c r="AG53" s="17">
        <v>0</v>
      </c>
      <c r="AH53" s="17">
        <f t="shared" si="36"/>
        <v>2.0249999999999915</v>
      </c>
      <c r="AI53" s="20">
        <v>2.2250000000000001</v>
      </c>
      <c r="AJ53" s="21">
        <v>816.875</v>
      </c>
      <c r="AK53" s="22">
        <v>633.43354817668603</v>
      </c>
      <c r="AL53" s="22">
        <v>644.63586574501107</v>
      </c>
      <c r="AM53" s="16">
        <v>8.1</v>
      </c>
      <c r="AN53" s="23">
        <f t="shared" si="2"/>
        <v>67.59</v>
      </c>
      <c r="AO53" s="23">
        <f t="shared" si="3"/>
        <v>0</v>
      </c>
      <c r="AP53" s="23">
        <f t="shared" si="4"/>
        <v>0</v>
      </c>
      <c r="AQ53" s="23">
        <f t="shared" si="5"/>
        <v>0</v>
      </c>
      <c r="AR53" s="23">
        <f t="shared" si="6"/>
        <v>0</v>
      </c>
      <c r="AS53" s="23">
        <f t="shared" si="7"/>
        <v>0</v>
      </c>
      <c r="AT53" s="23">
        <f t="shared" si="8"/>
        <v>0</v>
      </c>
      <c r="AU53" s="23">
        <f t="shared" si="9"/>
        <v>0</v>
      </c>
      <c r="AV53" s="23">
        <f t="shared" si="10"/>
        <v>0</v>
      </c>
      <c r="AW53" s="23">
        <f t="shared" si="11"/>
        <v>0</v>
      </c>
      <c r="AX53" s="23">
        <f t="shared" si="12"/>
        <v>46.3</v>
      </c>
      <c r="AY53" s="23">
        <f t="shared" si="13"/>
        <v>0</v>
      </c>
      <c r="AZ53" s="23">
        <f t="shared" si="14"/>
        <v>0</v>
      </c>
      <c r="BA53" s="23">
        <f t="shared" si="15"/>
        <v>459.88</v>
      </c>
      <c r="BB53" s="23">
        <f t="shared" si="16"/>
        <v>81.48</v>
      </c>
      <c r="BC53" s="23">
        <f t="shared" si="17"/>
        <v>0</v>
      </c>
      <c r="BD53" s="23">
        <f t="shared" si="18"/>
        <v>42.9</v>
      </c>
      <c r="BE53" s="23">
        <f t="shared" si="19"/>
        <v>0</v>
      </c>
      <c r="BF53" s="23">
        <f t="shared" si="20"/>
        <v>0</v>
      </c>
      <c r="BG53" s="23">
        <f t="shared" si="21"/>
        <v>0</v>
      </c>
      <c r="BH53" s="23">
        <f t="shared" si="22"/>
        <v>698.15</v>
      </c>
      <c r="BI53" s="23">
        <f t="shared" si="23"/>
        <v>673.15</v>
      </c>
      <c r="BJ53" s="23">
        <f t="shared" si="24"/>
        <v>0</v>
      </c>
      <c r="BK53" s="23">
        <f t="shared" si="25"/>
        <v>0</v>
      </c>
      <c r="BL53" s="23">
        <f t="shared" si="26"/>
        <v>178.4</v>
      </c>
      <c r="BM53" s="23">
        <f t="shared" si="27"/>
        <v>0</v>
      </c>
      <c r="BN53" s="23">
        <f t="shared" si="28"/>
        <v>0</v>
      </c>
      <c r="BO53" s="23">
        <f t="shared" si="29"/>
        <v>0</v>
      </c>
      <c r="BP53" s="23">
        <f t="shared" si="30"/>
        <v>0</v>
      </c>
      <c r="BQ53" s="23">
        <f t="shared" si="31"/>
        <v>0</v>
      </c>
      <c r="BR53" s="23">
        <f t="shared" si="32"/>
        <v>349.07</v>
      </c>
      <c r="BS53" s="23">
        <f t="shared" si="33"/>
        <v>0</v>
      </c>
      <c r="BT53" s="23">
        <f t="shared" si="39"/>
        <v>25</v>
      </c>
      <c r="BU53" s="23">
        <f t="shared" si="39"/>
        <v>27.47</v>
      </c>
      <c r="BV53" s="23">
        <f t="shared" si="39"/>
        <v>10084.879999999999</v>
      </c>
      <c r="BW53" s="23">
        <f t="shared" si="39"/>
        <v>7820.17</v>
      </c>
      <c r="BX53" s="23">
        <f t="shared" si="39"/>
        <v>7958.47</v>
      </c>
      <c r="BY53" t="s">
        <v>270</v>
      </c>
      <c r="CB53" s="40">
        <v>4.4999999999999998E-2</v>
      </c>
      <c r="CC53" s="36">
        <v>0.09</v>
      </c>
      <c r="CD53" s="36">
        <v>0</v>
      </c>
      <c r="CE53" t="s">
        <v>266</v>
      </c>
      <c r="CF53" t="s">
        <v>267</v>
      </c>
      <c r="CG53" t="s">
        <v>267</v>
      </c>
      <c r="CH53" t="s">
        <v>267</v>
      </c>
      <c r="CI53" t="s">
        <v>267</v>
      </c>
      <c r="CJ53" t="s">
        <v>267</v>
      </c>
      <c r="CK53" t="s">
        <v>266</v>
      </c>
      <c r="CL53" t="s">
        <v>266</v>
      </c>
      <c r="CM53" t="s">
        <v>285</v>
      </c>
      <c r="CN53" t="s">
        <v>267</v>
      </c>
      <c r="CO53" t="s">
        <v>266</v>
      </c>
      <c r="CP53" t="s">
        <v>303</v>
      </c>
    </row>
    <row r="54" spans="1:95" x14ac:dyDescent="0.25">
      <c r="A54" s="2" t="s">
        <v>60</v>
      </c>
      <c r="B54" s="17">
        <v>5.7</v>
      </c>
      <c r="C54" s="17">
        <v>0</v>
      </c>
      <c r="D54" s="17">
        <v>0</v>
      </c>
      <c r="E54" s="17">
        <v>0</v>
      </c>
      <c r="F54" s="17">
        <v>0</v>
      </c>
      <c r="G54" s="17">
        <v>0</v>
      </c>
      <c r="H54" s="17">
        <v>0</v>
      </c>
      <c r="I54" s="17">
        <v>0</v>
      </c>
      <c r="J54" s="17">
        <v>0</v>
      </c>
      <c r="K54" s="17">
        <v>0</v>
      </c>
      <c r="L54" s="17">
        <v>3.5250000000000004</v>
      </c>
      <c r="M54" s="17">
        <v>0</v>
      </c>
      <c r="N54" s="17">
        <v>0</v>
      </c>
      <c r="O54" s="17">
        <v>38.249999999999993</v>
      </c>
      <c r="P54" s="17">
        <v>6.9500000000000011</v>
      </c>
      <c r="Q54" s="17">
        <v>0</v>
      </c>
      <c r="R54" s="17">
        <v>3.1749999999999972</v>
      </c>
      <c r="S54" s="17">
        <v>0</v>
      </c>
      <c r="T54" s="17">
        <v>0</v>
      </c>
      <c r="U54" s="17">
        <v>0</v>
      </c>
      <c r="V54" s="17">
        <f t="shared" si="35"/>
        <v>57.599999999999994</v>
      </c>
      <c r="W54" s="18">
        <v>54.325000000000003</v>
      </c>
      <c r="X54" s="17">
        <v>0</v>
      </c>
      <c r="Y54" s="17">
        <v>0</v>
      </c>
      <c r="Z54" s="19">
        <v>14.099999999999998</v>
      </c>
      <c r="AA54" s="17">
        <v>0</v>
      </c>
      <c r="AB54" s="17">
        <v>0</v>
      </c>
      <c r="AC54" s="17">
        <v>0</v>
      </c>
      <c r="AD54" s="17">
        <v>0</v>
      </c>
      <c r="AE54" s="17">
        <v>0</v>
      </c>
      <c r="AF54" s="19">
        <v>28.174999999999997</v>
      </c>
      <c r="AG54" s="17">
        <v>0</v>
      </c>
      <c r="AH54" s="17">
        <f t="shared" si="36"/>
        <v>3.2749999999999915</v>
      </c>
      <c r="AI54" s="20">
        <v>2.1749999999999998</v>
      </c>
      <c r="AJ54" s="21">
        <v>811.02499999999998</v>
      </c>
      <c r="AK54" s="22">
        <v>669.42977278378464</v>
      </c>
      <c r="AL54" s="22">
        <v>707.81526929300674</v>
      </c>
      <c r="AM54" s="16">
        <v>8.1</v>
      </c>
      <c r="AN54" s="23">
        <f t="shared" si="2"/>
        <v>70.37</v>
      </c>
      <c r="AO54" s="23">
        <f t="shared" si="3"/>
        <v>0</v>
      </c>
      <c r="AP54" s="23">
        <f t="shared" si="4"/>
        <v>0</v>
      </c>
      <c r="AQ54" s="23">
        <f t="shared" si="5"/>
        <v>0</v>
      </c>
      <c r="AR54" s="23">
        <f t="shared" si="6"/>
        <v>0</v>
      </c>
      <c r="AS54" s="23">
        <f t="shared" si="7"/>
        <v>0</v>
      </c>
      <c r="AT54" s="23">
        <f t="shared" si="8"/>
        <v>0</v>
      </c>
      <c r="AU54" s="23">
        <f t="shared" si="9"/>
        <v>0</v>
      </c>
      <c r="AV54" s="23">
        <f t="shared" si="10"/>
        <v>0</v>
      </c>
      <c r="AW54" s="23">
        <f t="shared" si="11"/>
        <v>0</v>
      </c>
      <c r="AX54" s="23">
        <f t="shared" si="12"/>
        <v>43.52</v>
      </c>
      <c r="AY54" s="23">
        <f t="shared" si="13"/>
        <v>0</v>
      </c>
      <c r="AZ54" s="23">
        <f t="shared" si="14"/>
        <v>0</v>
      </c>
      <c r="BA54" s="23">
        <f t="shared" si="15"/>
        <v>472.22</v>
      </c>
      <c r="BB54" s="23">
        <f t="shared" si="16"/>
        <v>85.8</v>
      </c>
      <c r="BC54" s="23">
        <f t="shared" si="17"/>
        <v>0</v>
      </c>
      <c r="BD54" s="23">
        <f t="shared" si="18"/>
        <v>39.200000000000003</v>
      </c>
      <c r="BE54" s="23">
        <f t="shared" si="19"/>
        <v>0</v>
      </c>
      <c r="BF54" s="23">
        <f t="shared" si="20"/>
        <v>0</v>
      </c>
      <c r="BG54" s="23">
        <f t="shared" si="21"/>
        <v>0</v>
      </c>
      <c r="BH54" s="23">
        <f t="shared" si="22"/>
        <v>711.11</v>
      </c>
      <c r="BI54" s="23">
        <f t="shared" si="23"/>
        <v>670.68</v>
      </c>
      <c r="BJ54" s="23">
        <f t="shared" si="24"/>
        <v>0</v>
      </c>
      <c r="BK54" s="23">
        <f t="shared" si="25"/>
        <v>0</v>
      </c>
      <c r="BL54" s="23">
        <f t="shared" si="26"/>
        <v>174.07</v>
      </c>
      <c r="BM54" s="23">
        <f t="shared" si="27"/>
        <v>0</v>
      </c>
      <c r="BN54" s="23">
        <f t="shared" si="28"/>
        <v>0</v>
      </c>
      <c r="BO54" s="23">
        <f t="shared" si="29"/>
        <v>0</v>
      </c>
      <c r="BP54" s="23">
        <f t="shared" si="30"/>
        <v>0</v>
      </c>
      <c r="BQ54" s="23">
        <f t="shared" si="31"/>
        <v>0</v>
      </c>
      <c r="BR54" s="23">
        <f t="shared" si="32"/>
        <v>347.84</v>
      </c>
      <c r="BS54" s="23">
        <f t="shared" si="33"/>
        <v>0</v>
      </c>
      <c r="BT54" s="23">
        <f t="shared" si="39"/>
        <v>40.43</v>
      </c>
      <c r="BU54" s="23">
        <f t="shared" si="39"/>
        <v>26.85</v>
      </c>
      <c r="BV54" s="23">
        <f t="shared" si="39"/>
        <v>10012.65</v>
      </c>
      <c r="BW54" s="23">
        <f t="shared" si="39"/>
        <v>8264.57</v>
      </c>
      <c r="BX54" s="23">
        <f t="shared" si="39"/>
        <v>8738.4599999999991</v>
      </c>
      <c r="BY54" t="s">
        <v>269</v>
      </c>
      <c r="CB54" s="40">
        <v>4.4999999999999998E-2</v>
      </c>
      <c r="CC54" s="36">
        <v>0.09</v>
      </c>
      <c r="CD54" s="36">
        <v>0</v>
      </c>
      <c r="CE54" t="s">
        <v>266</v>
      </c>
      <c r="CF54" t="s">
        <v>267</v>
      </c>
      <c r="CG54" t="s">
        <v>267</v>
      </c>
      <c r="CH54" t="s">
        <v>267</v>
      </c>
      <c r="CI54" t="s">
        <v>267</v>
      </c>
      <c r="CJ54" t="s">
        <v>267</v>
      </c>
      <c r="CK54" t="s">
        <v>266</v>
      </c>
      <c r="CL54" t="s">
        <v>266</v>
      </c>
      <c r="CM54" t="s">
        <v>285</v>
      </c>
      <c r="CN54" t="s">
        <v>267</v>
      </c>
      <c r="CO54" t="s">
        <v>266</v>
      </c>
      <c r="CP54" t="s">
        <v>303</v>
      </c>
    </row>
    <row r="55" spans="1:95" x14ac:dyDescent="0.25">
      <c r="A55" s="2" t="s">
        <v>61</v>
      </c>
      <c r="B55" s="17">
        <v>6.9750000000000005</v>
      </c>
      <c r="C55" s="17">
        <v>0</v>
      </c>
      <c r="D55" s="17">
        <v>0</v>
      </c>
      <c r="E55" s="17">
        <v>0</v>
      </c>
      <c r="F55" s="17">
        <v>0</v>
      </c>
      <c r="G55" s="17">
        <v>0</v>
      </c>
      <c r="H55" s="17">
        <v>0</v>
      </c>
      <c r="I55" s="17">
        <v>0</v>
      </c>
      <c r="J55" s="17">
        <v>0</v>
      </c>
      <c r="K55" s="17">
        <v>0</v>
      </c>
      <c r="L55" s="17">
        <v>2.6749999999999998</v>
      </c>
      <c r="M55" s="17">
        <v>0</v>
      </c>
      <c r="N55" s="17">
        <v>0</v>
      </c>
      <c r="O55" s="17">
        <v>37.25</v>
      </c>
      <c r="P55" s="17">
        <v>7.1249999999999991</v>
      </c>
      <c r="Q55" s="17">
        <v>0</v>
      </c>
      <c r="R55" s="17">
        <v>3.3500000000000014</v>
      </c>
      <c r="S55" s="17">
        <v>0</v>
      </c>
      <c r="T55" s="17">
        <v>0</v>
      </c>
      <c r="U55" s="17">
        <v>0</v>
      </c>
      <c r="V55" s="17">
        <f t="shared" si="35"/>
        <v>57.375</v>
      </c>
      <c r="W55" s="18">
        <v>55.424999999999997</v>
      </c>
      <c r="X55" s="17">
        <v>0</v>
      </c>
      <c r="Y55" s="17">
        <v>0</v>
      </c>
      <c r="Z55" s="19">
        <v>15.775</v>
      </c>
      <c r="AA55" s="17">
        <v>0</v>
      </c>
      <c r="AB55" s="17">
        <v>0</v>
      </c>
      <c r="AC55" s="17">
        <v>0</v>
      </c>
      <c r="AD55" s="17">
        <v>0</v>
      </c>
      <c r="AE55" s="17">
        <v>0</v>
      </c>
      <c r="AF55" s="19">
        <v>28.1</v>
      </c>
      <c r="AG55" s="17">
        <v>0</v>
      </c>
      <c r="AH55" s="17">
        <f t="shared" si="36"/>
        <v>1.9500000000000028</v>
      </c>
      <c r="AI55" s="20">
        <v>0.64375000000000304</v>
      </c>
      <c r="AJ55" s="21">
        <v>804.22</v>
      </c>
      <c r="AK55" s="22">
        <v>740.85581408475207</v>
      </c>
      <c r="AL55" s="22">
        <v>768.55140715902064</v>
      </c>
      <c r="AM55" s="16">
        <v>8.9</v>
      </c>
      <c r="AN55" s="23">
        <f t="shared" si="2"/>
        <v>78.37</v>
      </c>
      <c r="AO55" s="23">
        <f t="shared" si="3"/>
        <v>0</v>
      </c>
      <c r="AP55" s="23">
        <f t="shared" si="4"/>
        <v>0</v>
      </c>
      <c r="AQ55" s="23">
        <f t="shared" si="5"/>
        <v>0</v>
      </c>
      <c r="AR55" s="23">
        <f t="shared" si="6"/>
        <v>0</v>
      </c>
      <c r="AS55" s="23">
        <f t="shared" si="7"/>
        <v>0</v>
      </c>
      <c r="AT55" s="23">
        <f t="shared" si="8"/>
        <v>0</v>
      </c>
      <c r="AU55" s="23">
        <f t="shared" si="9"/>
        <v>0</v>
      </c>
      <c r="AV55" s="23">
        <f t="shared" si="10"/>
        <v>0</v>
      </c>
      <c r="AW55" s="23">
        <f t="shared" si="11"/>
        <v>0</v>
      </c>
      <c r="AX55" s="23">
        <f t="shared" si="12"/>
        <v>30.06</v>
      </c>
      <c r="AY55" s="23">
        <f t="shared" si="13"/>
        <v>0</v>
      </c>
      <c r="AZ55" s="23">
        <f t="shared" si="14"/>
        <v>0</v>
      </c>
      <c r="BA55" s="23">
        <f t="shared" si="15"/>
        <v>418.54</v>
      </c>
      <c r="BB55" s="23">
        <f t="shared" si="16"/>
        <v>80.06</v>
      </c>
      <c r="BC55" s="23">
        <f t="shared" si="17"/>
        <v>0</v>
      </c>
      <c r="BD55" s="23">
        <f t="shared" si="18"/>
        <v>37.64</v>
      </c>
      <c r="BE55" s="23">
        <f t="shared" si="19"/>
        <v>0</v>
      </c>
      <c r="BF55" s="23">
        <f t="shared" si="20"/>
        <v>0</v>
      </c>
      <c r="BG55" s="23">
        <f t="shared" si="21"/>
        <v>0</v>
      </c>
      <c r="BH55" s="23">
        <f t="shared" si="22"/>
        <v>644.66</v>
      </c>
      <c r="BI55" s="23">
        <f t="shared" si="23"/>
        <v>622.75</v>
      </c>
      <c r="BJ55" s="23">
        <f t="shared" si="24"/>
        <v>0</v>
      </c>
      <c r="BK55" s="23">
        <f t="shared" si="25"/>
        <v>0</v>
      </c>
      <c r="BL55" s="23">
        <f t="shared" si="26"/>
        <v>177.25</v>
      </c>
      <c r="BM55" s="23">
        <f t="shared" si="27"/>
        <v>0</v>
      </c>
      <c r="BN55" s="23">
        <f t="shared" si="28"/>
        <v>0</v>
      </c>
      <c r="BO55" s="23">
        <f t="shared" si="29"/>
        <v>0</v>
      </c>
      <c r="BP55" s="23">
        <f t="shared" si="30"/>
        <v>0</v>
      </c>
      <c r="BQ55" s="23">
        <f t="shared" si="31"/>
        <v>0</v>
      </c>
      <c r="BR55" s="23">
        <f t="shared" si="32"/>
        <v>315.73</v>
      </c>
      <c r="BS55" s="23">
        <f t="shared" si="33"/>
        <v>0</v>
      </c>
      <c r="BT55" s="23">
        <f t="shared" si="39"/>
        <v>21.91</v>
      </c>
      <c r="BU55" s="23">
        <f t="shared" si="39"/>
        <v>7.23</v>
      </c>
      <c r="BV55" s="23">
        <f t="shared" si="39"/>
        <v>9036.18</v>
      </c>
      <c r="BW55" s="23">
        <f t="shared" si="39"/>
        <v>8324.2199999999993</v>
      </c>
      <c r="BX55" s="23">
        <f t="shared" si="39"/>
        <v>8635.41</v>
      </c>
      <c r="BY55" t="s">
        <v>269</v>
      </c>
      <c r="CB55" s="40">
        <v>4.4999999999999998E-2</v>
      </c>
      <c r="CC55" s="36">
        <v>0.09</v>
      </c>
      <c r="CD55" s="36">
        <v>0</v>
      </c>
      <c r="CE55" t="s">
        <v>266</v>
      </c>
      <c r="CF55" t="s">
        <v>267</v>
      </c>
      <c r="CG55" t="s">
        <v>267</v>
      </c>
      <c r="CH55" t="s">
        <v>267</v>
      </c>
      <c r="CI55" t="s">
        <v>267</v>
      </c>
      <c r="CJ55" t="s">
        <v>267</v>
      </c>
      <c r="CK55" t="s">
        <v>266</v>
      </c>
      <c r="CL55" t="s">
        <v>266</v>
      </c>
      <c r="CM55" t="s">
        <v>285</v>
      </c>
      <c r="CN55" t="s">
        <v>267</v>
      </c>
      <c r="CO55" t="s">
        <v>266</v>
      </c>
      <c r="CP55" t="s">
        <v>303</v>
      </c>
    </row>
    <row r="56" spans="1:95" x14ac:dyDescent="0.25">
      <c r="A56" s="2" t="s">
        <v>62</v>
      </c>
      <c r="B56" s="17">
        <v>10.6</v>
      </c>
      <c r="C56" s="17">
        <v>0</v>
      </c>
      <c r="D56" s="17">
        <v>0</v>
      </c>
      <c r="E56" s="17">
        <v>0</v>
      </c>
      <c r="F56" s="17">
        <v>0</v>
      </c>
      <c r="G56" s="17">
        <v>0</v>
      </c>
      <c r="H56" s="17">
        <v>0</v>
      </c>
      <c r="I56" s="17">
        <v>0</v>
      </c>
      <c r="J56" s="17">
        <v>0</v>
      </c>
      <c r="K56" s="17">
        <v>0</v>
      </c>
      <c r="L56" s="17">
        <v>3.2</v>
      </c>
      <c r="M56" s="17">
        <v>0</v>
      </c>
      <c r="N56" s="17">
        <v>0</v>
      </c>
      <c r="O56" s="17">
        <v>39</v>
      </c>
      <c r="P56" s="17">
        <v>7.1</v>
      </c>
      <c r="Q56" s="17">
        <v>0</v>
      </c>
      <c r="R56" s="17">
        <v>2.4999999999999929</v>
      </c>
      <c r="S56" s="17">
        <v>0</v>
      </c>
      <c r="T56" s="17">
        <v>0</v>
      </c>
      <c r="U56" s="17">
        <v>0</v>
      </c>
      <c r="V56" s="17">
        <f t="shared" si="35"/>
        <v>62.399999999999991</v>
      </c>
      <c r="W56" s="18">
        <v>59.124999999999993</v>
      </c>
      <c r="X56" s="17">
        <v>0</v>
      </c>
      <c r="Y56" s="17">
        <v>0</v>
      </c>
      <c r="Z56" s="19">
        <v>17.2</v>
      </c>
      <c r="AA56" s="17">
        <v>0</v>
      </c>
      <c r="AB56" s="17">
        <v>0</v>
      </c>
      <c r="AC56" s="17">
        <v>0</v>
      </c>
      <c r="AD56" s="17">
        <v>0</v>
      </c>
      <c r="AE56" s="17">
        <v>0</v>
      </c>
      <c r="AF56" s="19">
        <v>28.075000000000003</v>
      </c>
      <c r="AG56" s="17">
        <v>0</v>
      </c>
      <c r="AH56" s="17">
        <f t="shared" si="36"/>
        <v>3.2749999999999986</v>
      </c>
      <c r="AI56" s="20">
        <v>8.9499999999999957</v>
      </c>
      <c r="AJ56" s="21">
        <v>811.2974999999999</v>
      </c>
      <c r="AK56" s="22">
        <v>783.94294243329387</v>
      </c>
      <c r="AL56" s="22">
        <v>787.03041990757185</v>
      </c>
      <c r="AM56" s="16">
        <v>10.199999999999999</v>
      </c>
      <c r="AN56" s="23">
        <f t="shared" si="2"/>
        <v>103.92</v>
      </c>
      <c r="AO56" s="23">
        <f t="shared" si="3"/>
        <v>0</v>
      </c>
      <c r="AP56" s="23">
        <f t="shared" si="4"/>
        <v>0</v>
      </c>
      <c r="AQ56" s="23">
        <f t="shared" si="5"/>
        <v>0</v>
      </c>
      <c r="AR56" s="23">
        <f t="shared" si="6"/>
        <v>0</v>
      </c>
      <c r="AS56" s="23">
        <f t="shared" si="7"/>
        <v>0</v>
      </c>
      <c r="AT56" s="23">
        <f t="shared" si="8"/>
        <v>0</v>
      </c>
      <c r="AU56" s="23">
        <f t="shared" si="9"/>
        <v>0</v>
      </c>
      <c r="AV56" s="23">
        <f t="shared" si="10"/>
        <v>0</v>
      </c>
      <c r="AW56" s="23">
        <f t="shared" si="11"/>
        <v>0</v>
      </c>
      <c r="AX56" s="23">
        <f t="shared" si="12"/>
        <v>31.37</v>
      </c>
      <c r="AY56" s="23">
        <f t="shared" si="13"/>
        <v>0</v>
      </c>
      <c r="AZ56" s="23">
        <f t="shared" si="14"/>
        <v>0</v>
      </c>
      <c r="BA56" s="23">
        <f t="shared" si="15"/>
        <v>382.35</v>
      </c>
      <c r="BB56" s="23">
        <f t="shared" si="16"/>
        <v>69.61</v>
      </c>
      <c r="BC56" s="23">
        <f t="shared" si="17"/>
        <v>0</v>
      </c>
      <c r="BD56" s="23">
        <f t="shared" si="18"/>
        <v>24.51</v>
      </c>
      <c r="BE56" s="23">
        <f t="shared" si="19"/>
        <v>0</v>
      </c>
      <c r="BF56" s="23">
        <f t="shared" si="20"/>
        <v>0</v>
      </c>
      <c r="BG56" s="23">
        <f t="shared" si="21"/>
        <v>0</v>
      </c>
      <c r="BH56" s="23">
        <f t="shared" si="22"/>
        <v>611.76</v>
      </c>
      <c r="BI56" s="23">
        <f t="shared" si="23"/>
        <v>579.66</v>
      </c>
      <c r="BJ56" s="23">
        <f t="shared" si="24"/>
        <v>0</v>
      </c>
      <c r="BK56" s="23">
        <f t="shared" si="25"/>
        <v>0</v>
      </c>
      <c r="BL56" s="23">
        <f t="shared" si="26"/>
        <v>168.63</v>
      </c>
      <c r="BM56" s="23">
        <f t="shared" si="27"/>
        <v>0</v>
      </c>
      <c r="BN56" s="23">
        <f t="shared" si="28"/>
        <v>0</v>
      </c>
      <c r="BO56" s="23">
        <f t="shared" si="29"/>
        <v>0</v>
      </c>
      <c r="BP56" s="23">
        <f t="shared" si="30"/>
        <v>0</v>
      </c>
      <c r="BQ56" s="23">
        <f t="shared" si="31"/>
        <v>0</v>
      </c>
      <c r="BR56" s="23">
        <f t="shared" si="32"/>
        <v>275.25</v>
      </c>
      <c r="BS56" s="23">
        <f t="shared" si="33"/>
        <v>0</v>
      </c>
      <c r="BT56" s="23">
        <f t="shared" si="39"/>
        <v>32.11</v>
      </c>
      <c r="BU56" s="23">
        <f t="shared" si="39"/>
        <v>87.75</v>
      </c>
      <c r="BV56" s="23">
        <f t="shared" si="39"/>
        <v>7953.9</v>
      </c>
      <c r="BW56" s="23">
        <f t="shared" si="39"/>
        <v>7685.72</v>
      </c>
      <c r="BX56" s="23">
        <f t="shared" si="39"/>
        <v>7715.98</v>
      </c>
      <c r="BY56" t="s">
        <v>269</v>
      </c>
      <c r="CB56" s="40">
        <v>4.4999999999999998E-2</v>
      </c>
      <c r="CC56" s="36">
        <v>0.09</v>
      </c>
      <c r="CD56" s="36">
        <v>0</v>
      </c>
      <c r="CE56" t="s">
        <v>266</v>
      </c>
      <c r="CF56" t="s">
        <v>267</v>
      </c>
      <c r="CG56" t="s">
        <v>267</v>
      </c>
      <c r="CH56" t="s">
        <v>267</v>
      </c>
      <c r="CI56" t="s">
        <v>267</v>
      </c>
      <c r="CJ56" t="s">
        <v>267</v>
      </c>
      <c r="CK56" t="s">
        <v>266</v>
      </c>
      <c r="CL56" t="s">
        <v>266</v>
      </c>
      <c r="CM56" t="s">
        <v>285</v>
      </c>
      <c r="CN56" t="s">
        <v>267</v>
      </c>
      <c r="CO56" t="s">
        <v>266</v>
      </c>
      <c r="CP56" t="s">
        <v>303</v>
      </c>
    </row>
    <row r="57" spans="1:95" x14ac:dyDescent="0.25">
      <c r="A57" s="2" t="s">
        <v>63</v>
      </c>
      <c r="B57" s="17">
        <v>15.1</v>
      </c>
      <c r="C57" s="17">
        <v>0</v>
      </c>
      <c r="D57" s="17">
        <v>0</v>
      </c>
      <c r="E57" s="17">
        <v>0</v>
      </c>
      <c r="F57" s="17">
        <v>0</v>
      </c>
      <c r="G57" s="17">
        <v>0</v>
      </c>
      <c r="H57" s="17">
        <v>0</v>
      </c>
      <c r="I57" s="17">
        <v>0</v>
      </c>
      <c r="J57" s="17">
        <v>0</v>
      </c>
      <c r="K57" s="17">
        <v>0</v>
      </c>
      <c r="L57" s="17">
        <v>3.1</v>
      </c>
      <c r="M57" s="17">
        <v>0</v>
      </c>
      <c r="N57" s="17">
        <v>0</v>
      </c>
      <c r="O57" s="17">
        <v>40</v>
      </c>
      <c r="P57" s="17">
        <v>7.1</v>
      </c>
      <c r="Q57" s="17">
        <v>0</v>
      </c>
      <c r="R57" s="17">
        <v>4.4000000000000057</v>
      </c>
      <c r="S57" s="17">
        <v>0</v>
      </c>
      <c r="T57" s="17">
        <v>0</v>
      </c>
      <c r="U57" s="17">
        <v>0</v>
      </c>
      <c r="V57" s="17">
        <f t="shared" si="35"/>
        <v>69.7</v>
      </c>
      <c r="W57" s="18">
        <v>75.099999999999994</v>
      </c>
      <c r="X57" s="17">
        <v>0</v>
      </c>
      <c r="Y57" s="17">
        <v>0</v>
      </c>
      <c r="Z57" s="19">
        <v>40.625</v>
      </c>
      <c r="AA57" s="17">
        <v>0</v>
      </c>
      <c r="AB57" s="17">
        <v>0</v>
      </c>
      <c r="AC57" s="17">
        <v>0</v>
      </c>
      <c r="AD57" s="17">
        <v>0</v>
      </c>
      <c r="AE57" s="17">
        <v>0</v>
      </c>
      <c r="AF57" s="19">
        <v>28.2</v>
      </c>
      <c r="AG57" s="17">
        <v>0</v>
      </c>
      <c r="AH57" s="17">
        <f t="shared" si="36"/>
        <v>-5.3999999999999915</v>
      </c>
      <c r="AI57" s="20">
        <v>16.612499999999994</v>
      </c>
      <c r="AJ57" s="21">
        <v>829.21875000000011</v>
      </c>
      <c r="AK57" s="22">
        <v>798.83284901760157</v>
      </c>
      <c r="AL57" s="22">
        <v>819.35022976338291</v>
      </c>
      <c r="AM57" s="16">
        <v>10.5</v>
      </c>
      <c r="AN57" s="23">
        <f t="shared" si="2"/>
        <v>143.81</v>
      </c>
      <c r="AO57" s="23">
        <f t="shared" si="3"/>
        <v>0</v>
      </c>
      <c r="AP57" s="23">
        <f t="shared" si="4"/>
        <v>0</v>
      </c>
      <c r="AQ57" s="23">
        <f t="shared" si="5"/>
        <v>0</v>
      </c>
      <c r="AR57" s="23">
        <f t="shared" si="6"/>
        <v>0</v>
      </c>
      <c r="AS57" s="23">
        <f t="shared" si="7"/>
        <v>0</v>
      </c>
      <c r="AT57" s="23">
        <f t="shared" si="8"/>
        <v>0</v>
      </c>
      <c r="AU57" s="23">
        <f t="shared" si="9"/>
        <v>0</v>
      </c>
      <c r="AV57" s="23">
        <f t="shared" si="10"/>
        <v>0</v>
      </c>
      <c r="AW57" s="23">
        <f t="shared" si="11"/>
        <v>0</v>
      </c>
      <c r="AX57" s="23">
        <f t="shared" si="12"/>
        <v>29.52</v>
      </c>
      <c r="AY57" s="23">
        <f t="shared" si="13"/>
        <v>0</v>
      </c>
      <c r="AZ57" s="23">
        <f t="shared" si="14"/>
        <v>0</v>
      </c>
      <c r="BA57" s="23">
        <f t="shared" si="15"/>
        <v>380.95</v>
      </c>
      <c r="BB57" s="23">
        <f t="shared" si="16"/>
        <v>67.62</v>
      </c>
      <c r="BC57" s="23">
        <f t="shared" si="17"/>
        <v>0</v>
      </c>
      <c r="BD57" s="23">
        <f t="shared" si="18"/>
        <v>41.9</v>
      </c>
      <c r="BE57" s="23">
        <f t="shared" si="19"/>
        <v>0</v>
      </c>
      <c r="BF57" s="23">
        <f t="shared" si="20"/>
        <v>0</v>
      </c>
      <c r="BG57" s="23">
        <f t="shared" si="21"/>
        <v>0</v>
      </c>
      <c r="BH57" s="23">
        <f t="shared" si="22"/>
        <v>663.81</v>
      </c>
      <c r="BI57" s="23">
        <f t="shared" si="23"/>
        <v>715.24</v>
      </c>
      <c r="BJ57" s="23">
        <f t="shared" si="24"/>
        <v>0</v>
      </c>
      <c r="BK57" s="23">
        <f t="shared" si="25"/>
        <v>0</v>
      </c>
      <c r="BL57" s="23">
        <f t="shared" si="26"/>
        <v>386.9</v>
      </c>
      <c r="BM57" s="23">
        <f t="shared" si="27"/>
        <v>0</v>
      </c>
      <c r="BN57" s="23">
        <f t="shared" si="28"/>
        <v>0</v>
      </c>
      <c r="BO57" s="23">
        <f t="shared" si="29"/>
        <v>0</v>
      </c>
      <c r="BP57" s="23">
        <f t="shared" si="30"/>
        <v>0</v>
      </c>
      <c r="BQ57" s="23">
        <f t="shared" si="31"/>
        <v>0</v>
      </c>
      <c r="BR57" s="23">
        <f t="shared" si="32"/>
        <v>268.57</v>
      </c>
      <c r="BS57" s="23">
        <f t="shared" si="33"/>
        <v>0</v>
      </c>
      <c r="BT57" s="23">
        <f t="shared" si="39"/>
        <v>-51.43</v>
      </c>
      <c r="BU57" s="23">
        <f t="shared" si="39"/>
        <v>158.21</v>
      </c>
      <c r="BV57" s="23">
        <f t="shared" si="39"/>
        <v>7897.32</v>
      </c>
      <c r="BW57" s="23">
        <f t="shared" si="39"/>
        <v>7607.93</v>
      </c>
      <c r="BX57" s="23">
        <f t="shared" si="39"/>
        <v>7803.34</v>
      </c>
      <c r="BY57" t="s">
        <v>269</v>
      </c>
      <c r="CB57" s="40">
        <v>4.4999999999999998E-2</v>
      </c>
      <c r="CC57" s="36">
        <v>0.09</v>
      </c>
      <c r="CD57" s="36">
        <v>0</v>
      </c>
      <c r="CE57" t="s">
        <v>266</v>
      </c>
      <c r="CF57" t="s">
        <v>267</v>
      </c>
      <c r="CG57" t="s">
        <v>267</v>
      </c>
      <c r="CH57" t="s">
        <v>267</v>
      </c>
      <c r="CI57" t="s">
        <v>267</v>
      </c>
      <c r="CJ57" t="s">
        <v>267</v>
      </c>
      <c r="CK57" t="s">
        <v>266</v>
      </c>
      <c r="CL57" t="s">
        <v>266</v>
      </c>
      <c r="CM57" t="s">
        <v>285</v>
      </c>
      <c r="CN57" t="s">
        <v>267</v>
      </c>
      <c r="CO57" t="s">
        <v>266</v>
      </c>
      <c r="CP57" t="s">
        <v>303</v>
      </c>
    </row>
    <row r="58" spans="1:95" x14ac:dyDescent="0.25">
      <c r="A58" s="2" t="s">
        <v>64</v>
      </c>
      <c r="B58" s="17">
        <v>16.100000000000001</v>
      </c>
      <c r="C58" s="17">
        <v>0</v>
      </c>
      <c r="D58" s="17">
        <v>0</v>
      </c>
      <c r="E58" s="17">
        <v>0</v>
      </c>
      <c r="F58" s="17">
        <v>0</v>
      </c>
      <c r="G58" s="17">
        <v>0</v>
      </c>
      <c r="H58" s="17">
        <v>0</v>
      </c>
      <c r="I58" s="17">
        <v>0</v>
      </c>
      <c r="J58" s="17">
        <v>0</v>
      </c>
      <c r="K58" s="17">
        <v>0</v>
      </c>
      <c r="L58" s="17">
        <v>3.1</v>
      </c>
      <c r="M58" s="17">
        <v>0</v>
      </c>
      <c r="N58" s="17">
        <v>0</v>
      </c>
      <c r="O58" s="17">
        <v>42</v>
      </c>
      <c r="P58" s="17">
        <v>7.4</v>
      </c>
      <c r="Q58" s="17">
        <v>0</v>
      </c>
      <c r="R58" s="17">
        <v>3.6000000000000085</v>
      </c>
      <c r="S58" s="17">
        <v>0</v>
      </c>
      <c r="T58" s="17">
        <v>0</v>
      </c>
      <c r="U58" s="17">
        <v>0</v>
      </c>
      <c r="V58" s="17">
        <f t="shared" si="35"/>
        <v>72.200000000000017</v>
      </c>
      <c r="W58" s="18">
        <v>88.85</v>
      </c>
      <c r="X58" s="17">
        <v>0</v>
      </c>
      <c r="Y58" s="19">
        <v>3.5</v>
      </c>
      <c r="Z58" s="19">
        <v>33.912499999999994</v>
      </c>
      <c r="AA58" s="17">
        <v>0</v>
      </c>
      <c r="AB58" s="17">
        <v>0</v>
      </c>
      <c r="AC58" s="17">
        <v>0</v>
      </c>
      <c r="AD58" s="17">
        <v>0</v>
      </c>
      <c r="AE58" s="17">
        <v>0</v>
      </c>
      <c r="AF58" s="19">
        <v>28.8</v>
      </c>
      <c r="AG58" s="17">
        <v>0</v>
      </c>
      <c r="AH58" s="17">
        <f t="shared" si="36"/>
        <v>-16.649999999999977</v>
      </c>
      <c r="AI58" s="20">
        <v>7.0687499999999925</v>
      </c>
      <c r="AJ58" s="21">
        <v>835.16874999999993</v>
      </c>
      <c r="AK58" s="22">
        <v>827.40892080269623</v>
      </c>
      <c r="AL58" s="22">
        <v>823.00892213554152</v>
      </c>
      <c r="AM58" s="16">
        <v>10.5</v>
      </c>
      <c r="AN58" s="23">
        <f t="shared" si="2"/>
        <v>153.33000000000001</v>
      </c>
      <c r="AO58" s="23">
        <f t="shared" si="3"/>
        <v>0</v>
      </c>
      <c r="AP58" s="23">
        <f t="shared" si="4"/>
        <v>0</v>
      </c>
      <c r="AQ58" s="23">
        <f t="shared" si="5"/>
        <v>0</v>
      </c>
      <c r="AR58" s="23">
        <f t="shared" si="6"/>
        <v>0</v>
      </c>
      <c r="AS58" s="23">
        <f t="shared" si="7"/>
        <v>0</v>
      </c>
      <c r="AT58" s="23">
        <f t="shared" si="8"/>
        <v>0</v>
      </c>
      <c r="AU58" s="23">
        <f t="shared" si="9"/>
        <v>0</v>
      </c>
      <c r="AV58" s="23">
        <f t="shared" si="10"/>
        <v>0</v>
      </c>
      <c r="AW58" s="23">
        <f t="shared" si="11"/>
        <v>0</v>
      </c>
      <c r="AX58" s="23">
        <f t="shared" si="12"/>
        <v>29.52</v>
      </c>
      <c r="AY58" s="23">
        <f t="shared" si="13"/>
        <v>0</v>
      </c>
      <c r="AZ58" s="23">
        <f t="shared" si="14"/>
        <v>0</v>
      </c>
      <c r="BA58" s="23">
        <f t="shared" si="15"/>
        <v>400</v>
      </c>
      <c r="BB58" s="23">
        <f t="shared" si="16"/>
        <v>70.48</v>
      </c>
      <c r="BC58" s="23">
        <f t="shared" si="17"/>
        <v>0</v>
      </c>
      <c r="BD58" s="23">
        <f t="shared" si="18"/>
        <v>34.29</v>
      </c>
      <c r="BE58" s="23">
        <f t="shared" si="19"/>
        <v>0</v>
      </c>
      <c r="BF58" s="23">
        <f t="shared" si="20"/>
        <v>0</v>
      </c>
      <c r="BG58" s="23">
        <f t="shared" si="21"/>
        <v>0</v>
      </c>
      <c r="BH58" s="23">
        <f t="shared" si="22"/>
        <v>687.62</v>
      </c>
      <c r="BI58" s="23">
        <f t="shared" si="23"/>
        <v>846.19</v>
      </c>
      <c r="BJ58" s="23">
        <f t="shared" si="24"/>
        <v>0</v>
      </c>
      <c r="BK58" s="23">
        <f t="shared" si="25"/>
        <v>33.33</v>
      </c>
      <c r="BL58" s="23">
        <f t="shared" si="26"/>
        <v>322.98</v>
      </c>
      <c r="BM58" s="23">
        <f t="shared" si="27"/>
        <v>0</v>
      </c>
      <c r="BN58" s="23">
        <f t="shared" si="28"/>
        <v>0</v>
      </c>
      <c r="BO58" s="23">
        <f t="shared" si="29"/>
        <v>0</v>
      </c>
      <c r="BP58" s="23">
        <f t="shared" si="30"/>
        <v>0</v>
      </c>
      <c r="BQ58" s="23">
        <f t="shared" si="31"/>
        <v>0</v>
      </c>
      <c r="BR58" s="23">
        <f t="shared" si="32"/>
        <v>274.29000000000002</v>
      </c>
      <c r="BS58" s="23">
        <f t="shared" si="33"/>
        <v>0</v>
      </c>
      <c r="BT58" s="23">
        <f t="shared" si="39"/>
        <v>-158.57</v>
      </c>
      <c r="BU58" s="23">
        <f t="shared" si="39"/>
        <v>67.319999999999993</v>
      </c>
      <c r="BV58" s="23">
        <f t="shared" si="39"/>
        <v>7953.99</v>
      </c>
      <c r="BW58" s="23">
        <f t="shared" si="39"/>
        <v>7880.08</v>
      </c>
      <c r="BX58" s="23">
        <f t="shared" si="39"/>
        <v>7838.18</v>
      </c>
      <c r="BY58" t="s">
        <v>269</v>
      </c>
      <c r="CB58" s="40">
        <v>4.4999999999999998E-2</v>
      </c>
      <c r="CC58" s="36">
        <v>0.09</v>
      </c>
      <c r="CD58" s="36">
        <v>0</v>
      </c>
      <c r="CE58" t="s">
        <v>266</v>
      </c>
      <c r="CF58" t="s">
        <v>267</v>
      </c>
      <c r="CG58" t="s">
        <v>267</v>
      </c>
      <c r="CH58" t="s">
        <v>267</v>
      </c>
      <c r="CI58" t="s">
        <v>267</v>
      </c>
      <c r="CJ58" t="s">
        <v>267</v>
      </c>
      <c r="CK58" t="s">
        <v>266</v>
      </c>
      <c r="CL58" t="s">
        <v>266</v>
      </c>
      <c r="CM58" t="s">
        <v>285</v>
      </c>
      <c r="CN58" t="s">
        <v>267</v>
      </c>
      <c r="CO58" t="s">
        <v>266</v>
      </c>
      <c r="CP58" t="s">
        <v>303</v>
      </c>
    </row>
    <row r="59" spans="1:95" x14ac:dyDescent="0.25">
      <c r="A59" s="2" t="s">
        <v>65</v>
      </c>
      <c r="B59" s="17">
        <v>11.6</v>
      </c>
      <c r="C59" s="17">
        <v>0</v>
      </c>
      <c r="D59" s="17">
        <v>0</v>
      </c>
      <c r="E59" s="17">
        <v>0</v>
      </c>
      <c r="F59" s="17">
        <v>0</v>
      </c>
      <c r="G59" s="17">
        <v>0</v>
      </c>
      <c r="H59" s="17">
        <v>0</v>
      </c>
      <c r="I59" s="17">
        <v>0</v>
      </c>
      <c r="J59" s="17">
        <v>0</v>
      </c>
      <c r="K59" s="17">
        <v>0</v>
      </c>
      <c r="L59" s="17">
        <v>3.2</v>
      </c>
      <c r="M59" s="17">
        <v>0</v>
      </c>
      <c r="N59" s="17">
        <v>0</v>
      </c>
      <c r="O59" s="17">
        <v>41</v>
      </c>
      <c r="P59" s="17">
        <v>7.4</v>
      </c>
      <c r="Q59" s="17">
        <v>0</v>
      </c>
      <c r="R59" s="17">
        <v>3.7000000000000028</v>
      </c>
      <c r="S59" s="17">
        <v>0</v>
      </c>
      <c r="T59" s="17">
        <v>0</v>
      </c>
      <c r="U59" s="17">
        <v>0</v>
      </c>
      <c r="V59" s="17">
        <f t="shared" si="35"/>
        <v>66.900000000000006</v>
      </c>
      <c r="W59" s="18">
        <v>74.125</v>
      </c>
      <c r="X59" s="17">
        <v>0</v>
      </c>
      <c r="Y59" s="19">
        <v>3.5</v>
      </c>
      <c r="Z59" s="19">
        <v>24.225000000000001</v>
      </c>
      <c r="AA59" s="17">
        <v>0</v>
      </c>
      <c r="AB59" s="17">
        <v>0</v>
      </c>
      <c r="AC59" s="17">
        <v>0</v>
      </c>
      <c r="AD59" s="17">
        <v>0</v>
      </c>
      <c r="AE59" s="17">
        <v>0</v>
      </c>
      <c r="AF59" s="19">
        <v>28.7</v>
      </c>
      <c r="AG59" s="17">
        <v>0</v>
      </c>
      <c r="AH59" s="17">
        <f t="shared" si="36"/>
        <v>-7.2249999999999943</v>
      </c>
      <c r="AI59" s="20">
        <v>1.6374999999999966</v>
      </c>
      <c r="AJ59" s="21">
        <v>831.78125</v>
      </c>
      <c r="AK59" s="22">
        <v>811.73191337167236</v>
      </c>
      <c r="AL59" s="22">
        <v>793.57789451108874</v>
      </c>
      <c r="AM59" s="16">
        <v>10</v>
      </c>
      <c r="AN59" s="23">
        <f t="shared" si="2"/>
        <v>116</v>
      </c>
      <c r="AO59" s="23">
        <f t="shared" si="3"/>
        <v>0</v>
      </c>
      <c r="AP59" s="23">
        <f t="shared" si="4"/>
        <v>0</v>
      </c>
      <c r="AQ59" s="23">
        <f t="shared" si="5"/>
        <v>0</v>
      </c>
      <c r="AR59" s="23">
        <f t="shared" si="6"/>
        <v>0</v>
      </c>
      <c r="AS59" s="23">
        <f t="shared" si="7"/>
        <v>0</v>
      </c>
      <c r="AT59" s="23">
        <f t="shared" si="8"/>
        <v>0</v>
      </c>
      <c r="AU59" s="23">
        <f t="shared" si="9"/>
        <v>0</v>
      </c>
      <c r="AV59" s="23">
        <f t="shared" si="10"/>
        <v>0</v>
      </c>
      <c r="AW59" s="23">
        <f t="shared" si="11"/>
        <v>0</v>
      </c>
      <c r="AX59" s="23">
        <f t="shared" si="12"/>
        <v>32</v>
      </c>
      <c r="AY59" s="23">
        <f t="shared" si="13"/>
        <v>0</v>
      </c>
      <c r="AZ59" s="23">
        <f t="shared" si="14"/>
        <v>0</v>
      </c>
      <c r="BA59" s="23">
        <f t="shared" si="15"/>
        <v>410</v>
      </c>
      <c r="BB59" s="23">
        <f t="shared" si="16"/>
        <v>74</v>
      </c>
      <c r="BC59" s="23">
        <f t="shared" si="17"/>
        <v>0</v>
      </c>
      <c r="BD59" s="23">
        <f t="shared" si="18"/>
        <v>37</v>
      </c>
      <c r="BE59" s="23">
        <f t="shared" si="19"/>
        <v>0</v>
      </c>
      <c r="BF59" s="23">
        <f t="shared" si="20"/>
        <v>0</v>
      </c>
      <c r="BG59" s="23">
        <f t="shared" si="21"/>
        <v>0</v>
      </c>
      <c r="BH59" s="23">
        <f t="shared" si="22"/>
        <v>669</v>
      </c>
      <c r="BI59" s="23">
        <f t="shared" si="23"/>
        <v>741.25</v>
      </c>
      <c r="BJ59" s="23">
        <f t="shared" si="24"/>
        <v>0</v>
      </c>
      <c r="BK59" s="23">
        <f t="shared" si="25"/>
        <v>35</v>
      </c>
      <c r="BL59" s="23">
        <f t="shared" si="26"/>
        <v>242.25</v>
      </c>
      <c r="BM59" s="23">
        <f t="shared" si="27"/>
        <v>0</v>
      </c>
      <c r="BN59" s="23">
        <f t="shared" si="28"/>
        <v>0</v>
      </c>
      <c r="BO59" s="23">
        <f t="shared" si="29"/>
        <v>0</v>
      </c>
      <c r="BP59" s="23">
        <f t="shared" si="30"/>
        <v>0</v>
      </c>
      <c r="BQ59" s="23">
        <f t="shared" si="31"/>
        <v>0</v>
      </c>
      <c r="BR59" s="23">
        <f t="shared" si="32"/>
        <v>287</v>
      </c>
      <c r="BS59" s="23">
        <f t="shared" si="33"/>
        <v>0</v>
      </c>
      <c r="BT59" s="23">
        <f t="shared" si="39"/>
        <v>-72.25</v>
      </c>
      <c r="BU59" s="23">
        <f t="shared" si="39"/>
        <v>16.38</v>
      </c>
      <c r="BV59" s="23">
        <f t="shared" si="39"/>
        <v>8317.81</v>
      </c>
      <c r="BW59" s="23">
        <f t="shared" si="39"/>
        <v>8117.32</v>
      </c>
      <c r="BX59" s="23">
        <f t="shared" si="39"/>
        <v>7935.78</v>
      </c>
      <c r="BY59" t="s">
        <v>270</v>
      </c>
      <c r="CB59" s="40">
        <v>4.4999999999999998E-2</v>
      </c>
      <c r="CC59" s="36">
        <v>0.09</v>
      </c>
      <c r="CD59" s="36">
        <v>0</v>
      </c>
      <c r="CE59" t="s">
        <v>266</v>
      </c>
      <c r="CF59" t="s">
        <v>267</v>
      </c>
      <c r="CG59" t="s">
        <v>267</v>
      </c>
      <c r="CH59" t="s">
        <v>267</v>
      </c>
      <c r="CI59" t="s">
        <v>267</v>
      </c>
      <c r="CJ59" t="s">
        <v>267</v>
      </c>
      <c r="CK59" t="s">
        <v>266</v>
      </c>
      <c r="CL59" t="s">
        <v>266</v>
      </c>
      <c r="CM59" t="s">
        <v>285</v>
      </c>
      <c r="CN59" t="s">
        <v>267</v>
      </c>
      <c r="CO59" t="s">
        <v>266</v>
      </c>
    </row>
    <row r="60" spans="1:95" x14ac:dyDescent="0.25">
      <c r="A60" s="2" t="s">
        <v>66</v>
      </c>
      <c r="B60" s="17">
        <v>6.7</v>
      </c>
      <c r="C60" s="17">
        <v>0</v>
      </c>
      <c r="D60" s="17">
        <v>0</v>
      </c>
      <c r="E60" s="17">
        <v>0</v>
      </c>
      <c r="F60" s="17">
        <v>0</v>
      </c>
      <c r="G60" s="17">
        <v>0</v>
      </c>
      <c r="H60" s="17">
        <v>0</v>
      </c>
      <c r="I60" s="17">
        <v>0</v>
      </c>
      <c r="J60" s="17">
        <v>0</v>
      </c>
      <c r="K60" s="17">
        <v>0</v>
      </c>
      <c r="L60" s="17">
        <v>3.2</v>
      </c>
      <c r="M60" s="17">
        <v>0</v>
      </c>
      <c r="N60" s="17">
        <v>0</v>
      </c>
      <c r="O60" s="17">
        <v>42</v>
      </c>
      <c r="P60" s="17">
        <v>8</v>
      </c>
      <c r="Q60" s="17">
        <v>0</v>
      </c>
      <c r="R60" s="17">
        <v>4.3999999999999986</v>
      </c>
      <c r="S60" s="17">
        <v>0</v>
      </c>
      <c r="T60" s="17">
        <v>0</v>
      </c>
      <c r="U60" s="17">
        <v>0</v>
      </c>
      <c r="V60" s="17">
        <f t="shared" si="35"/>
        <v>64.3</v>
      </c>
      <c r="W60" s="18">
        <v>67.350000000000009</v>
      </c>
      <c r="X60" s="17">
        <v>0</v>
      </c>
      <c r="Y60" s="19">
        <v>3.75</v>
      </c>
      <c r="Z60" s="19">
        <v>21.824999999999999</v>
      </c>
      <c r="AA60" s="17">
        <v>0</v>
      </c>
      <c r="AB60" s="17">
        <v>0</v>
      </c>
      <c r="AC60" s="17">
        <v>0</v>
      </c>
      <c r="AD60" s="17">
        <v>0</v>
      </c>
      <c r="AE60" s="17">
        <v>0</v>
      </c>
      <c r="AF60" s="19">
        <v>28.7</v>
      </c>
      <c r="AG60" s="17">
        <v>0</v>
      </c>
      <c r="AH60" s="17">
        <f t="shared" si="36"/>
        <v>-3.0500000000000114</v>
      </c>
      <c r="AI60" s="20">
        <v>0.46249999999999947</v>
      </c>
      <c r="AJ60" s="21">
        <v>828.06250000000011</v>
      </c>
      <c r="AK60" s="22">
        <v>798.18913061167677</v>
      </c>
      <c r="AL60" s="22">
        <v>825.56562167343691</v>
      </c>
      <c r="AM60" s="16">
        <v>9.1</v>
      </c>
      <c r="AN60" s="23">
        <f t="shared" si="2"/>
        <v>73.63</v>
      </c>
      <c r="AO60" s="23">
        <f t="shared" si="3"/>
        <v>0</v>
      </c>
      <c r="AP60" s="23">
        <f t="shared" si="4"/>
        <v>0</v>
      </c>
      <c r="AQ60" s="23">
        <f t="shared" si="5"/>
        <v>0</v>
      </c>
      <c r="AR60" s="23">
        <f t="shared" si="6"/>
        <v>0</v>
      </c>
      <c r="AS60" s="23">
        <f t="shared" si="7"/>
        <v>0</v>
      </c>
      <c r="AT60" s="23">
        <f t="shared" si="8"/>
        <v>0</v>
      </c>
      <c r="AU60" s="23">
        <f t="shared" si="9"/>
        <v>0</v>
      </c>
      <c r="AV60" s="23">
        <f t="shared" si="10"/>
        <v>0</v>
      </c>
      <c r="AW60" s="23">
        <f t="shared" si="11"/>
        <v>0</v>
      </c>
      <c r="AX60" s="23">
        <f t="shared" si="12"/>
        <v>35.159999999999997</v>
      </c>
      <c r="AY60" s="23">
        <f t="shared" si="13"/>
        <v>0</v>
      </c>
      <c r="AZ60" s="23">
        <f t="shared" si="14"/>
        <v>0</v>
      </c>
      <c r="BA60" s="23">
        <f t="shared" si="15"/>
        <v>461.54</v>
      </c>
      <c r="BB60" s="23">
        <f t="shared" si="16"/>
        <v>87.91</v>
      </c>
      <c r="BC60" s="23">
        <f t="shared" si="17"/>
        <v>0</v>
      </c>
      <c r="BD60" s="23">
        <f t="shared" si="18"/>
        <v>48.35</v>
      </c>
      <c r="BE60" s="23">
        <f t="shared" si="19"/>
        <v>0</v>
      </c>
      <c r="BF60" s="23">
        <f t="shared" si="20"/>
        <v>0</v>
      </c>
      <c r="BG60" s="23">
        <f t="shared" si="21"/>
        <v>0</v>
      </c>
      <c r="BH60" s="23">
        <f t="shared" si="22"/>
        <v>706.59</v>
      </c>
      <c r="BI60" s="23">
        <f t="shared" si="23"/>
        <v>740.11</v>
      </c>
      <c r="BJ60" s="23">
        <f t="shared" si="24"/>
        <v>0</v>
      </c>
      <c r="BK60" s="23">
        <f t="shared" si="25"/>
        <v>41.21</v>
      </c>
      <c r="BL60" s="23">
        <f t="shared" si="26"/>
        <v>239.84</v>
      </c>
      <c r="BM60" s="23">
        <f t="shared" si="27"/>
        <v>0</v>
      </c>
      <c r="BN60" s="23">
        <f t="shared" si="28"/>
        <v>0</v>
      </c>
      <c r="BO60" s="23">
        <f t="shared" si="29"/>
        <v>0</v>
      </c>
      <c r="BP60" s="23">
        <f t="shared" si="30"/>
        <v>0</v>
      </c>
      <c r="BQ60" s="23">
        <f t="shared" si="31"/>
        <v>0</v>
      </c>
      <c r="BR60" s="23">
        <f t="shared" si="32"/>
        <v>315.38</v>
      </c>
      <c r="BS60" s="23">
        <f t="shared" si="33"/>
        <v>0</v>
      </c>
      <c r="BT60" s="23">
        <f t="shared" si="39"/>
        <v>-33.520000000000003</v>
      </c>
      <c r="BU60" s="23">
        <f t="shared" si="39"/>
        <v>5.08</v>
      </c>
      <c r="BV60" s="23">
        <f t="shared" si="39"/>
        <v>9099.59</v>
      </c>
      <c r="BW60" s="23">
        <f t="shared" si="39"/>
        <v>8771.31</v>
      </c>
      <c r="BX60" s="23">
        <f t="shared" si="39"/>
        <v>9072.15</v>
      </c>
      <c r="BY60" t="s">
        <v>270</v>
      </c>
      <c r="CB60" s="40">
        <v>4.4999999999999998E-2</v>
      </c>
      <c r="CC60" s="36">
        <v>0.09</v>
      </c>
      <c r="CD60" s="36">
        <v>0</v>
      </c>
      <c r="CE60" t="s">
        <v>266</v>
      </c>
      <c r="CF60" t="s">
        <v>267</v>
      </c>
      <c r="CG60" t="s">
        <v>267</v>
      </c>
      <c r="CH60" t="s">
        <v>267</v>
      </c>
      <c r="CI60" t="s">
        <v>267</v>
      </c>
      <c r="CJ60" t="s">
        <v>267</v>
      </c>
      <c r="CK60" t="s">
        <v>266</v>
      </c>
      <c r="CL60" t="s">
        <v>266</v>
      </c>
      <c r="CM60" t="s">
        <v>285</v>
      </c>
      <c r="CN60" t="s">
        <v>267</v>
      </c>
      <c r="CO60" t="s">
        <v>266</v>
      </c>
    </row>
    <row r="61" spans="1:95" x14ac:dyDescent="0.25">
      <c r="A61" s="2" t="s">
        <v>67</v>
      </c>
      <c r="B61" s="17">
        <v>9.6</v>
      </c>
      <c r="C61" s="17">
        <v>0</v>
      </c>
      <c r="D61" s="17">
        <v>0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3.2</v>
      </c>
      <c r="M61" s="17">
        <v>0</v>
      </c>
      <c r="N61" s="17">
        <v>0</v>
      </c>
      <c r="O61" s="17">
        <v>44</v>
      </c>
      <c r="P61" s="17">
        <v>8</v>
      </c>
      <c r="Q61" s="17">
        <v>0</v>
      </c>
      <c r="R61" s="17">
        <v>5.2999999999999972</v>
      </c>
      <c r="S61" s="17">
        <v>0</v>
      </c>
      <c r="T61" s="17">
        <v>0</v>
      </c>
      <c r="U61" s="17">
        <v>0</v>
      </c>
      <c r="V61" s="17">
        <f t="shared" si="35"/>
        <v>70.099999999999994</v>
      </c>
      <c r="W61" s="18">
        <v>66</v>
      </c>
      <c r="X61" s="17">
        <v>0</v>
      </c>
      <c r="Y61" s="19">
        <v>4.5</v>
      </c>
      <c r="Z61" s="19">
        <v>24.75</v>
      </c>
      <c r="AA61" s="17">
        <v>0</v>
      </c>
      <c r="AB61" s="17">
        <v>0</v>
      </c>
      <c r="AC61" s="17">
        <v>0</v>
      </c>
      <c r="AD61" s="17">
        <v>0</v>
      </c>
      <c r="AE61" s="17">
        <v>0</v>
      </c>
      <c r="AF61" s="19">
        <v>28.7</v>
      </c>
      <c r="AG61" s="17">
        <v>0</v>
      </c>
      <c r="AH61" s="17">
        <f t="shared" si="36"/>
        <v>4.0999999999999943</v>
      </c>
      <c r="AI61" s="20">
        <v>0.38125000000000053</v>
      </c>
      <c r="AJ61" s="21">
        <v>823.75625000000002</v>
      </c>
      <c r="AK61" s="22">
        <v>843.57489846372903</v>
      </c>
      <c r="AL61" s="22">
        <v>852.21696098255325</v>
      </c>
      <c r="AM61" s="16">
        <v>9</v>
      </c>
      <c r="AN61" s="23">
        <f t="shared" si="2"/>
        <v>106.67</v>
      </c>
      <c r="AO61" s="23">
        <f t="shared" si="3"/>
        <v>0</v>
      </c>
      <c r="AP61" s="23">
        <f t="shared" si="4"/>
        <v>0</v>
      </c>
      <c r="AQ61" s="23">
        <f t="shared" si="5"/>
        <v>0</v>
      </c>
      <c r="AR61" s="23">
        <f t="shared" si="6"/>
        <v>0</v>
      </c>
      <c r="AS61" s="23">
        <f t="shared" si="7"/>
        <v>0</v>
      </c>
      <c r="AT61" s="23">
        <f t="shared" si="8"/>
        <v>0</v>
      </c>
      <c r="AU61" s="23">
        <f t="shared" si="9"/>
        <v>0</v>
      </c>
      <c r="AV61" s="23">
        <f t="shared" si="10"/>
        <v>0</v>
      </c>
      <c r="AW61" s="23">
        <f t="shared" si="11"/>
        <v>0</v>
      </c>
      <c r="AX61" s="23">
        <f t="shared" si="12"/>
        <v>35.56</v>
      </c>
      <c r="AY61" s="23">
        <f t="shared" si="13"/>
        <v>0</v>
      </c>
      <c r="AZ61" s="23">
        <f t="shared" si="14"/>
        <v>0</v>
      </c>
      <c r="BA61" s="23">
        <f t="shared" si="15"/>
        <v>488.89</v>
      </c>
      <c r="BB61" s="23">
        <f t="shared" si="16"/>
        <v>88.89</v>
      </c>
      <c r="BC61" s="23">
        <f t="shared" si="17"/>
        <v>0</v>
      </c>
      <c r="BD61" s="23">
        <f t="shared" si="18"/>
        <v>58.89</v>
      </c>
      <c r="BE61" s="23">
        <f t="shared" si="19"/>
        <v>0</v>
      </c>
      <c r="BF61" s="23">
        <f t="shared" si="20"/>
        <v>0</v>
      </c>
      <c r="BG61" s="23">
        <f t="shared" si="21"/>
        <v>0</v>
      </c>
      <c r="BH61" s="23">
        <f t="shared" si="22"/>
        <v>778.89</v>
      </c>
      <c r="BI61" s="23">
        <f t="shared" si="23"/>
        <v>733.33</v>
      </c>
      <c r="BJ61" s="23">
        <f t="shared" si="24"/>
        <v>0</v>
      </c>
      <c r="BK61" s="23">
        <f t="shared" si="25"/>
        <v>50</v>
      </c>
      <c r="BL61" s="23">
        <f t="shared" si="26"/>
        <v>275</v>
      </c>
      <c r="BM61" s="23">
        <f t="shared" si="27"/>
        <v>0</v>
      </c>
      <c r="BN61" s="23">
        <f t="shared" si="28"/>
        <v>0</v>
      </c>
      <c r="BO61" s="23">
        <f t="shared" si="29"/>
        <v>0</v>
      </c>
      <c r="BP61" s="23">
        <f t="shared" si="30"/>
        <v>0</v>
      </c>
      <c r="BQ61" s="23">
        <f t="shared" si="31"/>
        <v>0</v>
      </c>
      <c r="BR61" s="23">
        <f t="shared" si="32"/>
        <v>318.89</v>
      </c>
      <c r="BS61" s="23">
        <f t="shared" si="33"/>
        <v>0</v>
      </c>
      <c r="BT61" s="23">
        <f t="shared" si="39"/>
        <v>45.56</v>
      </c>
      <c r="BU61" s="23">
        <f t="shared" si="39"/>
        <v>4.24</v>
      </c>
      <c r="BV61" s="23">
        <f t="shared" si="39"/>
        <v>9152.85</v>
      </c>
      <c r="BW61" s="23">
        <f t="shared" si="39"/>
        <v>9373.0499999999993</v>
      </c>
      <c r="BX61" s="23">
        <f t="shared" si="39"/>
        <v>9469.08</v>
      </c>
      <c r="BY61" t="s">
        <v>271</v>
      </c>
      <c r="CB61" s="40">
        <v>4.4999999999999998E-2</v>
      </c>
      <c r="CC61" s="36">
        <v>0.09</v>
      </c>
      <c r="CD61" s="36">
        <v>0</v>
      </c>
      <c r="CE61" t="s">
        <v>266</v>
      </c>
      <c r="CF61" t="s">
        <v>267</v>
      </c>
      <c r="CG61" t="s">
        <v>267</v>
      </c>
      <c r="CH61" t="s">
        <v>267</v>
      </c>
      <c r="CI61" t="s">
        <v>267</v>
      </c>
      <c r="CJ61" t="s">
        <v>267</v>
      </c>
      <c r="CK61" t="s">
        <v>266</v>
      </c>
      <c r="CL61" t="s">
        <v>266</v>
      </c>
      <c r="CM61" t="s">
        <v>285</v>
      </c>
      <c r="CN61" t="s">
        <v>267</v>
      </c>
      <c r="CO61" t="s">
        <v>266</v>
      </c>
    </row>
    <row r="62" spans="1:95" x14ac:dyDescent="0.25">
      <c r="A62" s="2" t="s">
        <v>68</v>
      </c>
      <c r="B62" s="17">
        <v>10.9</v>
      </c>
      <c r="C62" s="17">
        <v>0</v>
      </c>
      <c r="D62" s="17">
        <v>0</v>
      </c>
      <c r="E62" s="17">
        <v>0</v>
      </c>
      <c r="F62" s="17">
        <v>0</v>
      </c>
      <c r="G62" s="17">
        <v>0</v>
      </c>
      <c r="H62" s="17">
        <v>0</v>
      </c>
      <c r="I62" s="17">
        <v>0</v>
      </c>
      <c r="J62" s="17">
        <v>0</v>
      </c>
      <c r="K62" s="17">
        <v>0</v>
      </c>
      <c r="L62" s="17">
        <v>3.1</v>
      </c>
      <c r="M62" s="17">
        <v>0</v>
      </c>
      <c r="N62" s="17">
        <v>0</v>
      </c>
      <c r="O62" s="17">
        <v>42</v>
      </c>
      <c r="P62" s="17">
        <v>8.3000000000000007</v>
      </c>
      <c r="Q62" s="17">
        <v>0</v>
      </c>
      <c r="R62" s="17">
        <v>5.4000000000000057</v>
      </c>
      <c r="S62" s="17">
        <v>0</v>
      </c>
      <c r="T62" s="17">
        <v>0</v>
      </c>
      <c r="U62" s="17">
        <v>0</v>
      </c>
      <c r="V62" s="17">
        <f t="shared" si="35"/>
        <v>69.7</v>
      </c>
      <c r="W62" s="18">
        <v>70.424999999999997</v>
      </c>
      <c r="X62" s="17">
        <v>0</v>
      </c>
      <c r="Y62" s="19">
        <v>4.5</v>
      </c>
      <c r="Z62" s="19">
        <v>27.812500000000004</v>
      </c>
      <c r="AA62" s="17">
        <v>0</v>
      </c>
      <c r="AB62" s="17">
        <v>0</v>
      </c>
      <c r="AC62" s="17">
        <v>0</v>
      </c>
      <c r="AD62" s="17">
        <v>0</v>
      </c>
      <c r="AE62" s="17">
        <v>0</v>
      </c>
      <c r="AF62" s="19">
        <v>26.3</v>
      </c>
      <c r="AG62" s="17">
        <v>0</v>
      </c>
      <c r="AH62" s="17">
        <f t="shared" si="36"/>
        <v>-0.72499999999999432</v>
      </c>
      <c r="AI62" s="20">
        <v>2.5250000000000012</v>
      </c>
      <c r="AJ62" s="21">
        <v>822.01874999999995</v>
      </c>
      <c r="AK62" s="22">
        <v>864.47037369580585</v>
      </c>
      <c r="AL62" s="22">
        <v>880.33513660348672</v>
      </c>
      <c r="AM62" s="16">
        <v>9.3000000000000007</v>
      </c>
      <c r="AN62" s="23">
        <f t="shared" si="2"/>
        <v>117.2</v>
      </c>
      <c r="AO62" s="23">
        <f t="shared" si="3"/>
        <v>0</v>
      </c>
      <c r="AP62" s="23">
        <f t="shared" si="4"/>
        <v>0</v>
      </c>
      <c r="AQ62" s="23">
        <f t="shared" si="5"/>
        <v>0</v>
      </c>
      <c r="AR62" s="23">
        <f t="shared" si="6"/>
        <v>0</v>
      </c>
      <c r="AS62" s="23">
        <f t="shared" si="7"/>
        <v>0</v>
      </c>
      <c r="AT62" s="23">
        <f t="shared" si="8"/>
        <v>0</v>
      </c>
      <c r="AU62" s="23">
        <f t="shared" si="9"/>
        <v>0</v>
      </c>
      <c r="AV62" s="23">
        <f t="shared" si="10"/>
        <v>0</v>
      </c>
      <c r="AW62" s="23">
        <f t="shared" si="11"/>
        <v>0</v>
      </c>
      <c r="AX62" s="23">
        <f t="shared" si="12"/>
        <v>33.33</v>
      </c>
      <c r="AY62" s="23">
        <f t="shared" si="13"/>
        <v>0</v>
      </c>
      <c r="AZ62" s="23">
        <f t="shared" si="14"/>
        <v>0</v>
      </c>
      <c r="BA62" s="23">
        <f t="shared" si="15"/>
        <v>451.61</v>
      </c>
      <c r="BB62" s="23">
        <f t="shared" si="16"/>
        <v>89.25</v>
      </c>
      <c r="BC62" s="23">
        <f t="shared" si="17"/>
        <v>0</v>
      </c>
      <c r="BD62" s="23">
        <f t="shared" si="18"/>
        <v>58.06</v>
      </c>
      <c r="BE62" s="23">
        <f t="shared" si="19"/>
        <v>0</v>
      </c>
      <c r="BF62" s="23">
        <f t="shared" si="20"/>
        <v>0</v>
      </c>
      <c r="BG62" s="23">
        <f t="shared" si="21"/>
        <v>0</v>
      </c>
      <c r="BH62" s="23">
        <f t="shared" si="22"/>
        <v>749.46</v>
      </c>
      <c r="BI62" s="23">
        <f t="shared" si="23"/>
        <v>757.26</v>
      </c>
      <c r="BJ62" s="23">
        <f t="shared" si="24"/>
        <v>0</v>
      </c>
      <c r="BK62" s="23">
        <f t="shared" si="25"/>
        <v>48.39</v>
      </c>
      <c r="BL62" s="23">
        <f t="shared" si="26"/>
        <v>299.06</v>
      </c>
      <c r="BM62" s="23">
        <f t="shared" si="27"/>
        <v>0</v>
      </c>
      <c r="BN62" s="23">
        <f t="shared" si="28"/>
        <v>0</v>
      </c>
      <c r="BO62" s="23">
        <f t="shared" si="29"/>
        <v>0</v>
      </c>
      <c r="BP62" s="23">
        <f t="shared" si="30"/>
        <v>0</v>
      </c>
      <c r="BQ62" s="23">
        <f t="shared" si="31"/>
        <v>0</v>
      </c>
      <c r="BR62" s="23">
        <f t="shared" si="32"/>
        <v>282.8</v>
      </c>
      <c r="BS62" s="23">
        <f t="shared" si="33"/>
        <v>0</v>
      </c>
      <c r="BT62" s="23">
        <f t="shared" si="39"/>
        <v>-7.8</v>
      </c>
      <c r="BU62" s="23">
        <f t="shared" si="39"/>
        <v>27.15</v>
      </c>
      <c r="BV62" s="23">
        <f t="shared" si="39"/>
        <v>8838.91</v>
      </c>
      <c r="BW62" s="23">
        <f t="shared" si="39"/>
        <v>9295.3799999999992</v>
      </c>
      <c r="BX62" s="23">
        <f t="shared" si="39"/>
        <v>9465.9699999999993</v>
      </c>
      <c r="BY62" t="s">
        <v>271</v>
      </c>
      <c r="CB62" s="40">
        <v>4.4999999999999998E-2</v>
      </c>
      <c r="CC62" s="36">
        <v>0.09</v>
      </c>
      <c r="CD62" s="36">
        <v>0</v>
      </c>
      <c r="CE62" t="s">
        <v>266</v>
      </c>
      <c r="CF62" t="s">
        <v>267</v>
      </c>
      <c r="CG62" t="s">
        <v>267</v>
      </c>
      <c r="CH62" t="s">
        <v>267</v>
      </c>
      <c r="CI62" t="s">
        <v>267</v>
      </c>
      <c r="CJ62" t="s">
        <v>267</v>
      </c>
      <c r="CK62" t="s">
        <v>266</v>
      </c>
      <c r="CL62" t="s">
        <v>266</v>
      </c>
      <c r="CM62" t="s">
        <v>285</v>
      </c>
      <c r="CN62" t="s">
        <v>267</v>
      </c>
      <c r="CO62" t="s">
        <v>266</v>
      </c>
    </row>
    <row r="63" spans="1:95" x14ac:dyDescent="0.25">
      <c r="A63" s="2" t="s">
        <v>69</v>
      </c>
      <c r="B63" s="17">
        <v>10.4</v>
      </c>
      <c r="C63" s="17">
        <v>0</v>
      </c>
      <c r="D63" s="17">
        <v>0</v>
      </c>
      <c r="E63" s="17">
        <v>0</v>
      </c>
      <c r="F63" s="17">
        <v>0</v>
      </c>
      <c r="G63" s="17">
        <v>0</v>
      </c>
      <c r="H63" s="17">
        <v>0</v>
      </c>
      <c r="I63" s="17">
        <v>0</v>
      </c>
      <c r="J63" s="17">
        <v>0</v>
      </c>
      <c r="K63" s="17">
        <v>0</v>
      </c>
      <c r="L63" s="17">
        <v>3.2</v>
      </c>
      <c r="M63" s="17">
        <v>0</v>
      </c>
      <c r="N63" s="17">
        <v>0</v>
      </c>
      <c r="O63" s="17">
        <v>42</v>
      </c>
      <c r="P63" s="17">
        <v>8.6</v>
      </c>
      <c r="Q63" s="17">
        <v>0</v>
      </c>
      <c r="R63" s="17">
        <v>4.7999999999999972</v>
      </c>
      <c r="S63" s="17">
        <v>0</v>
      </c>
      <c r="T63" s="17">
        <v>0</v>
      </c>
      <c r="U63" s="17">
        <v>0</v>
      </c>
      <c r="V63" s="17">
        <f t="shared" si="35"/>
        <v>69</v>
      </c>
      <c r="W63" s="18">
        <v>72.75</v>
      </c>
      <c r="X63" s="17">
        <v>0</v>
      </c>
      <c r="Y63" s="19">
        <v>4.5</v>
      </c>
      <c r="Z63" s="19">
        <v>28.875</v>
      </c>
      <c r="AA63" s="17">
        <v>0</v>
      </c>
      <c r="AB63" s="17">
        <v>0</v>
      </c>
      <c r="AC63" s="17">
        <v>0</v>
      </c>
      <c r="AD63" s="17">
        <v>0</v>
      </c>
      <c r="AE63" s="17">
        <v>0</v>
      </c>
      <c r="AF63" s="19">
        <v>26.3</v>
      </c>
      <c r="AG63" s="17">
        <v>0</v>
      </c>
      <c r="AH63" s="17">
        <f t="shared" si="36"/>
        <v>-3.75</v>
      </c>
      <c r="AI63" s="20">
        <v>2.9437499999999988</v>
      </c>
      <c r="AJ63" s="21">
        <v>821.46875</v>
      </c>
      <c r="AK63" s="22">
        <v>888.95667772760657</v>
      </c>
      <c r="AL63" s="22">
        <v>890.33499706816553</v>
      </c>
      <c r="AM63" s="16">
        <v>9.5</v>
      </c>
      <c r="AN63" s="23">
        <f t="shared" si="2"/>
        <v>109.47</v>
      </c>
      <c r="AO63" s="23">
        <f t="shared" si="3"/>
        <v>0</v>
      </c>
      <c r="AP63" s="23">
        <f t="shared" si="4"/>
        <v>0</v>
      </c>
      <c r="AQ63" s="23">
        <f t="shared" si="5"/>
        <v>0</v>
      </c>
      <c r="AR63" s="23">
        <f t="shared" si="6"/>
        <v>0</v>
      </c>
      <c r="AS63" s="23">
        <f t="shared" si="7"/>
        <v>0</v>
      </c>
      <c r="AT63" s="23">
        <f t="shared" si="8"/>
        <v>0</v>
      </c>
      <c r="AU63" s="23">
        <f t="shared" si="9"/>
        <v>0</v>
      </c>
      <c r="AV63" s="23">
        <f t="shared" si="10"/>
        <v>0</v>
      </c>
      <c r="AW63" s="23">
        <f t="shared" si="11"/>
        <v>0</v>
      </c>
      <c r="AX63" s="23">
        <f t="shared" si="12"/>
        <v>33.68</v>
      </c>
      <c r="AY63" s="23">
        <f t="shared" si="13"/>
        <v>0</v>
      </c>
      <c r="AZ63" s="23">
        <f t="shared" si="14"/>
        <v>0</v>
      </c>
      <c r="BA63" s="23">
        <f t="shared" si="15"/>
        <v>442.11</v>
      </c>
      <c r="BB63" s="23">
        <f t="shared" si="16"/>
        <v>90.53</v>
      </c>
      <c r="BC63" s="23">
        <f t="shared" si="17"/>
        <v>0</v>
      </c>
      <c r="BD63" s="23">
        <f t="shared" si="18"/>
        <v>50.53</v>
      </c>
      <c r="BE63" s="23">
        <f t="shared" si="19"/>
        <v>0</v>
      </c>
      <c r="BF63" s="23">
        <f t="shared" si="20"/>
        <v>0</v>
      </c>
      <c r="BG63" s="23">
        <f t="shared" si="21"/>
        <v>0</v>
      </c>
      <c r="BH63" s="23">
        <f t="shared" si="22"/>
        <v>726.32</v>
      </c>
      <c r="BI63" s="23">
        <f t="shared" si="23"/>
        <v>765.79</v>
      </c>
      <c r="BJ63" s="23">
        <f t="shared" si="24"/>
        <v>0</v>
      </c>
      <c r="BK63" s="23">
        <f t="shared" si="25"/>
        <v>47.37</v>
      </c>
      <c r="BL63" s="23">
        <f t="shared" si="26"/>
        <v>303.95</v>
      </c>
      <c r="BM63" s="23">
        <f t="shared" si="27"/>
        <v>0</v>
      </c>
      <c r="BN63" s="23">
        <f t="shared" si="28"/>
        <v>0</v>
      </c>
      <c r="BO63" s="23">
        <f t="shared" si="29"/>
        <v>0</v>
      </c>
      <c r="BP63" s="23">
        <f t="shared" si="30"/>
        <v>0</v>
      </c>
      <c r="BQ63" s="23">
        <f t="shared" si="31"/>
        <v>0</v>
      </c>
      <c r="BR63" s="23">
        <f t="shared" si="32"/>
        <v>276.83999999999997</v>
      </c>
      <c r="BS63" s="23">
        <f t="shared" si="33"/>
        <v>0</v>
      </c>
      <c r="BT63" s="23">
        <f t="shared" si="39"/>
        <v>-39.47</v>
      </c>
      <c r="BU63" s="23">
        <f t="shared" si="39"/>
        <v>30.99</v>
      </c>
      <c r="BV63" s="23">
        <f t="shared" si="39"/>
        <v>8647.0400000000009</v>
      </c>
      <c r="BW63" s="23">
        <f t="shared" si="39"/>
        <v>9357.44</v>
      </c>
      <c r="BX63" s="23">
        <f t="shared" si="39"/>
        <v>9371.9500000000007</v>
      </c>
      <c r="BY63" t="s">
        <v>271</v>
      </c>
      <c r="CB63" s="40">
        <v>4.4999999999999998E-2</v>
      </c>
      <c r="CC63" s="36">
        <v>0.09</v>
      </c>
      <c r="CD63" s="36">
        <v>0</v>
      </c>
      <c r="CE63" t="s">
        <v>266</v>
      </c>
      <c r="CF63" t="s">
        <v>267</v>
      </c>
      <c r="CG63" t="s">
        <v>267</v>
      </c>
      <c r="CH63" t="s">
        <v>267</v>
      </c>
      <c r="CI63" t="s">
        <v>267</v>
      </c>
      <c r="CJ63" t="s">
        <v>267</v>
      </c>
      <c r="CK63" t="s">
        <v>266</v>
      </c>
      <c r="CL63" t="s">
        <v>266</v>
      </c>
      <c r="CM63" t="s">
        <v>285</v>
      </c>
      <c r="CN63" t="s">
        <v>267</v>
      </c>
      <c r="CO63" t="s">
        <v>266</v>
      </c>
    </row>
    <row r="64" spans="1:95" x14ac:dyDescent="0.25">
      <c r="A64" s="2" t="s">
        <v>70</v>
      </c>
      <c r="B64" s="17">
        <v>10.6</v>
      </c>
      <c r="C64" s="17">
        <v>0</v>
      </c>
      <c r="D64" s="17">
        <v>0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3.2</v>
      </c>
      <c r="M64" s="17">
        <v>0</v>
      </c>
      <c r="N64" s="17">
        <v>0</v>
      </c>
      <c r="O64" s="17">
        <v>41</v>
      </c>
      <c r="P64" s="17">
        <v>9</v>
      </c>
      <c r="Q64" s="17">
        <v>0</v>
      </c>
      <c r="R64" s="17">
        <v>5</v>
      </c>
      <c r="S64" s="17">
        <v>0</v>
      </c>
      <c r="T64" s="17">
        <v>0</v>
      </c>
      <c r="U64" s="17">
        <v>0</v>
      </c>
      <c r="V64" s="17">
        <f t="shared" si="35"/>
        <v>68.8</v>
      </c>
      <c r="W64" s="18">
        <v>71.8</v>
      </c>
      <c r="X64" s="17">
        <v>0</v>
      </c>
      <c r="Y64" s="19">
        <v>4.5</v>
      </c>
      <c r="Z64" s="19">
        <v>28.306250000000002</v>
      </c>
      <c r="AA64" s="17">
        <v>0</v>
      </c>
      <c r="AB64" s="17">
        <v>0</v>
      </c>
      <c r="AC64" s="17">
        <v>0</v>
      </c>
      <c r="AD64" s="17">
        <v>0</v>
      </c>
      <c r="AE64" s="17">
        <v>0</v>
      </c>
      <c r="AF64" s="19">
        <v>26.2</v>
      </c>
      <c r="AG64" s="17">
        <v>0</v>
      </c>
      <c r="AH64" s="17">
        <f t="shared" si="36"/>
        <v>-3</v>
      </c>
      <c r="AI64" s="20">
        <v>1.4437499999999979</v>
      </c>
      <c r="AJ64" s="21">
        <v>820.65625000000011</v>
      </c>
      <c r="AK64" s="22">
        <v>909.31794336567236</v>
      </c>
      <c r="AL64" s="22">
        <v>945.90551662012706</v>
      </c>
      <c r="AM64" s="16">
        <v>9.3000000000000007</v>
      </c>
      <c r="AN64" s="23">
        <f t="shared" si="2"/>
        <v>113.98</v>
      </c>
      <c r="AO64" s="23">
        <f t="shared" si="3"/>
        <v>0</v>
      </c>
      <c r="AP64" s="23">
        <f t="shared" si="4"/>
        <v>0</v>
      </c>
      <c r="AQ64" s="23">
        <f t="shared" si="5"/>
        <v>0</v>
      </c>
      <c r="AR64" s="23">
        <f t="shared" si="6"/>
        <v>0</v>
      </c>
      <c r="AS64" s="23">
        <f t="shared" si="7"/>
        <v>0</v>
      </c>
      <c r="AT64" s="23">
        <f t="shared" si="8"/>
        <v>0</v>
      </c>
      <c r="AU64" s="23">
        <f t="shared" si="9"/>
        <v>0</v>
      </c>
      <c r="AV64" s="23">
        <f t="shared" si="10"/>
        <v>0</v>
      </c>
      <c r="AW64" s="23">
        <f t="shared" si="11"/>
        <v>0</v>
      </c>
      <c r="AX64" s="23">
        <f t="shared" si="12"/>
        <v>34.409999999999997</v>
      </c>
      <c r="AY64" s="23">
        <f t="shared" si="13"/>
        <v>0</v>
      </c>
      <c r="AZ64" s="23">
        <f t="shared" si="14"/>
        <v>0</v>
      </c>
      <c r="BA64" s="23">
        <f t="shared" si="15"/>
        <v>440.86</v>
      </c>
      <c r="BB64" s="23">
        <f t="shared" si="16"/>
        <v>96.77</v>
      </c>
      <c r="BC64" s="23">
        <f t="shared" si="17"/>
        <v>0</v>
      </c>
      <c r="BD64" s="23">
        <f t="shared" si="18"/>
        <v>53.76</v>
      </c>
      <c r="BE64" s="23">
        <f t="shared" si="19"/>
        <v>0</v>
      </c>
      <c r="BF64" s="23">
        <f t="shared" si="20"/>
        <v>0</v>
      </c>
      <c r="BG64" s="23">
        <f t="shared" si="21"/>
        <v>0</v>
      </c>
      <c r="BH64" s="23">
        <f t="shared" si="22"/>
        <v>739.78</v>
      </c>
      <c r="BI64" s="23">
        <f t="shared" si="23"/>
        <v>772.04</v>
      </c>
      <c r="BJ64" s="23">
        <f t="shared" si="24"/>
        <v>0</v>
      </c>
      <c r="BK64" s="23">
        <f t="shared" si="25"/>
        <v>48.39</v>
      </c>
      <c r="BL64" s="23">
        <f t="shared" si="26"/>
        <v>304.37</v>
      </c>
      <c r="BM64" s="23">
        <f t="shared" si="27"/>
        <v>0</v>
      </c>
      <c r="BN64" s="23">
        <f t="shared" si="28"/>
        <v>0</v>
      </c>
      <c r="BO64" s="23">
        <f t="shared" si="29"/>
        <v>0</v>
      </c>
      <c r="BP64" s="23">
        <f t="shared" si="30"/>
        <v>0</v>
      </c>
      <c r="BQ64" s="23">
        <f t="shared" si="31"/>
        <v>0</v>
      </c>
      <c r="BR64" s="23">
        <f t="shared" si="32"/>
        <v>281.72000000000003</v>
      </c>
      <c r="BS64" s="23">
        <f t="shared" si="33"/>
        <v>0</v>
      </c>
      <c r="BT64" s="23">
        <f t="shared" si="39"/>
        <v>-32.26</v>
      </c>
      <c r="BU64" s="23">
        <f t="shared" si="39"/>
        <v>15.52</v>
      </c>
      <c r="BV64" s="23">
        <f t="shared" si="39"/>
        <v>8824.26</v>
      </c>
      <c r="BW64" s="23">
        <f t="shared" si="39"/>
        <v>9777.61</v>
      </c>
      <c r="BX64" s="23">
        <f t="shared" si="39"/>
        <v>10171.030000000001</v>
      </c>
      <c r="BY64" t="s">
        <v>271</v>
      </c>
      <c r="CB64" s="40">
        <v>4.4999999999999998E-2</v>
      </c>
      <c r="CC64" s="36">
        <v>0.09</v>
      </c>
      <c r="CD64" s="36">
        <v>0</v>
      </c>
      <c r="CE64" t="s">
        <v>266</v>
      </c>
      <c r="CF64" t="s">
        <v>267</v>
      </c>
      <c r="CG64" t="s">
        <v>267</v>
      </c>
      <c r="CH64" t="s">
        <v>267</v>
      </c>
      <c r="CI64" t="s">
        <v>267</v>
      </c>
      <c r="CJ64" t="s">
        <v>267</v>
      </c>
      <c r="CK64" t="s">
        <v>266</v>
      </c>
      <c r="CL64" t="s">
        <v>266</v>
      </c>
      <c r="CM64" t="s">
        <v>285</v>
      </c>
      <c r="CN64" t="s">
        <v>267</v>
      </c>
      <c r="CO64" t="s">
        <v>266</v>
      </c>
    </row>
    <row r="65" spans="1:93" x14ac:dyDescent="0.25">
      <c r="A65" s="2" t="s">
        <v>71</v>
      </c>
      <c r="B65" s="17">
        <v>9.1</v>
      </c>
      <c r="C65" s="17">
        <v>0</v>
      </c>
      <c r="D65" s="17">
        <v>0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3.2</v>
      </c>
      <c r="M65" s="17">
        <v>0</v>
      </c>
      <c r="N65" s="17">
        <v>0</v>
      </c>
      <c r="O65" s="17">
        <v>41</v>
      </c>
      <c r="P65" s="17">
        <v>9.3000000000000007</v>
      </c>
      <c r="Q65" s="17">
        <v>0</v>
      </c>
      <c r="R65" s="17">
        <v>5.8000000000000114</v>
      </c>
      <c r="S65" s="17">
        <v>0</v>
      </c>
      <c r="T65" s="17">
        <v>0</v>
      </c>
      <c r="U65" s="17">
        <v>0</v>
      </c>
      <c r="V65" s="17">
        <f t="shared" si="35"/>
        <v>68.400000000000006</v>
      </c>
      <c r="W65" s="18">
        <v>69.674999999999997</v>
      </c>
      <c r="X65" s="17">
        <v>0</v>
      </c>
      <c r="Y65" s="19">
        <v>4.75</v>
      </c>
      <c r="Z65" s="19">
        <v>26.612500000000001</v>
      </c>
      <c r="AA65" s="17">
        <v>0</v>
      </c>
      <c r="AB65" s="17">
        <v>0</v>
      </c>
      <c r="AC65" s="17">
        <v>0</v>
      </c>
      <c r="AD65" s="17">
        <v>0</v>
      </c>
      <c r="AE65" s="17">
        <v>0</v>
      </c>
      <c r="AF65" s="19">
        <v>26.2</v>
      </c>
      <c r="AG65" s="17">
        <v>0</v>
      </c>
      <c r="AH65" s="17">
        <f t="shared" si="36"/>
        <v>-1.2749999999999915</v>
      </c>
      <c r="AI65" s="20">
        <v>0.39375000000000698</v>
      </c>
      <c r="AJ65" s="21">
        <v>817.16250000000002</v>
      </c>
      <c r="AK65" s="22">
        <v>976.20620944470807</v>
      </c>
      <c r="AL65" s="22">
        <v>1000.2200218394153</v>
      </c>
      <c r="AM65" s="16">
        <v>9</v>
      </c>
      <c r="AN65" s="23">
        <f t="shared" si="2"/>
        <v>101.11</v>
      </c>
      <c r="AO65" s="23">
        <f t="shared" si="3"/>
        <v>0</v>
      </c>
      <c r="AP65" s="23">
        <f t="shared" si="4"/>
        <v>0</v>
      </c>
      <c r="AQ65" s="23">
        <f t="shared" si="5"/>
        <v>0</v>
      </c>
      <c r="AR65" s="23">
        <f t="shared" si="6"/>
        <v>0</v>
      </c>
      <c r="AS65" s="23">
        <f t="shared" si="7"/>
        <v>0</v>
      </c>
      <c r="AT65" s="23">
        <f t="shared" si="8"/>
        <v>0</v>
      </c>
      <c r="AU65" s="23">
        <f t="shared" si="9"/>
        <v>0</v>
      </c>
      <c r="AV65" s="23">
        <f t="shared" si="10"/>
        <v>0</v>
      </c>
      <c r="AW65" s="23">
        <f t="shared" si="11"/>
        <v>0</v>
      </c>
      <c r="AX65" s="23">
        <f t="shared" si="12"/>
        <v>35.56</v>
      </c>
      <c r="AY65" s="23">
        <f t="shared" si="13"/>
        <v>0</v>
      </c>
      <c r="AZ65" s="23">
        <f t="shared" si="14"/>
        <v>0</v>
      </c>
      <c r="BA65" s="23">
        <f t="shared" si="15"/>
        <v>455.56</v>
      </c>
      <c r="BB65" s="23">
        <f t="shared" si="16"/>
        <v>103.33</v>
      </c>
      <c r="BC65" s="23">
        <f t="shared" si="17"/>
        <v>0</v>
      </c>
      <c r="BD65" s="23">
        <f t="shared" si="18"/>
        <v>64.44</v>
      </c>
      <c r="BE65" s="23">
        <f t="shared" si="19"/>
        <v>0</v>
      </c>
      <c r="BF65" s="23">
        <f t="shared" si="20"/>
        <v>0</v>
      </c>
      <c r="BG65" s="23">
        <f t="shared" si="21"/>
        <v>0</v>
      </c>
      <c r="BH65" s="23">
        <f t="shared" si="22"/>
        <v>760</v>
      </c>
      <c r="BI65" s="23">
        <f t="shared" si="23"/>
        <v>774.17</v>
      </c>
      <c r="BJ65" s="23">
        <f t="shared" si="24"/>
        <v>0</v>
      </c>
      <c r="BK65" s="23">
        <f t="shared" si="25"/>
        <v>52.78</v>
      </c>
      <c r="BL65" s="23">
        <f t="shared" si="26"/>
        <v>295.69</v>
      </c>
      <c r="BM65" s="23">
        <f t="shared" si="27"/>
        <v>0</v>
      </c>
      <c r="BN65" s="23">
        <f t="shared" si="28"/>
        <v>0</v>
      </c>
      <c r="BO65" s="23">
        <f t="shared" si="29"/>
        <v>0</v>
      </c>
      <c r="BP65" s="23">
        <f t="shared" si="30"/>
        <v>0</v>
      </c>
      <c r="BQ65" s="23">
        <f t="shared" si="31"/>
        <v>0</v>
      </c>
      <c r="BR65" s="23">
        <f t="shared" si="32"/>
        <v>291.11</v>
      </c>
      <c r="BS65" s="23">
        <f t="shared" si="33"/>
        <v>0</v>
      </c>
      <c r="BT65" s="23">
        <f t="shared" si="39"/>
        <v>-14.17</v>
      </c>
      <c r="BU65" s="23">
        <f t="shared" si="39"/>
        <v>4.38</v>
      </c>
      <c r="BV65" s="23">
        <f t="shared" si="39"/>
        <v>9079.58</v>
      </c>
      <c r="BW65" s="23">
        <f t="shared" si="39"/>
        <v>10846.74</v>
      </c>
      <c r="BX65" s="23">
        <f t="shared" si="39"/>
        <v>11113.56</v>
      </c>
      <c r="BY65" t="s">
        <v>271</v>
      </c>
      <c r="CB65" s="40">
        <v>4.4999999999999998E-2</v>
      </c>
      <c r="CC65" s="36">
        <v>0.09</v>
      </c>
      <c r="CD65" s="36">
        <v>0</v>
      </c>
      <c r="CE65" t="s">
        <v>266</v>
      </c>
      <c r="CF65" t="s">
        <v>267</v>
      </c>
      <c r="CG65" t="s">
        <v>267</v>
      </c>
      <c r="CH65" t="s">
        <v>267</v>
      </c>
      <c r="CI65" t="s">
        <v>267</v>
      </c>
      <c r="CJ65" t="s">
        <v>267</v>
      </c>
      <c r="CK65" t="s">
        <v>266</v>
      </c>
      <c r="CL65" t="s">
        <v>266</v>
      </c>
      <c r="CM65" t="s">
        <v>285</v>
      </c>
      <c r="CN65" t="s">
        <v>267</v>
      </c>
      <c r="CO65" t="s">
        <v>266</v>
      </c>
    </row>
    <row r="66" spans="1:93" x14ac:dyDescent="0.25">
      <c r="A66" s="2" t="s">
        <v>72</v>
      </c>
      <c r="B66" s="17">
        <v>8</v>
      </c>
      <c r="C66" s="17">
        <v>0</v>
      </c>
      <c r="D66" s="17">
        <v>0</v>
      </c>
      <c r="E66" s="17">
        <v>0</v>
      </c>
      <c r="F66" s="17">
        <v>0</v>
      </c>
      <c r="G66" s="17">
        <v>0</v>
      </c>
      <c r="H66" s="17">
        <v>0</v>
      </c>
      <c r="I66" s="17">
        <v>0</v>
      </c>
      <c r="J66" s="17">
        <v>0</v>
      </c>
      <c r="K66" s="17">
        <v>0</v>
      </c>
      <c r="L66" s="17">
        <v>3.3</v>
      </c>
      <c r="M66" s="17">
        <v>0</v>
      </c>
      <c r="N66" s="17">
        <v>0</v>
      </c>
      <c r="O66" s="17">
        <v>43</v>
      </c>
      <c r="P66" s="17">
        <v>9.5</v>
      </c>
      <c r="Q66" s="17">
        <v>0</v>
      </c>
      <c r="R66" s="17">
        <v>4.9000000000000057</v>
      </c>
      <c r="S66" s="17">
        <v>0</v>
      </c>
      <c r="T66" s="17">
        <v>0</v>
      </c>
      <c r="U66" s="17">
        <v>0</v>
      </c>
      <c r="V66" s="17">
        <f t="shared" si="35"/>
        <v>68.7</v>
      </c>
      <c r="W66" s="18">
        <v>67.625</v>
      </c>
      <c r="X66" s="17">
        <v>0</v>
      </c>
      <c r="Y66" s="19">
        <v>5.75</v>
      </c>
      <c r="Z66" s="19">
        <v>25.731249999999999</v>
      </c>
      <c r="AA66" s="17">
        <v>0</v>
      </c>
      <c r="AB66" s="17">
        <v>0</v>
      </c>
      <c r="AC66" s="17">
        <v>0</v>
      </c>
      <c r="AD66" s="17">
        <v>0</v>
      </c>
      <c r="AE66" s="17">
        <v>0</v>
      </c>
      <c r="AF66" s="19">
        <v>26.4</v>
      </c>
      <c r="AG66" s="17">
        <v>0</v>
      </c>
      <c r="AH66" s="17">
        <f t="shared" si="36"/>
        <v>1.0750000000000028</v>
      </c>
      <c r="AI66" s="20">
        <v>1.0375000000000101</v>
      </c>
      <c r="AJ66" s="21">
        <v>811.8</v>
      </c>
      <c r="AK66" s="22">
        <v>1016.2482227515294</v>
      </c>
      <c r="AL66" s="22">
        <v>1024.2908121810503</v>
      </c>
      <c r="AM66" s="16">
        <v>8.9</v>
      </c>
      <c r="AN66" s="23">
        <f t="shared" ref="AN66:AN129" si="40">_xlfn.SINGLE(ROUND((B66/$AM66)*100,2))</f>
        <v>89.89</v>
      </c>
      <c r="AO66" s="23">
        <f t="shared" ref="AO66:AO129" si="41">_xlfn.SINGLE(ROUND((C66/$AM66)*100,2))</f>
        <v>0</v>
      </c>
      <c r="AP66" s="23">
        <f t="shared" ref="AP66:AP129" si="42">_xlfn.SINGLE(ROUND((D66/$AM66)*100,2))</f>
        <v>0</v>
      </c>
      <c r="AQ66" s="23">
        <f t="shared" ref="AQ66:AQ129" si="43">_xlfn.SINGLE(ROUND((E66/$AM66)*100,2))</f>
        <v>0</v>
      </c>
      <c r="AR66" s="23">
        <f t="shared" ref="AR66:AR129" si="44">_xlfn.SINGLE(ROUND((F66/$AM66)*100,2))</f>
        <v>0</v>
      </c>
      <c r="AS66" s="23">
        <f t="shared" ref="AS66:AS129" si="45">_xlfn.SINGLE(ROUND((G66/$AM66)*100,2))</f>
        <v>0</v>
      </c>
      <c r="AT66" s="23">
        <f t="shared" ref="AT66:AT129" si="46">_xlfn.SINGLE(ROUND((H66/$AM66)*100,2))</f>
        <v>0</v>
      </c>
      <c r="AU66" s="23">
        <f t="shared" ref="AU66:AU129" si="47">_xlfn.SINGLE(ROUND((I66/$AM66)*100,2))</f>
        <v>0</v>
      </c>
      <c r="AV66" s="23">
        <f t="shared" ref="AV66:AV129" si="48">_xlfn.SINGLE(ROUND((J66/$AM66)*100,2))</f>
        <v>0</v>
      </c>
      <c r="AW66" s="23">
        <f t="shared" ref="AW66:AW129" si="49">_xlfn.SINGLE(ROUND((K66/$AM66)*100,2))</f>
        <v>0</v>
      </c>
      <c r="AX66" s="23">
        <f t="shared" ref="AX66:AX129" si="50">_xlfn.SINGLE(ROUND((L66/$AM66)*100,2))</f>
        <v>37.08</v>
      </c>
      <c r="AY66" s="23">
        <f t="shared" ref="AY66:AY129" si="51">_xlfn.SINGLE(ROUND((M66/$AM66)*100,2))</f>
        <v>0</v>
      </c>
      <c r="AZ66" s="23">
        <f t="shared" ref="AZ66:AZ129" si="52">_xlfn.SINGLE(ROUND((N66/$AM66)*100,2))</f>
        <v>0</v>
      </c>
      <c r="BA66" s="23">
        <f t="shared" ref="BA66:BA129" si="53">_xlfn.SINGLE(ROUND((O66/$AM66)*100,2))</f>
        <v>483.15</v>
      </c>
      <c r="BB66" s="23">
        <f t="shared" ref="BB66:BB129" si="54">_xlfn.SINGLE(ROUND((P66/$AM66)*100,2))</f>
        <v>106.74</v>
      </c>
      <c r="BC66" s="23">
        <f t="shared" ref="BC66:BC129" si="55">_xlfn.SINGLE(ROUND((Q66/$AM66)*100,2))</f>
        <v>0</v>
      </c>
      <c r="BD66" s="23">
        <f t="shared" ref="BD66:BD129" si="56">_xlfn.SINGLE(ROUND((R66/$AM66)*100,2))</f>
        <v>55.06</v>
      </c>
      <c r="BE66" s="23">
        <f t="shared" ref="BE66:BE129" si="57">_xlfn.SINGLE(ROUND((S66/$AM66)*100,2))</f>
        <v>0</v>
      </c>
      <c r="BF66" s="23">
        <f t="shared" ref="BF66:BF129" si="58">_xlfn.SINGLE(ROUND((T66/$AM66)*100,2))</f>
        <v>0</v>
      </c>
      <c r="BG66" s="23">
        <f t="shared" ref="BG66:BG129" si="59">_xlfn.SINGLE(ROUND((U66/$AM66)*100,2))</f>
        <v>0</v>
      </c>
      <c r="BH66" s="23">
        <f t="shared" ref="BH66:BH129" si="60">_xlfn.SINGLE(ROUND((V66/$AM66)*100,2))</f>
        <v>771.91</v>
      </c>
      <c r="BI66" s="23">
        <f t="shared" ref="BI66:BI129" si="61">_xlfn.SINGLE(ROUND((W66/$AM66)*100,2))</f>
        <v>759.83</v>
      </c>
      <c r="BJ66" s="23">
        <f t="shared" ref="BJ66:BJ129" si="62">_xlfn.SINGLE(ROUND((X66/$AM66)*100,2))</f>
        <v>0</v>
      </c>
      <c r="BK66" s="23">
        <f t="shared" ref="BK66:BK129" si="63">_xlfn.SINGLE(ROUND((Y66/$AM66)*100,2))</f>
        <v>64.61</v>
      </c>
      <c r="BL66" s="23">
        <f t="shared" ref="BL66:BL129" si="64">_xlfn.SINGLE(ROUND((Z66/$AM66)*100,2))</f>
        <v>289.12</v>
      </c>
      <c r="BM66" s="23">
        <f t="shared" ref="BM66:BM129" si="65">_xlfn.SINGLE(ROUND((AA66/$AM66)*100,2))</f>
        <v>0</v>
      </c>
      <c r="BN66" s="23">
        <f t="shared" ref="BN66:BN129" si="66">_xlfn.SINGLE(ROUND((AB66/$AM66)*100,2))</f>
        <v>0</v>
      </c>
      <c r="BO66" s="23">
        <f t="shared" ref="BO66:BO129" si="67">_xlfn.SINGLE(ROUND((AC66/$AM66)*100,2))</f>
        <v>0</v>
      </c>
      <c r="BP66" s="23">
        <f t="shared" ref="BP66:BP129" si="68">_xlfn.SINGLE(ROUND((AD66/$AM66)*100,2))</f>
        <v>0</v>
      </c>
      <c r="BQ66" s="23">
        <f t="shared" ref="BQ66:BQ129" si="69">_xlfn.SINGLE(ROUND((AE66/$AM66)*100,2))</f>
        <v>0</v>
      </c>
      <c r="BR66" s="23">
        <f t="shared" ref="BR66:BR129" si="70">_xlfn.SINGLE(ROUND((AF66/$AM66)*100,2))</f>
        <v>296.63</v>
      </c>
      <c r="BS66" s="23">
        <f t="shared" ref="BS66:BS129" si="71">_xlfn.SINGLE(ROUND((AG66/$AM66)*100,2))</f>
        <v>0</v>
      </c>
      <c r="BT66" s="23">
        <f t="shared" ref="BT66:BX81" si="72">_xlfn.SINGLE(ROUND((AH66/$AM66)*100,2))</f>
        <v>12.08</v>
      </c>
      <c r="BU66" s="23">
        <f t="shared" si="72"/>
        <v>11.66</v>
      </c>
      <c r="BV66" s="23">
        <f t="shared" si="72"/>
        <v>9121.35</v>
      </c>
      <c r="BW66" s="23">
        <f t="shared" si="72"/>
        <v>11418.52</v>
      </c>
      <c r="BX66" s="23">
        <f t="shared" si="72"/>
        <v>11508.89</v>
      </c>
      <c r="BY66" t="s">
        <v>271</v>
      </c>
      <c r="CB66" s="40">
        <v>4.4999999999999998E-2</v>
      </c>
      <c r="CC66" s="36">
        <v>0.09</v>
      </c>
      <c r="CD66" s="36">
        <v>0</v>
      </c>
      <c r="CE66" t="s">
        <v>266</v>
      </c>
      <c r="CF66" t="s">
        <v>267</v>
      </c>
      <c r="CG66" t="s">
        <v>267</v>
      </c>
      <c r="CH66" t="s">
        <v>267</v>
      </c>
      <c r="CI66" t="s">
        <v>267</v>
      </c>
      <c r="CJ66" t="s">
        <v>267</v>
      </c>
      <c r="CK66" t="s">
        <v>266</v>
      </c>
      <c r="CL66" t="s">
        <v>266</v>
      </c>
      <c r="CM66" t="s">
        <v>285</v>
      </c>
      <c r="CN66" t="s">
        <v>267</v>
      </c>
      <c r="CO66" t="s">
        <v>266</v>
      </c>
    </row>
    <row r="67" spans="1:93" x14ac:dyDescent="0.25">
      <c r="A67" s="2" t="s">
        <v>73</v>
      </c>
      <c r="B67" s="17">
        <v>6.4</v>
      </c>
      <c r="C67" s="17">
        <v>0</v>
      </c>
      <c r="D67" s="17">
        <v>0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3.4</v>
      </c>
      <c r="M67" s="17">
        <v>0</v>
      </c>
      <c r="N67" s="17">
        <v>0</v>
      </c>
      <c r="O67" s="17">
        <v>41</v>
      </c>
      <c r="P67" s="17">
        <v>9.6</v>
      </c>
      <c r="Q67" s="17">
        <v>0</v>
      </c>
      <c r="R67" s="17">
        <v>5.6999999999999886</v>
      </c>
      <c r="S67" s="17">
        <v>0</v>
      </c>
      <c r="T67" s="17">
        <v>0</v>
      </c>
      <c r="U67" s="17">
        <v>0</v>
      </c>
      <c r="V67" s="17">
        <f t="shared" ref="V67:V130" si="73">SUM(B67:T67)</f>
        <v>66.099999999999994</v>
      </c>
      <c r="W67" s="18">
        <v>66.949999999999989</v>
      </c>
      <c r="X67" s="17">
        <v>0</v>
      </c>
      <c r="Y67" s="19">
        <v>6.75</v>
      </c>
      <c r="Z67" s="19">
        <v>25.131250000000001</v>
      </c>
      <c r="AA67" s="17">
        <v>0</v>
      </c>
      <c r="AB67" s="17">
        <v>0</v>
      </c>
      <c r="AC67" s="17">
        <v>0</v>
      </c>
      <c r="AD67" s="17">
        <v>0</v>
      </c>
      <c r="AE67" s="17">
        <v>0</v>
      </c>
      <c r="AF67" s="19">
        <v>26.2</v>
      </c>
      <c r="AG67" s="17">
        <v>0</v>
      </c>
      <c r="AH67" s="17">
        <f t="shared" ref="AH67:AH130" si="74">V67-W67</f>
        <v>-0.84999999999999432</v>
      </c>
      <c r="AI67" s="20">
        <v>0.16249999999999701</v>
      </c>
      <c r="AJ67" s="21">
        <v>804.67499999999995</v>
      </c>
      <c r="AK67" s="22">
        <v>1036.5405160149585</v>
      </c>
      <c r="AL67" s="22">
        <v>1052.9973342532539</v>
      </c>
      <c r="AM67" s="16">
        <v>9</v>
      </c>
      <c r="AN67" s="23">
        <f t="shared" si="40"/>
        <v>71.11</v>
      </c>
      <c r="AO67" s="23">
        <f t="shared" si="41"/>
        <v>0</v>
      </c>
      <c r="AP67" s="23">
        <f t="shared" si="42"/>
        <v>0</v>
      </c>
      <c r="AQ67" s="23">
        <f t="shared" si="43"/>
        <v>0</v>
      </c>
      <c r="AR67" s="23">
        <f t="shared" si="44"/>
        <v>0</v>
      </c>
      <c r="AS67" s="23">
        <f t="shared" si="45"/>
        <v>0</v>
      </c>
      <c r="AT67" s="23">
        <f t="shared" si="46"/>
        <v>0</v>
      </c>
      <c r="AU67" s="23">
        <f t="shared" si="47"/>
        <v>0</v>
      </c>
      <c r="AV67" s="23">
        <f t="shared" si="48"/>
        <v>0</v>
      </c>
      <c r="AW67" s="23">
        <f t="shared" si="49"/>
        <v>0</v>
      </c>
      <c r="AX67" s="23">
        <f t="shared" si="50"/>
        <v>37.78</v>
      </c>
      <c r="AY67" s="23">
        <f t="shared" si="51"/>
        <v>0</v>
      </c>
      <c r="AZ67" s="23">
        <f t="shared" si="52"/>
        <v>0</v>
      </c>
      <c r="BA67" s="23">
        <f t="shared" si="53"/>
        <v>455.56</v>
      </c>
      <c r="BB67" s="23">
        <f t="shared" si="54"/>
        <v>106.67</v>
      </c>
      <c r="BC67" s="23">
        <f t="shared" si="55"/>
        <v>0</v>
      </c>
      <c r="BD67" s="23">
        <f t="shared" si="56"/>
        <v>63.33</v>
      </c>
      <c r="BE67" s="23">
        <f t="shared" si="57"/>
        <v>0</v>
      </c>
      <c r="BF67" s="23">
        <f t="shared" si="58"/>
        <v>0</v>
      </c>
      <c r="BG67" s="23">
        <f t="shared" si="59"/>
        <v>0</v>
      </c>
      <c r="BH67" s="23">
        <f t="shared" si="60"/>
        <v>734.44</v>
      </c>
      <c r="BI67" s="23">
        <f t="shared" si="61"/>
        <v>743.89</v>
      </c>
      <c r="BJ67" s="23">
        <f t="shared" si="62"/>
        <v>0</v>
      </c>
      <c r="BK67" s="23">
        <f t="shared" si="63"/>
        <v>75</v>
      </c>
      <c r="BL67" s="23">
        <f t="shared" si="64"/>
        <v>279.24</v>
      </c>
      <c r="BM67" s="23">
        <f t="shared" si="65"/>
        <v>0</v>
      </c>
      <c r="BN67" s="23">
        <f t="shared" si="66"/>
        <v>0</v>
      </c>
      <c r="BO67" s="23">
        <f t="shared" si="67"/>
        <v>0</v>
      </c>
      <c r="BP67" s="23">
        <f t="shared" si="68"/>
        <v>0</v>
      </c>
      <c r="BQ67" s="23">
        <f t="shared" si="69"/>
        <v>0</v>
      </c>
      <c r="BR67" s="23">
        <f t="shared" si="70"/>
        <v>291.11</v>
      </c>
      <c r="BS67" s="23">
        <f t="shared" si="71"/>
        <v>0</v>
      </c>
      <c r="BT67" s="23">
        <f t="shared" si="72"/>
        <v>-9.44</v>
      </c>
      <c r="BU67" s="23">
        <f t="shared" si="72"/>
        <v>1.81</v>
      </c>
      <c r="BV67" s="23">
        <f t="shared" si="72"/>
        <v>8940.83</v>
      </c>
      <c r="BW67" s="23">
        <f t="shared" si="72"/>
        <v>11517.12</v>
      </c>
      <c r="BX67" s="23">
        <f t="shared" si="72"/>
        <v>11699.97</v>
      </c>
      <c r="BY67" t="s">
        <v>271</v>
      </c>
      <c r="CB67" s="40">
        <v>4.4999999999999998E-2</v>
      </c>
      <c r="CC67" s="36">
        <v>0.09</v>
      </c>
      <c r="CD67" s="36">
        <v>0</v>
      </c>
      <c r="CE67" t="s">
        <v>266</v>
      </c>
      <c r="CF67" t="s">
        <v>267</v>
      </c>
      <c r="CG67" t="s">
        <v>267</v>
      </c>
      <c r="CH67" t="s">
        <v>267</v>
      </c>
      <c r="CI67" t="s">
        <v>267</v>
      </c>
      <c r="CJ67" t="s">
        <v>267</v>
      </c>
      <c r="CK67" t="s">
        <v>266</v>
      </c>
      <c r="CL67" t="s">
        <v>266</v>
      </c>
      <c r="CM67" t="s">
        <v>285</v>
      </c>
      <c r="CN67" t="s">
        <v>267</v>
      </c>
      <c r="CO67" t="s">
        <v>266</v>
      </c>
    </row>
    <row r="68" spans="1:93" x14ac:dyDescent="0.25">
      <c r="A68" s="2" t="s">
        <v>74</v>
      </c>
      <c r="B68" s="17">
        <v>5.7</v>
      </c>
      <c r="C68" s="17">
        <v>0</v>
      </c>
      <c r="D68" s="17">
        <v>0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3.5</v>
      </c>
      <c r="M68" s="17">
        <v>0</v>
      </c>
      <c r="N68" s="17">
        <v>0</v>
      </c>
      <c r="O68" s="17">
        <v>43</v>
      </c>
      <c r="P68" s="17">
        <v>9.4</v>
      </c>
      <c r="Q68" s="17">
        <v>0</v>
      </c>
      <c r="R68" s="17">
        <v>6.2000000000000028</v>
      </c>
      <c r="S68" s="17">
        <v>0</v>
      </c>
      <c r="T68" s="17">
        <v>0</v>
      </c>
      <c r="U68" s="17">
        <v>0</v>
      </c>
      <c r="V68" s="17">
        <f t="shared" si="73"/>
        <v>67.800000000000011</v>
      </c>
      <c r="W68" s="18">
        <v>66.674999999999997</v>
      </c>
      <c r="X68" s="17">
        <v>0</v>
      </c>
      <c r="Y68" s="19">
        <v>7.25</v>
      </c>
      <c r="Z68" s="19">
        <v>25.837499999999999</v>
      </c>
      <c r="AA68" s="17">
        <v>0</v>
      </c>
      <c r="AB68" s="17">
        <v>0</v>
      </c>
      <c r="AC68" s="17">
        <v>0</v>
      </c>
      <c r="AD68" s="17">
        <v>0</v>
      </c>
      <c r="AE68" s="17">
        <v>0</v>
      </c>
      <c r="AF68" s="19">
        <v>26.1</v>
      </c>
      <c r="AG68" s="17">
        <v>0</v>
      </c>
      <c r="AH68" s="17">
        <f t="shared" si="74"/>
        <v>1.1250000000000142</v>
      </c>
      <c r="AI68" s="20">
        <v>0.45000000000000462</v>
      </c>
      <c r="AJ68" s="21">
        <v>800.78749999999991</v>
      </c>
      <c r="AK68" s="22">
        <v>1059.3564244172421</v>
      </c>
      <c r="AL68" s="22">
        <v>1055.6177865069235</v>
      </c>
      <c r="AM68" s="16">
        <v>9.5</v>
      </c>
      <c r="AN68" s="23">
        <f t="shared" si="40"/>
        <v>60</v>
      </c>
      <c r="AO68" s="23">
        <f t="shared" si="41"/>
        <v>0</v>
      </c>
      <c r="AP68" s="23">
        <f t="shared" si="42"/>
        <v>0</v>
      </c>
      <c r="AQ68" s="23">
        <f t="shared" si="43"/>
        <v>0</v>
      </c>
      <c r="AR68" s="23">
        <f t="shared" si="44"/>
        <v>0</v>
      </c>
      <c r="AS68" s="23">
        <f t="shared" si="45"/>
        <v>0</v>
      </c>
      <c r="AT68" s="23">
        <f t="shared" si="46"/>
        <v>0</v>
      </c>
      <c r="AU68" s="23">
        <f t="shared" si="47"/>
        <v>0</v>
      </c>
      <c r="AV68" s="23">
        <f t="shared" si="48"/>
        <v>0</v>
      </c>
      <c r="AW68" s="23">
        <f t="shared" si="49"/>
        <v>0</v>
      </c>
      <c r="AX68" s="23">
        <f t="shared" si="50"/>
        <v>36.840000000000003</v>
      </c>
      <c r="AY68" s="23">
        <f t="shared" si="51"/>
        <v>0</v>
      </c>
      <c r="AZ68" s="23">
        <f t="shared" si="52"/>
        <v>0</v>
      </c>
      <c r="BA68" s="23">
        <f t="shared" si="53"/>
        <v>452.63</v>
      </c>
      <c r="BB68" s="23">
        <f t="shared" si="54"/>
        <v>98.95</v>
      </c>
      <c r="BC68" s="23">
        <f t="shared" si="55"/>
        <v>0</v>
      </c>
      <c r="BD68" s="23">
        <f t="shared" si="56"/>
        <v>65.260000000000005</v>
      </c>
      <c r="BE68" s="23">
        <f t="shared" si="57"/>
        <v>0</v>
      </c>
      <c r="BF68" s="23">
        <f t="shared" si="58"/>
        <v>0</v>
      </c>
      <c r="BG68" s="23">
        <f t="shared" si="59"/>
        <v>0</v>
      </c>
      <c r="BH68" s="23">
        <f t="shared" si="60"/>
        <v>713.68</v>
      </c>
      <c r="BI68" s="23">
        <f t="shared" si="61"/>
        <v>701.84</v>
      </c>
      <c r="BJ68" s="23">
        <f t="shared" si="62"/>
        <v>0</v>
      </c>
      <c r="BK68" s="23">
        <f t="shared" si="63"/>
        <v>76.319999999999993</v>
      </c>
      <c r="BL68" s="23">
        <f t="shared" si="64"/>
        <v>271.97000000000003</v>
      </c>
      <c r="BM68" s="23">
        <f t="shared" si="65"/>
        <v>0</v>
      </c>
      <c r="BN68" s="23">
        <f t="shared" si="66"/>
        <v>0</v>
      </c>
      <c r="BO68" s="23">
        <f t="shared" si="67"/>
        <v>0</v>
      </c>
      <c r="BP68" s="23">
        <f t="shared" si="68"/>
        <v>0</v>
      </c>
      <c r="BQ68" s="23">
        <f t="shared" si="69"/>
        <v>0</v>
      </c>
      <c r="BR68" s="23">
        <f t="shared" si="70"/>
        <v>274.74</v>
      </c>
      <c r="BS68" s="23">
        <f t="shared" si="71"/>
        <v>0</v>
      </c>
      <c r="BT68" s="23">
        <f t="shared" si="72"/>
        <v>11.84</v>
      </c>
      <c r="BU68" s="23">
        <f t="shared" si="72"/>
        <v>4.74</v>
      </c>
      <c r="BV68" s="23">
        <f t="shared" si="72"/>
        <v>8429.34</v>
      </c>
      <c r="BW68" s="23">
        <f t="shared" si="72"/>
        <v>11151.12</v>
      </c>
      <c r="BX68" s="23">
        <f t="shared" si="72"/>
        <v>11111.77</v>
      </c>
      <c r="BY68" t="s">
        <v>271</v>
      </c>
      <c r="CA68">
        <v>1000000</v>
      </c>
      <c r="CB68" s="40">
        <v>4.4999999999999998E-2</v>
      </c>
      <c r="CC68" s="36">
        <v>0.09</v>
      </c>
      <c r="CD68" s="36">
        <v>0</v>
      </c>
      <c r="CE68" t="s">
        <v>266</v>
      </c>
      <c r="CF68" t="s">
        <v>267</v>
      </c>
      <c r="CG68" t="s">
        <v>267</v>
      </c>
      <c r="CH68" t="s">
        <v>267</v>
      </c>
      <c r="CI68" t="s">
        <v>267</v>
      </c>
      <c r="CJ68" t="s">
        <v>267</v>
      </c>
      <c r="CK68" t="s">
        <v>266</v>
      </c>
      <c r="CL68" t="s">
        <v>266</v>
      </c>
      <c r="CM68" t="s">
        <v>285</v>
      </c>
      <c r="CN68" t="s">
        <v>267</v>
      </c>
      <c r="CO68" t="s">
        <v>266</v>
      </c>
    </row>
    <row r="69" spans="1:93" x14ac:dyDescent="0.25">
      <c r="A69" s="2" t="s">
        <v>75</v>
      </c>
      <c r="B69" s="17">
        <v>6.2</v>
      </c>
      <c r="C69" s="17">
        <v>0</v>
      </c>
      <c r="D69" s="17">
        <v>0</v>
      </c>
      <c r="E69" s="17">
        <v>0</v>
      </c>
      <c r="F69" s="17">
        <v>0</v>
      </c>
      <c r="G69" s="17">
        <v>0</v>
      </c>
      <c r="H69" s="17">
        <v>0</v>
      </c>
      <c r="I69" s="17">
        <v>0</v>
      </c>
      <c r="J69" s="17">
        <v>0</v>
      </c>
      <c r="K69" s="17">
        <v>0</v>
      </c>
      <c r="L69" s="17">
        <v>3.5</v>
      </c>
      <c r="M69" s="17">
        <v>0</v>
      </c>
      <c r="N69" s="17">
        <v>0</v>
      </c>
      <c r="O69" s="17">
        <v>43</v>
      </c>
      <c r="P69" s="17">
        <v>9.5</v>
      </c>
      <c r="Q69" s="17">
        <v>0</v>
      </c>
      <c r="R69" s="17">
        <v>5.5999999999999943</v>
      </c>
      <c r="S69" s="17">
        <v>0</v>
      </c>
      <c r="T69" s="17">
        <v>0</v>
      </c>
      <c r="U69" s="17">
        <v>0</v>
      </c>
      <c r="V69" s="17">
        <f t="shared" si="73"/>
        <v>67.8</v>
      </c>
      <c r="W69" s="18">
        <v>76.675000000000011</v>
      </c>
      <c r="X69" s="17">
        <v>0</v>
      </c>
      <c r="Y69" s="19">
        <v>6.25</v>
      </c>
      <c r="Z69" s="19">
        <v>26.818750000000001</v>
      </c>
      <c r="AA69" s="17">
        <v>0</v>
      </c>
      <c r="AB69" s="17">
        <v>0</v>
      </c>
      <c r="AC69" s="17">
        <v>0</v>
      </c>
      <c r="AD69" s="17">
        <v>0</v>
      </c>
      <c r="AE69" s="17">
        <v>0</v>
      </c>
      <c r="AF69" s="19">
        <v>26.6</v>
      </c>
      <c r="AG69" s="17">
        <v>0</v>
      </c>
      <c r="AH69" s="17">
        <f t="shared" si="74"/>
        <v>-8.8750000000000142</v>
      </c>
      <c r="AI69" s="20">
        <v>3.2687500000000016</v>
      </c>
      <c r="AJ69" s="21">
        <v>798.38124999999991</v>
      </c>
      <c r="AK69" s="22">
        <v>1056.2763671655241</v>
      </c>
      <c r="AL69" s="22">
        <v>1061.3321663930444</v>
      </c>
      <c r="AM69" s="16">
        <v>10.1</v>
      </c>
      <c r="AN69" s="23">
        <f t="shared" si="40"/>
        <v>61.39</v>
      </c>
      <c r="AO69" s="23">
        <f t="shared" si="41"/>
        <v>0</v>
      </c>
      <c r="AP69" s="23">
        <f t="shared" si="42"/>
        <v>0</v>
      </c>
      <c r="AQ69" s="23">
        <f t="shared" si="43"/>
        <v>0</v>
      </c>
      <c r="AR69" s="23">
        <f t="shared" si="44"/>
        <v>0</v>
      </c>
      <c r="AS69" s="23">
        <f t="shared" si="45"/>
        <v>0</v>
      </c>
      <c r="AT69" s="23">
        <f t="shared" si="46"/>
        <v>0</v>
      </c>
      <c r="AU69" s="23">
        <f t="shared" si="47"/>
        <v>0</v>
      </c>
      <c r="AV69" s="23">
        <f t="shared" si="48"/>
        <v>0</v>
      </c>
      <c r="AW69" s="23">
        <f t="shared" si="49"/>
        <v>0</v>
      </c>
      <c r="AX69" s="23">
        <f t="shared" si="50"/>
        <v>34.65</v>
      </c>
      <c r="AY69" s="23">
        <f t="shared" si="51"/>
        <v>0</v>
      </c>
      <c r="AZ69" s="23">
        <f t="shared" si="52"/>
        <v>0</v>
      </c>
      <c r="BA69" s="23">
        <f t="shared" si="53"/>
        <v>425.74</v>
      </c>
      <c r="BB69" s="23">
        <f t="shared" si="54"/>
        <v>94.06</v>
      </c>
      <c r="BC69" s="23">
        <f t="shared" si="55"/>
        <v>0</v>
      </c>
      <c r="BD69" s="23">
        <f t="shared" si="56"/>
        <v>55.45</v>
      </c>
      <c r="BE69" s="23">
        <f t="shared" si="57"/>
        <v>0</v>
      </c>
      <c r="BF69" s="23">
        <f t="shared" si="58"/>
        <v>0</v>
      </c>
      <c r="BG69" s="23">
        <f t="shared" si="59"/>
        <v>0</v>
      </c>
      <c r="BH69" s="23">
        <f t="shared" si="60"/>
        <v>671.29</v>
      </c>
      <c r="BI69" s="23">
        <f t="shared" si="61"/>
        <v>759.16</v>
      </c>
      <c r="BJ69" s="23">
        <f t="shared" si="62"/>
        <v>0</v>
      </c>
      <c r="BK69" s="23">
        <f t="shared" si="63"/>
        <v>61.88</v>
      </c>
      <c r="BL69" s="23">
        <f t="shared" si="64"/>
        <v>265.52999999999997</v>
      </c>
      <c r="BM69" s="23">
        <f t="shared" si="65"/>
        <v>0</v>
      </c>
      <c r="BN69" s="23">
        <f t="shared" si="66"/>
        <v>0</v>
      </c>
      <c r="BO69" s="23">
        <f t="shared" si="67"/>
        <v>0</v>
      </c>
      <c r="BP69" s="23">
        <f t="shared" si="68"/>
        <v>0</v>
      </c>
      <c r="BQ69" s="23">
        <f t="shared" si="69"/>
        <v>0</v>
      </c>
      <c r="BR69" s="23">
        <f t="shared" si="70"/>
        <v>263.37</v>
      </c>
      <c r="BS69" s="23">
        <f t="shared" si="71"/>
        <v>0</v>
      </c>
      <c r="BT69" s="23">
        <f t="shared" si="72"/>
        <v>-87.87</v>
      </c>
      <c r="BU69" s="23">
        <f t="shared" si="72"/>
        <v>32.36</v>
      </c>
      <c r="BV69" s="23">
        <f t="shared" si="72"/>
        <v>7904.76</v>
      </c>
      <c r="BW69" s="23">
        <f t="shared" si="72"/>
        <v>10458.18</v>
      </c>
      <c r="BX69" s="23">
        <f t="shared" si="72"/>
        <v>10508.24</v>
      </c>
      <c r="BY69" t="s">
        <v>271</v>
      </c>
      <c r="CA69">
        <v>2000000</v>
      </c>
      <c r="CB69" s="36">
        <v>0.09</v>
      </c>
      <c r="CC69" s="36">
        <v>0.2</v>
      </c>
      <c r="CD69" s="36">
        <v>0</v>
      </c>
      <c r="CE69" t="s">
        <v>266</v>
      </c>
      <c r="CF69" t="s">
        <v>267</v>
      </c>
      <c r="CG69" t="s">
        <v>267</v>
      </c>
      <c r="CH69" t="s">
        <v>267</v>
      </c>
      <c r="CI69" t="s">
        <v>267</v>
      </c>
      <c r="CJ69" t="s">
        <v>267</v>
      </c>
      <c r="CK69" t="s">
        <v>266</v>
      </c>
      <c r="CL69" t="s">
        <v>266</v>
      </c>
      <c r="CM69" t="s">
        <v>285</v>
      </c>
      <c r="CN69" t="s">
        <v>267</v>
      </c>
      <c r="CO69" t="s">
        <v>266</v>
      </c>
    </row>
    <row r="70" spans="1:93" x14ac:dyDescent="0.25">
      <c r="A70" s="2" t="s">
        <v>76</v>
      </c>
      <c r="B70" s="17">
        <v>8.6</v>
      </c>
      <c r="C70" s="17">
        <v>0</v>
      </c>
      <c r="D70" s="17">
        <v>0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3.5</v>
      </c>
      <c r="M70" s="17">
        <v>0</v>
      </c>
      <c r="N70" s="17">
        <v>0</v>
      </c>
      <c r="O70" s="17">
        <v>42</v>
      </c>
      <c r="P70" s="17">
        <v>9.1999999999999993</v>
      </c>
      <c r="Q70" s="17">
        <v>0</v>
      </c>
      <c r="R70" s="17">
        <v>7.4999999999999929</v>
      </c>
      <c r="S70" s="17">
        <v>0</v>
      </c>
      <c r="T70" s="17">
        <v>0</v>
      </c>
      <c r="U70" s="17">
        <v>0</v>
      </c>
      <c r="V70" s="17">
        <f t="shared" si="73"/>
        <v>70.799999999999983</v>
      </c>
      <c r="W70" s="18">
        <v>105.66249999999999</v>
      </c>
      <c r="X70" s="17">
        <v>0</v>
      </c>
      <c r="Y70" s="19">
        <v>5.5</v>
      </c>
      <c r="Z70" s="19">
        <v>25.924999999999997</v>
      </c>
      <c r="AA70" s="17">
        <v>0</v>
      </c>
      <c r="AB70" s="17">
        <v>0</v>
      </c>
      <c r="AC70" s="17">
        <v>0</v>
      </c>
      <c r="AD70" s="17">
        <v>0</v>
      </c>
      <c r="AE70" s="17">
        <v>0</v>
      </c>
      <c r="AF70" s="19">
        <v>26.6</v>
      </c>
      <c r="AG70" s="17">
        <v>0</v>
      </c>
      <c r="AH70" s="17">
        <f t="shared" si="74"/>
        <v>-34.862500000000011</v>
      </c>
      <c r="AI70" s="20">
        <v>2.4500000000000002</v>
      </c>
      <c r="AJ70" s="21">
        <v>796.91874999999993</v>
      </c>
      <c r="AK70" s="22">
        <v>1069.9012447148866</v>
      </c>
      <c r="AL70" s="22">
        <v>1081.9836021310507</v>
      </c>
      <c r="AM70" s="16">
        <v>10</v>
      </c>
      <c r="AN70" s="23">
        <f t="shared" si="40"/>
        <v>86</v>
      </c>
      <c r="AO70" s="23">
        <f t="shared" si="41"/>
        <v>0</v>
      </c>
      <c r="AP70" s="23">
        <f t="shared" si="42"/>
        <v>0</v>
      </c>
      <c r="AQ70" s="23">
        <f t="shared" si="43"/>
        <v>0</v>
      </c>
      <c r="AR70" s="23">
        <f t="shared" si="44"/>
        <v>0</v>
      </c>
      <c r="AS70" s="23">
        <f t="shared" si="45"/>
        <v>0</v>
      </c>
      <c r="AT70" s="23">
        <f t="shared" si="46"/>
        <v>0</v>
      </c>
      <c r="AU70" s="23">
        <f t="shared" si="47"/>
        <v>0</v>
      </c>
      <c r="AV70" s="23">
        <f t="shared" si="48"/>
        <v>0</v>
      </c>
      <c r="AW70" s="23">
        <f t="shared" si="49"/>
        <v>0</v>
      </c>
      <c r="AX70" s="23">
        <f t="shared" si="50"/>
        <v>35</v>
      </c>
      <c r="AY70" s="23">
        <f t="shared" si="51"/>
        <v>0</v>
      </c>
      <c r="AZ70" s="23">
        <f t="shared" si="52"/>
        <v>0</v>
      </c>
      <c r="BA70" s="23">
        <f t="shared" si="53"/>
        <v>420</v>
      </c>
      <c r="BB70" s="23">
        <f t="shared" si="54"/>
        <v>92</v>
      </c>
      <c r="BC70" s="23">
        <f t="shared" si="55"/>
        <v>0</v>
      </c>
      <c r="BD70" s="23">
        <f t="shared" si="56"/>
        <v>75</v>
      </c>
      <c r="BE70" s="23">
        <f t="shared" si="57"/>
        <v>0</v>
      </c>
      <c r="BF70" s="23">
        <f t="shared" si="58"/>
        <v>0</v>
      </c>
      <c r="BG70" s="23">
        <f t="shared" si="59"/>
        <v>0</v>
      </c>
      <c r="BH70" s="23">
        <f t="shared" si="60"/>
        <v>708</v>
      </c>
      <c r="BI70" s="23">
        <f t="shared" si="61"/>
        <v>1056.6300000000001</v>
      </c>
      <c r="BJ70" s="23">
        <f t="shared" si="62"/>
        <v>0</v>
      </c>
      <c r="BK70" s="23">
        <f t="shared" si="63"/>
        <v>55</v>
      </c>
      <c r="BL70" s="23">
        <f t="shared" si="64"/>
        <v>259.25</v>
      </c>
      <c r="BM70" s="23">
        <f t="shared" si="65"/>
        <v>0</v>
      </c>
      <c r="BN70" s="23">
        <f t="shared" si="66"/>
        <v>0</v>
      </c>
      <c r="BO70" s="23">
        <f t="shared" si="67"/>
        <v>0</v>
      </c>
      <c r="BP70" s="23">
        <f t="shared" si="68"/>
        <v>0</v>
      </c>
      <c r="BQ70" s="23">
        <f t="shared" si="69"/>
        <v>0</v>
      </c>
      <c r="BR70" s="23">
        <f t="shared" si="70"/>
        <v>266</v>
      </c>
      <c r="BS70" s="23">
        <f t="shared" si="71"/>
        <v>0</v>
      </c>
      <c r="BT70" s="23">
        <f t="shared" si="72"/>
        <v>-348.63</v>
      </c>
      <c r="BU70" s="23">
        <f t="shared" si="72"/>
        <v>24.5</v>
      </c>
      <c r="BV70" s="23">
        <f t="shared" si="72"/>
        <v>7969.19</v>
      </c>
      <c r="BW70" s="23">
        <f t="shared" si="72"/>
        <v>10699.01</v>
      </c>
      <c r="BX70" s="23">
        <f t="shared" si="72"/>
        <v>10819.84</v>
      </c>
      <c r="BY70" t="s">
        <v>270</v>
      </c>
      <c r="CB70" s="36"/>
      <c r="CC70" s="36"/>
      <c r="CD70" s="36">
        <v>0</v>
      </c>
      <c r="CE70" t="s">
        <v>266</v>
      </c>
      <c r="CF70" t="s">
        <v>267</v>
      </c>
      <c r="CG70" t="s">
        <v>267</v>
      </c>
      <c r="CH70" t="s">
        <v>267</v>
      </c>
      <c r="CI70" t="s">
        <v>267</v>
      </c>
      <c r="CJ70" t="s">
        <v>267</v>
      </c>
      <c r="CK70" t="s">
        <v>266</v>
      </c>
      <c r="CL70" t="s">
        <v>266</v>
      </c>
      <c r="CM70" t="s">
        <v>285</v>
      </c>
      <c r="CN70" t="s">
        <v>267</v>
      </c>
      <c r="CO70" t="s">
        <v>266</v>
      </c>
    </row>
    <row r="71" spans="1:93" x14ac:dyDescent="0.25">
      <c r="A71" s="2" t="s">
        <v>77</v>
      </c>
      <c r="B71" s="17">
        <v>10</v>
      </c>
      <c r="C71" s="17">
        <v>0</v>
      </c>
      <c r="D71" s="17">
        <v>0</v>
      </c>
      <c r="E71" s="17">
        <v>4.7</v>
      </c>
      <c r="F71" s="17">
        <v>0</v>
      </c>
      <c r="G71" s="17">
        <v>0</v>
      </c>
      <c r="H71" s="17">
        <v>0</v>
      </c>
      <c r="I71" s="17">
        <v>0</v>
      </c>
      <c r="J71" s="17">
        <v>0</v>
      </c>
      <c r="K71" s="17">
        <v>0</v>
      </c>
      <c r="L71" s="17">
        <v>4.5</v>
      </c>
      <c r="M71" s="17">
        <v>0</v>
      </c>
      <c r="N71" s="17">
        <v>0</v>
      </c>
      <c r="O71" s="17">
        <v>44</v>
      </c>
      <c r="P71" s="17">
        <v>4</v>
      </c>
      <c r="Q71" s="17">
        <v>0</v>
      </c>
      <c r="R71" s="17">
        <v>6.5</v>
      </c>
      <c r="S71" s="17">
        <v>0</v>
      </c>
      <c r="T71" s="17">
        <v>0</v>
      </c>
      <c r="U71" s="17">
        <v>0</v>
      </c>
      <c r="V71" s="17">
        <f t="shared" si="73"/>
        <v>73.7</v>
      </c>
      <c r="W71" s="18">
        <v>104.88749999999999</v>
      </c>
      <c r="X71" s="17">
        <v>0</v>
      </c>
      <c r="Y71" s="19">
        <v>5.75</v>
      </c>
      <c r="Z71" s="19">
        <v>22.437500000000004</v>
      </c>
      <c r="AA71" s="17">
        <v>0</v>
      </c>
      <c r="AB71" s="17">
        <v>0</v>
      </c>
      <c r="AC71" s="17">
        <v>0</v>
      </c>
      <c r="AD71" s="17">
        <v>0</v>
      </c>
      <c r="AE71" s="17">
        <v>0</v>
      </c>
      <c r="AF71" s="19">
        <v>27.1</v>
      </c>
      <c r="AG71" s="17">
        <v>0</v>
      </c>
      <c r="AH71" s="17">
        <f t="shared" si="74"/>
        <v>-31.187499999999986</v>
      </c>
      <c r="AI71" s="20">
        <v>3.3187500000000099</v>
      </c>
      <c r="AJ71" s="21">
        <v>792.89374999999995</v>
      </c>
      <c r="AK71" s="22">
        <v>1105.9932285283626</v>
      </c>
      <c r="AL71" s="22">
        <v>1141.9301239068227</v>
      </c>
      <c r="AM71" s="16">
        <v>9.5</v>
      </c>
      <c r="AN71" s="23">
        <f t="shared" si="40"/>
        <v>105.26</v>
      </c>
      <c r="AO71" s="23">
        <f t="shared" si="41"/>
        <v>0</v>
      </c>
      <c r="AP71" s="23">
        <f t="shared" si="42"/>
        <v>0</v>
      </c>
      <c r="AQ71" s="23">
        <f t="shared" si="43"/>
        <v>49.47</v>
      </c>
      <c r="AR71" s="23">
        <f t="shared" si="44"/>
        <v>0</v>
      </c>
      <c r="AS71" s="23">
        <f t="shared" si="45"/>
        <v>0</v>
      </c>
      <c r="AT71" s="23">
        <f t="shared" si="46"/>
        <v>0</v>
      </c>
      <c r="AU71" s="23">
        <f t="shared" si="47"/>
        <v>0</v>
      </c>
      <c r="AV71" s="23">
        <f t="shared" si="48"/>
        <v>0</v>
      </c>
      <c r="AW71" s="23">
        <f t="shared" si="49"/>
        <v>0</v>
      </c>
      <c r="AX71" s="23">
        <f t="shared" si="50"/>
        <v>47.37</v>
      </c>
      <c r="AY71" s="23">
        <f t="shared" si="51"/>
        <v>0</v>
      </c>
      <c r="AZ71" s="23">
        <f t="shared" si="52"/>
        <v>0</v>
      </c>
      <c r="BA71" s="23">
        <f t="shared" si="53"/>
        <v>463.16</v>
      </c>
      <c r="BB71" s="23">
        <f t="shared" si="54"/>
        <v>42.11</v>
      </c>
      <c r="BC71" s="23">
        <f t="shared" si="55"/>
        <v>0</v>
      </c>
      <c r="BD71" s="23">
        <f t="shared" si="56"/>
        <v>68.42</v>
      </c>
      <c r="BE71" s="23">
        <f t="shared" si="57"/>
        <v>0</v>
      </c>
      <c r="BF71" s="23">
        <f t="shared" si="58"/>
        <v>0</v>
      </c>
      <c r="BG71" s="23">
        <f t="shared" si="59"/>
        <v>0</v>
      </c>
      <c r="BH71" s="23">
        <f t="shared" si="60"/>
        <v>775.79</v>
      </c>
      <c r="BI71" s="23">
        <f t="shared" si="61"/>
        <v>1104.08</v>
      </c>
      <c r="BJ71" s="23">
        <f t="shared" si="62"/>
        <v>0</v>
      </c>
      <c r="BK71" s="23">
        <f t="shared" si="63"/>
        <v>60.53</v>
      </c>
      <c r="BL71" s="23">
        <f t="shared" si="64"/>
        <v>236.18</v>
      </c>
      <c r="BM71" s="23">
        <f t="shared" si="65"/>
        <v>0</v>
      </c>
      <c r="BN71" s="23">
        <f t="shared" si="66"/>
        <v>0</v>
      </c>
      <c r="BO71" s="23">
        <f t="shared" si="67"/>
        <v>0</v>
      </c>
      <c r="BP71" s="23">
        <f t="shared" si="68"/>
        <v>0</v>
      </c>
      <c r="BQ71" s="23">
        <f t="shared" si="69"/>
        <v>0</v>
      </c>
      <c r="BR71" s="23">
        <f t="shared" si="70"/>
        <v>285.26</v>
      </c>
      <c r="BS71" s="23">
        <f t="shared" si="71"/>
        <v>0</v>
      </c>
      <c r="BT71" s="23">
        <f t="shared" si="72"/>
        <v>-328.29</v>
      </c>
      <c r="BU71" s="23">
        <f t="shared" si="72"/>
        <v>34.93</v>
      </c>
      <c r="BV71" s="23">
        <f t="shared" si="72"/>
        <v>8346.25</v>
      </c>
      <c r="BW71" s="23">
        <f t="shared" si="72"/>
        <v>11642.03</v>
      </c>
      <c r="BX71" s="23">
        <f t="shared" si="72"/>
        <v>12020.32</v>
      </c>
      <c r="BY71" t="s">
        <v>270</v>
      </c>
      <c r="CB71" s="36"/>
      <c r="CC71" s="36"/>
      <c r="CD71" s="36">
        <v>0</v>
      </c>
      <c r="CE71" t="s">
        <v>266</v>
      </c>
      <c r="CF71" t="s">
        <v>267</v>
      </c>
      <c r="CG71" t="s">
        <v>267</v>
      </c>
      <c r="CH71" t="s">
        <v>267</v>
      </c>
      <c r="CI71" t="s">
        <v>267</v>
      </c>
      <c r="CJ71" t="s">
        <v>267</v>
      </c>
      <c r="CK71" t="s">
        <v>266</v>
      </c>
      <c r="CL71" t="s">
        <v>266</v>
      </c>
      <c r="CM71" t="s">
        <v>285</v>
      </c>
      <c r="CN71" t="s">
        <v>267</v>
      </c>
      <c r="CO71" t="s">
        <v>266</v>
      </c>
    </row>
    <row r="72" spans="1:93" x14ac:dyDescent="0.25">
      <c r="A72" s="2" t="s">
        <v>78</v>
      </c>
      <c r="B72" s="17">
        <v>6.4</v>
      </c>
      <c r="C72" s="17">
        <v>0</v>
      </c>
      <c r="D72" s="17">
        <v>0</v>
      </c>
      <c r="E72" s="17">
        <v>4.8</v>
      </c>
      <c r="F72" s="17">
        <v>0</v>
      </c>
      <c r="G72" s="17">
        <v>0</v>
      </c>
      <c r="H72" s="17">
        <v>0</v>
      </c>
      <c r="I72" s="17">
        <v>0</v>
      </c>
      <c r="J72" s="17">
        <v>0</v>
      </c>
      <c r="K72" s="17">
        <v>0</v>
      </c>
      <c r="L72" s="17">
        <v>2.7</v>
      </c>
      <c r="M72" s="17">
        <v>0</v>
      </c>
      <c r="N72" s="17">
        <v>0</v>
      </c>
      <c r="O72" s="17">
        <v>43</v>
      </c>
      <c r="P72" s="17">
        <v>3.6</v>
      </c>
      <c r="Q72" s="17">
        <v>0</v>
      </c>
      <c r="R72" s="17">
        <v>7.7000000000000028</v>
      </c>
      <c r="S72" s="17">
        <v>0</v>
      </c>
      <c r="T72" s="17">
        <v>0</v>
      </c>
      <c r="U72" s="17">
        <v>0</v>
      </c>
      <c r="V72" s="17">
        <f t="shared" si="73"/>
        <v>68.2</v>
      </c>
      <c r="W72" s="18">
        <v>98.325000000000003</v>
      </c>
      <c r="X72" s="17">
        <v>0</v>
      </c>
      <c r="Y72" s="19">
        <v>6.5</v>
      </c>
      <c r="Z72" s="19">
        <v>21.756250000000001</v>
      </c>
      <c r="AA72" s="17">
        <v>0</v>
      </c>
      <c r="AB72" s="17">
        <v>0</v>
      </c>
      <c r="AC72" s="17">
        <v>0</v>
      </c>
      <c r="AD72" s="17">
        <v>0</v>
      </c>
      <c r="AE72" s="17">
        <v>0</v>
      </c>
      <c r="AF72" s="19">
        <v>26.8</v>
      </c>
      <c r="AG72" s="17">
        <v>0</v>
      </c>
      <c r="AH72" s="17">
        <f t="shared" si="74"/>
        <v>-30.125</v>
      </c>
      <c r="AI72" s="20">
        <v>2.0874999999999999</v>
      </c>
      <c r="AJ72" s="21">
        <v>787.80624999999998</v>
      </c>
      <c r="AK72" s="22">
        <v>1180.6485715960525</v>
      </c>
      <c r="AL72" s="22">
        <v>1222.1485715960525</v>
      </c>
      <c r="AM72" s="16">
        <v>9.5</v>
      </c>
      <c r="AN72" s="23">
        <f t="shared" si="40"/>
        <v>67.37</v>
      </c>
      <c r="AO72" s="23">
        <f t="shared" si="41"/>
        <v>0</v>
      </c>
      <c r="AP72" s="23">
        <f t="shared" si="42"/>
        <v>0</v>
      </c>
      <c r="AQ72" s="23">
        <f t="shared" si="43"/>
        <v>50.53</v>
      </c>
      <c r="AR72" s="23">
        <f t="shared" si="44"/>
        <v>0</v>
      </c>
      <c r="AS72" s="23">
        <f t="shared" si="45"/>
        <v>0</v>
      </c>
      <c r="AT72" s="23">
        <f t="shared" si="46"/>
        <v>0</v>
      </c>
      <c r="AU72" s="23">
        <f t="shared" si="47"/>
        <v>0</v>
      </c>
      <c r="AV72" s="23">
        <f t="shared" si="48"/>
        <v>0</v>
      </c>
      <c r="AW72" s="23">
        <f t="shared" si="49"/>
        <v>0</v>
      </c>
      <c r="AX72" s="23">
        <f t="shared" si="50"/>
        <v>28.42</v>
      </c>
      <c r="AY72" s="23">
        <f t="shared" si="51"/>
        <v>0</v>
      </c>
      <c r="AZ72" s="23">
        <f t="shared" si="52"/>
        <v>0</v>
      </c>
      <c r="BA72" s="23">
        <f t="shared" si="53"/>
        <v>452.63</v>
      </c>
      <c r="BB72" s="23">
        <f t="shared" si="54"/>
        <v>37.89</v>
      </c>
      <c r="BC72" s="23">
        <f t="shared" si="55"/>
        <v>0</v>
      </c>
      <c r="BD72" s="23">
        <f t="shared" si="56"/>
        <v>81.05</v>
      </c>
      <c r="BE72" s="23">
        <f t="shared" si="57"/>
        <v>0</v>
      </c>
      <c r="BF72" s="23">
        <f t="shared" si="58"/>
        <v>0</v>
      </c>
      <c r="BG72" s="23">
        <f t="shared" si="59"/>
        <v>0</v>
      </c>
      <c r="BH72" s="23">
        <f t="shared" si="60"/>
        <v>717.89</v>
      </c>
      <c r="BI72" s="23">
        <f t="shared" si="61"/>
        <v>1035</v>
      </c>
      <c r="BJ72" s="23">
        <f t="shared" si="62"/>
        <v>0</v>
      </c>
      <c r="BK72" s="23">
        <f t="shared" si="63"/>
        <v>68.42</v>
      </c>
      <c r="BL72" s="23">
        <f t="shared" si="64"/>
        <v>229.01</v>
      </c>
      <c r="BM72" s="23">
        <f t="shared" si="65"/>
        <v>0</v>
      </c>
      <c r="BN72" s="23">
        <f t="shared" si="66"/>
        <v>0</v>
      </c>
      <c r="BO72" s="23">
        <f t="shared" si="67"/>
        <v>0</v>
      </c>
      <c r="BP72" s="23">
        <f t="shared" si="68"/>
        <v>0</v>
      </c>
      <c r="BQ72" s="23">
        <f t="shared" si="69"/>
        <v>0</v>
      </c>
      <c r="BR72" s="23">
        <f t="shared" si="70"/>
        <v>282.11</v>
      </c>
      <c r="BS72" s="23">
        <f t="shared" si="71"/>
        <v>0</v>
      </c>
      <c r="BT72" s="23">
        <f t="shared" si="72"/>
        <v>-317.11</v>
      </c>
      <c r="BU72" s="23">
        <f t="shared" si="72"/>
        <v>21.97</v>
      </c>
      <c r="BV72" s="23">
        <f t="shared" si="72"/>
        <v>8292.7000000000007</v>
      </c>
      <c r="BW72" s="23">
        <f t="shared" si="72"/>
        <v>12427.88</v>
      </c>
      <c r="BX72" s="23">
        <f t="shared" si="72"/>
        <v>12864.72</v>
      </c>
      <c r="BY72" t="s">
        <v>270</v>
      </c>
      <c r="CB72" s="36"/>
      <c r="CC72" s="36"/>
      <c r="CD72" s="36">
        <v>0</v>
      </c>
      <c r="CE72" t="s">
        <v>266</v>
      </c>
      <c r="CF72" t="s">
        <v>267</v>
      </c>
      <c r="CG72" t="s">
        <v>267</v>
      </c>
      <c r="CH72" t="s">
        <v>267</v>
      </c>
      <c r="CI72" t="s">
        <v>267</v>
      </c>
      <c r="CJ72" t="s">
        <v>267</v>
      </c>
      <c r="CK72" t="s">
        <v>266</v>
      </c>
      <c r="CL72" t="s">
        <v>266</v>
      </c>
      <c r="CM72" t="s">
        <v>285</v>
      </c>
      <c r="CN72" t="s">
        <v>267</v>
      </c>
      <c r="CO72" t="s">
        <v>266</v>
      </c>
    </row>
    <row r="73" spans="1:93" x14ac:dyDescent="0.25">
      <c r="A73" s="2" t="s">
        <v>79</v>
      </c>
      <c r="B73" s="17">
        <v>9.1</v>
      </c>
      <c r="C73" s="17">
        <v>0</v>
      </c>
      <c r="D73" s="17">
        <v>0</v>
      </c>
      <c r="E73" s="17">
        <v>5.2</v>
      </c>
      <c r="F73" s="17">
        <v>0</v>
      </c>
      <c r="G73" s="17">
        <v>0</v>
      </c>
      <c r="H73" s="17">
        <v>0</v>
      </c>
      <c r="I73" s="17">
        <v>0</v>
      </c>
      <c r="J73" s="17">
        <v>0</v>
      </c>
      <c r="K73" s="17">
        <v>0</v>
      </c>
      <c r="L73" s="17">
        <v>2.2999999999999998</v>
      </c>
      <c r="M73" s="17">
        <v>0</v>
      </c>
      <c r="N73" s="17">
        <v>0</v>
      </c>
      <c r="O73" s="17">
        <v>43</v>
      </c>
      <c r="P73" s="17">
        <v>3.9</v>
      </c>
      <c r="Q73" s="17">
        <v>0</v>
      </c>
      <c r="R73" s="17">
        <v>9.5999999999999943</v>
      </c>
      <c r="S73" s="17">
        <v>0</v>
      </c>
      <c r="T73" s="17">
        <v>0</v>
      </c>
      <c r="U73" s="17">
        <v>0</v>
      </c>
      <c r="V73" s="17">
        <f t="shared" si="73"/>
        <v>73.099999999999994</v>
      </c>
      <c r="W73" s="18">
        <v>101.64999999999999</v>
      </c>
      <c r="X73" s="17">
        <v>0</v>
      </c>
      <c r="Y73" s="19">
        <v>6.75</v>
      </c>
      <c r="Z73" s="19">
        <v>23.412499999999998</v>
      </c>
      <c r="AA73" s="17">
        <v>0</v>
      </c>
      <c r="AB73" s="17">
        <v>0</v>
      </c>
      <c r="AC73" s="17">
        <v>0</v>
      </c>
      <c r="AD73" s="17">
        <v>0</v>
      </c>
      <c r="AE73" s="17">
        <v>0</v>
      </c>
      <c r="AF73" s="19">
        <v>26.8</v>
      </c>
      <c r="AG73" s="17">
        <v>0</v>
      </c>
      <c r="AH73" s="17">
        <f t="shared" si="74"/>
        <v>-28.549999999999997</v>
      </c>
      <c r="AI73" s="20">
        <v>3.1812499999999999</v>
      </c>
      <c r="AJ73" s="21">
        <v>783.52500000000009</v>
      </c>
      <c r="AK73" s="22">
        <v>1260.1485715960525</v>
      </c>
      <c r="AL73" s="22">
        <v>1294.6485715960525</v>
      </c>
      <c r="AM73" s="16">
        <v>9.6</v>
      </c>
      <c r="AN73" s="23">
        <f t="shared" si="40"/>
        <v>94.79</v>
      </c>
      <c r="AO73" s="23">
        <f t="shared" si="41"/>
        <v>0</v>
      </c>
      <c r="AP73" s="23">
        <f t="shared" si="42"/>
        <v>0</v>
      </c>
      <c r="AQ73" s="23">
        <f t="shared" si="43"/>
        <v>54.17</v>
      </c>
      <c r="AR73" s="23">
        <f t="shared" si="44"/>
        <v>0</v>
      </c>
      <c r="AS73" s="23">
        <f t="shared" si="45"/>
        <v>0</v>
      </c>
      <c r="AT73" s="23">
        <f t="shared" si="46"/>
        <v>0</v>
      </c>
      <c r="AU73" s="23">
        <f t="shared" si="47"/>
        <v>0</v>
      </c>
      <c r="AV73" s="23">
        <f t="shared" si="48"/>
        <v>0</v>
      </c>
      <c r="AW73" s="23">
        <f t="shared" si="49"/>
        <v>0</v>
      </c>
      <c r="AX73" s="23">
        <f t="shared" si="50"/>
        <v>23.96</v>
      </c>
      <c r="AY73" s="23">
        <f t="shared" si="51"/>
        <v>0</v>
      </c>
      <c r="AZ73" s="23">
        <f t="shared" si="52"/>
        <v>0</v>
      </c>
      <c r="BA73" s="23">
        <f t="shared" si="53"/>
        <v>447.92</v>
      </c>
      <c r="BB73" s="23">
        <f t="shared" si="54"/>
        <v>40.630000000000003</v>
      </c>
      <c r="BC73" s="23">
        <f t="shared" si="55"/>
        <v>0</v>
      </c>
      <c r="BD73" s="23">
        <f t="shared" si="56"/>
        <v>100</v>
      </c>
      <c r="BE73" s="23">
        <f t="shared" si="57"/>
        <v>0</v>
      </c>
      <c r="BF73" s="23">
        <f t="shared" si="58"/>
        <v>0</v>
      </c>
      <c r="BG73" s="23">
        <f t="shared" si="59"/>
        <v>0</v>
      </c>
      <c r="BH73" s="23">
        <f t="shared" si="60"/>
        <v>761.46</v>
      </c>
      <c r="BI73" s="23">
        <f t="shared" si="61"/>
        <v>1058.8499999999999</v>
      </c>
      <c r="BJ73" s="23">
        <f t="shared" si="62"/>
        <v>0</v>
      </c>
      <c r="BK73" s="23">
        <f t="shared" si="63"/>
        <v>70.31</v>
      </c>
      <c r="BL73" s="23">
        <f t="shared" si="64"/>
        <v>243.88</v>
      </c>
      <c r="BM73" s="23">
        <f t="shared" si="65"/>
        <v>0</v>
      </c>
      <c r="BN73" s="23">
        <f t="shared" si="66"/>
        <v>0</v>
      </c>
      <c r="BO73" s="23">
        <f t="shared" si="67"/>
        <v>0</v>
      </c>
      <c r="BP73" s="23">
        <f t="shared" si="68"/>
        <v>0</v>
      </c>
      <c r="BQ73" s="23">
        <f t="shared" si="69"/>
        <v>0</v>
      </c>
      <c r="BR73" s="23">
        <f t="shared" si="70"/>
        <v>279.17</v>
      </c>
      <c r="BS73" s="23">
        <f t="shared" si="71"/>
        <v>0</v>
      </c>
      <c r="BT73" s="23">
        <f t="shared" si="72"/>
        <v>-297.39999999999998</v>
      </c>
      <c r="BU73" s="23">
        <f t="shared" si="72"/>
        <v>33.14</v>
      </c>
      <c r="BV73" s="23">
        <f t="shared" si="72"/>
        <v>8161.72</v>
      </c>
      <c r="BW73" s="23">
        <f t="shared" si="72"/>
        <v>13126.55</v>
      </c>
      <c r="BX73" s="23">
        <f t="shared" si="72"/>
        <v>13485.92</v>
      </c>
      <c r="BY73" t="s">
        <v>270</v>
      </c>
      <c r="CB73" s="36"/>
      <c r="CC73" s="36"/>
      <c r="CD73" s="36">
        <v>0</v>
      </c>
      <c r="CE73" t="s">
        <v>266</v>
      </c>
      <c r="CF73" t="s">
        <v>267</v>
      </c>
      <c r="CG73" t="s">
        <v>267</v>
      </c>
      <c r="CH73" t="s">
        <v>267</v>
      </c>
      <c r="CI73" t="s">
        <v>267</v>
      </c>
      <c r="CJ73" t="s">
        <v>267</v>
      </c>
      <c r="CK73" t="s">
        <v>266</v>
      </c>
      <c r="CL73" t="s">
        <v>266</v>
      </c>
      <c r="CM73" t="s">
        <v>285</v>
      </c>
      <c r="CN73" t="s">
        <v>267</v>
      </c>
      <c r="CO73" t="s">
        <v>266</v>
      </c>
    </row>
    <row r="74" spans="1:93" x14ac:dyDescent="0.25">
      <c r="A74" s="2" t="s">
        <v>80</v>
      </c>
      <c r="B74" s="17">
        <v>7.5</v>
      </c>
      <c r="C74" s="17">
        <v>0</v>
      </c>
      <c r="D74" s="17">
        <v>0</v>
      </c>
      <c r="E74" s="17">
        <v>5.0999999999999996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2.2999999999999998</v>
      </c>
      <c r="M74" s="17">
        <v>0</v>
      </c>
      <c r="N74" s="17">
        <v>0</v>
      </c>
      <c r="O74" s="17">
        <v>47</v>
      </c>
      <c r="P74" s="17">
        <v>4.0999999999999996</v>
      </c>
      <c r="Q74" s="17">
        <v>0</v>
      </c>
      <c r="R74" s="17">
        <v>8.7000000000000028</v>
      </c>
      <c r="S74" s="17">
        <v>0</v>
      </c>
      <c r="T74" s="17">
        <v>0</v>
      </c>
      <c r="U74" s="17">
        <v>0</v>
      </c>
      <c r="V74" s="17">
        <f t="shared" si="73"/>
        <v>74.7</v>
      </c>
      <c r="W74" s="18">
        <v>104.30000000000001</v>
      </c>
      <c r="X74" s="17">
        <v>0</v>
      </c>
      <c r="Y74" s="19">
        <v>8</v>
      </c>
      <c r="Z74" s="19">
        <v>23.400000000000006</v>
      </c>
      <c r="AA74" s="17">
        <v>0</v>
      </c>
      <c r="AB74" s="17">
        <v>0</v>
      </c>
      <c r="AC74" s="17">
        <v>0</v>
      </c>
      <c r="AD74" s="17">
        <v>0</v>
      </c>
      <c r="AE74" s="17">
        <v>0</v>
      </c>
      <c r="AF74" s="19">
        <v>26.8</v>
      </c>
      <c r="AG74" s="17">
        <v>0</v>
      </c>
      <c r="AH74" s="17">
        <f t="shared" si="74"/>
        <v>-29.600000000000009</v>
      </c>
      <c r="AI74" s="20">
        <v>4.4562499999999998</v>
      </c>
      <c r="AJ74" s="21">
        <v>777.57499999999993</v>
      </c>
      <c r="AK74" s="22">
        <v>1326.6485715960525</v>
      </c>
      <c r="AL74" s="22">
        <v>1356.1485715960525</v>
      </c>
      <c r="AM74" s="16">
        <v>10</v>
      </c>
      <c r="AN74" s="23">
        <f t="shared" si="40"/>
        <v>75</v>
      </c>
      <c r="AO74" s="23">
        <f t="shared" si="41"/>
        <v>0</v>
      </c>
      <c r="AP74" s="23">
        <f t="shared" si="42"/>
        <v>0</v>
      </c>
      <c r="AQ74" s="23">
        <f t="shared" si="43"/>
        <v>51</v>
      </c>
      <c r="AR74" s="23">
        <f t="shared" si="44"/>
        <v>0</v>
      </c>
      <c r="AS74" s="23">
        <f t="shared" si="45"/>
        <v>0</v>
      </c>
      <c r="AT74" s="23">
        <f t="shared" si="46"/>
        <v>0</v>
      </c>
      <c r="AU74" s="23">
        <f t="shared" si="47"/>
        <v>0</v>
      </c>
      <c r="AV74" s="23">
        <f t="shared" si="48"/>
        <v>0</v>
      </c>
      <c r="AW74" s="23">
        <f t="shared" si="49"/>
        <v>0</v>
      </c>
      <c r="AX74" s="23">
        <f t="shared" si="50"/>
        <v>23</v>
      </c>
      <c r="AY74" s="23">
        <f t="shared" si="51"/>
        <v>0</v>
      </c>
      <c r="AZ74" s="23">
        <f t="shared" si="52"/>
        <v>0</v>
      </c>
      <c r="BA74" s="23">
        <f t="shared" si="53"/>
        <v>470</v>
      </c>
      <c r="BB74" s="23">
        <f t="shared" si="54"/>
        <v>41</v>
      </c>
      <c r="BC74" s="23">
        <f t="shared" si="55"/>
        <v>0</v>
      </c>
      <c r="BD74" s="23">
        <f t="shared" si="56"/>
        <v>87</v>
      </c>
      <c r="BE74" s="23">
        <f t="shared" si="57"/>
        <v>0</v>
      </c>
      <c r="BF74" s="23">
        <f t="shared" si="58"/>
        <v>0</v>
      </c>
      <c r="BG74" s="23">
        <f t="shared" si="59"/>
        <v>0</v>
      </c>
      <c r="BH74" s="23">
        <f t="shared" si="60"/>
        <v>747</v>
      </c>
      <c r="BI74" s="23">
        <f t="shared" si="61"/>
        <v>1043</v>
      </c>
      <c r="BJ74" s="23">
        <f t="shared" si="62"/>
        <v>0</v>
      </c>
      <c r="BK74" s="23">
        <f t="shared" si="63"/>
        <v>80</v>
      </c>
      <c r="BL74" s="23">
        <f t="shared" si="64"/>
        <v>234</v>
      </c>
      <c r="BM74" s="23">
        <f t="shared" si="65"/>
        <v>0</v>
      </c>
      <c r="BN74" s="23">
        <f t="shared" si="66"/>
        <v>0</v>
      </c>
      <c r="BO74" s="23">
        <f t="shared" si="67"/>
        <v>0</v>
      </c>
      <c r="BP74" s="23">
        <f t="shared" si="68"/>
        <v>0</v>
      </c>
      <c r="BQ74" s="23">
        <f t="shared" si="69"/>
        <v>0</v>
      </c>
      <c r="BR74" s="23">
        <f t="shared" si="70"/>
        <v>268</v>
      </c>
      <c r="BS74" s="23">
        <f t="shared" si="71"/>
        <v>0</v>
      </c>
      <c r="BT74" s="23">
        <f t="shared" si="72"/>
        <v>-296</v>
      </c>
      <c r="BU74" s="23">
        <f t="shared" si="72"/>
        <v>44.56</v>
      </c>
      <c r="BV74" s="23">
        <f t="shared" si="72"/>
        <v>7775.75</v>
      </c>
      <c r="BW74" s="23">
        <f t="shared" si="72"/>
        <v>13266.49</v>
      </c>
      <c r="BX74" s="23">
        <f t="shared" si="72"/>
        <v>13561.49</v>
      </c>
      <c r="BY74" t="s">
        <v>270</v>
      </c>
      <c r="CB74" s="36"/>
      <c r="CC74" s="36"/>
      <c r="CD74" s="36">
        <v>0</v>
      </c>
      <c r="CE74" t="s">
        <v>267</v>
      </c>
      <c r="CF74" t="s">
        <v>267</v>
      </c>
      <c r="CG74" t="s">
        <v>267</v>
      </c>
      <c r="CH74" t="s">
        <v>267</v>
      </c>
      <c r="CI74" t="s">
        <v>267</v>
      </c>
      <c r="CJ74" t="s">
        <v>267</v>
      </c>
      <c r="CK74" t="s">
        <v>266</v>
      </c>
      <c r="CL74" t="s">
        <v>266</v>
      </c>
      <c r="CM74" t="s">
        <v>285</v>
      </c>
      <c r="CN74" t="s">
        <v>267</v>
      </c>
      <c r="CO74" t="s">
        <v>266</v>
      </c>
    </row>
    <row r="75" spans="1:93" x14ac:dyDescent="0.25">
      <c r="A75" s="2" t="s">
        <v>81</v>
      </c>
      <c r="B75" s="17">
        <v>5.7</v>
      </c>
      <c r="C75" s="17">
        <v>0</v>
      </c>
      <c r="D75" s="17">
        <v>0</v>
      </c>
      <c r="E75" s="17">
        <v>5.5</v>
      </c>
      <c r="F75" s="17">
        <v>0</v>
      </c>
      <c r="G75" s="17">
        <v>0</v>
      </c>
      <c r="H75" s="17">
        <v>0</v>
      </c>
      <c r="I75" s="17">
        <v>0</v>
      </c>
      <c r="J75" s="17">
        <v>0</v>
      </c>
      <c r="K75" s="17">
        <v>0</v>
      </c>
      <c r="L75" s="17">
        <v>2.2999999999999998</v>
      </c>
      <c r="M75" s="17">
        <v>0</v>
      </c>
      <c r="N75" s="17">
        <v>0</v>
      </c>
      <c r="O75" s="17">
        <v>47</v>
      </c>
      <c r="P75" s="17">
        <v>4.3</v>
      </c>
      <c r="Q75" s="17">
        <v>0</v>
      </c>
      <c r="R75" s="17">
        <v>10.700000000000003</v>
      </c>
      <c r="S75" s="17">
        <v>0</v>
      </c>
      <c r="T75" s="17">
        <v>0</v>
      </c>
      <c r="U75" s="17">
        <v>0</v>
      </c>
      <c r="V75" s="17">
        <f t="shared" si="73"/>
        <v>75.5</v>
      </c>
      <c r="W75" s="18">
        <v>106.97499999999999</v>
      </c>
      <c r="X75" s="17">
        <v>0</v>
      </c>
      <c r="Y75" s="19">
        <v>10.25</v>
      </c>
      <c r="Z75" s="19">
        <v>23.675000000000004</v>
      </c>
      <c r="AA75" s="17">
        <v>0</v>
      </c>
      <c r="AB75" s="17">
        <v>0</v>
      </c>
      <c r="AC75" s="17">
        <v>0</v>
      </c>
      <c r="AD75" s="17">
        <v>0</v>
      </c>
      <c r="AE75" s="17">
        <v>0</v>
      </c>
      <c r="AF75" s="19">
        <v>26.7</v>
      </c>
      <c r="AG75" s="17">
        <v>0</v>
      </c>
      <c r="AH75" s="17">
        <f t="shared" si="74"/>
        <v>-31.474999999999994</v>
      </c>
      <c r="AI75" s="20">
        <v>1.78125</v>
      </c>
      <c r="AJ75" s="21">
        <v>771.65000000000009</v>
      </c>
      <c r="AK75" s="22">
        <v>1369.8985715960525</v>
      </c>
      <c r="AL75" s="22">
        <v>1367.8985715960525</v>
      </c>
      <c r="AM75" s="16">
        <v>10.4</v>
      </c>
      <c r="AN75" s="23">
        <f t="shared" si="40"/>
        <v>54.81</v>
      </c>
      <c r="AO75" s="23">
        <f t="shared" si="41"/>
        <v>0</v>
      </c>
      <c r="AP75" s="23">
        <f t="shared" si="42"/>
        <v>0</v>
      </c>
      <c r="AQ75" s="23">
        <f t="shared" si="43"/>
        <v>52.88</v>
      </c>
      <c r="AR75" s="23">
        <f t="shared" si="44"/>
        <v>0</v>
      </c>
      <c r="AS75" s="23">
        <f t="shared" si="45"/>
        <v>0</v>
      </c>
      <c r="AT75" s="23">
        <f t="shared" si="46"/>
        <v>0</v>
      </c>
      <c r="AU75" s="23">
        <f t="shared" si="47"/>
        <v>0</v>
      </c>
      <c r="AV75" s="23">
        <f t="shared" si="48"/>
        <v>0</v>
      </c>
      <c r="AW75" s="23">
        <f t="shared" si="49"/>
        <v>0</v>
      </c>
      <c r="AX75" s="23">
        <f t="shared" si="50"/>
        <v>22.12</v>
      </c>
      <c r="AY75" s="23">
        <f t="shared" si="51"/>
        <v>0</v>
      </c>
      <c r="AZ75" s="23">
        <f t="shared" si="52"/>
        <v>0</v>
      </c>
      <c r="BA75" s="23">
        <f t="shared" si="53"/>
        <v>451.92</v>
      </c>
      <c r="BB75" s="23">
        <f t="shared" si="54"/>
        <v>41.35</v>
      </c>
      <c r="BC75" s="23">
        <f t="shared" si="55"/>
        <v>0</v>
      </c>
      <c r="BD75" s="23">
        <f t="shared" si="56"/>
        <v>102.88</v>
      </c>
      <c r="BE75" s="23">
        <f t="shared" si="57"/>
        <v>0</v>
      </c>
      <c r="BF75" s="23">
        <f t="shared" si="58"/>
        <v>0</v>
      </c>
      <c r="BG75" s="23">
        <f t="shared" si="59"/>
        <v>0</v>
      </c>
      <c r="BH75" s="23">
        <f t="shared" si="60"/>
        <v>725.96</v>
      </c>
      <c r="BI75" s="23">
        <f t="shared" si="61"/>
        <v>1028.6099999999999</v>
      </c>
      <c r="BJ75" s="23">
        <f t="shared" si="62"/>
        <v>0</v>
      </c>
      <c r="BK75" s="23">
        <f t="shared" si="63"/>
        <v>98.56</v>
      </c>
      <c r="BL75" s="23">
        <f t="shared" si="64"/>
        <v>227.64</v>
      </c>
      <c r="BM75" s="23">
        <f t="shared" si="65"/>
        <v>0</v>
      </c>
      <c r="BN75" s="23">
        <f t="shared" si="66"/>
        <v>0</v>
      </c>
      <c r="BO75" s="23">
        <f t="shared" si="67"/>
        <v>0</v>
      </c>
      <c r="BP75" s="23">
        <f t="shared" si="68"/>
        <v>0</v>
      </c>
      <c r="BQ75" s="23">
        <f t="shared" si="69"/>
        <v>0</v>
      </c>
      <c r="BR75" s="23">
        <f t="shared" si="70"/>
        <v>256.73</v>
      </c>
      <c r="BS75" s="23">
        <f t="shared" si="71"/>
        <v>0</v>
      </c>
      <c r="BT75" s="23">
        <f t="shared" si="72"/>
        <v>-302.64</v>
      </c>
      <c r="BU75" s="23">
        <f t="shared" si="72"/>
        <v>17.13</v>
      </c>
      <c r="BV75" s="23">
        <f t="shared" si="72"/>
        <v>7419.71</v>
      </c>
      <c r="BW75" s="23">
        <f t="shared" si="72"/>
        <v>13172.1</v>
      </c>
      <c r="BX75" s="23">
        <f t="shared" si="72"/>
        <v>13152.87</v>
      </c>
      <c r="BY75" t="s">
        <v>270</v>
      </c>
      <c r="CB75" s="36"/>
      <c r="CC75" s="36"/>
      <c r="CD75" s="36">
        <v>0</v>
      </c>
      <c r="CE75" t="s">
        <v>267</v>
      </c>
      <c r="CF75" t="s">
        <v>267</v>
      </c>
      <c r="CG75" t="s">
        <v>267</v>
      </c>
      <c r="CH75" t="s">
        <v>267</v>
      </c>
      <c r="CI75" t="s">
        <v>267</v>
      </c>
      <c r="CJ75" t="s">
        <v>267</v>
      </c>
      <c r="CK75" t="s">
        <v>266</v>
      </c>
      <c r="CL75" t="s">
        <v>266</v>
      </c>
      <c r="CM75" t="s">
        <v>285</v>
      </c>
      <c r="CN75" t="s">
        <v>267</v>
      </c>
      <c r="CO75" t="s">
        <v>266</v>
      </c>
    </row>
    <row r="76" spans="1:93" x14ac:dyDescent="0.25">
      <c r="A76" s="2" t="s">
        <v>82</v>
      </c>
      <c r="B76" s="17">
        <v>4.3</v>
      </c>
      <c r="C76" s="17">
        <v>0</v>
      </c>
      <c r="D76" s="17">
        <v>0</v>
      </c>
      <c r="E76" s="17">
        <v>5.6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2.4</v>
      </c>
      <c r="M76" s="17">
        <v>0</v>
      </c>
      <c r="N76" s="17">
        <v>0</v>
      </c>
      <c r="O76" s="17">
        <v>46</v>
      </c>
      <c r="P76" s="17">
        <v>4.2</v>
      </c>
      <c r="Q76" s="17">
        <v>0</v>
      </c>
      <c r="R76" s="17">
        <v>11.099999999999994</v>
      </c>
      <c r="S76" s="17">
        <v>0</v>
      </c>
      <c r="T76" s="17">
        <v>0</v>
      </c>
      <c r="U76" s="17">
        <v>0</v>
      </c>
      <c r="V76" s="17">
        <f t="shared" si="73"/>
        <v>73.599999999999994</v>
      </c>
      <c r="W76" s="18">
        <v>114.79999999999998</v>
      </c>
      <c r="X76" s="17">
        <v>0</v>
      </c>
      <c r="Y76" s="19">
        <v>12.25</v>
      </c>
      <c r="Z76" s="19">
        <v>24.424999999999997</v>
      </c>
      <c r="AA76" s="17">
        <v>0</v>
      </c>
      <c r="AB76" s="17">
        <v>0</v>
      </c>
      <c r="AC76" s="17">
        <v>0</v>
      </c>
      <c r="AD76" s="17">
        <v>0</v>
      </c>
      <c r="AE76" s="17">
        <v>0</v>
      </c>
      <c r="AF76" s="19">
        <v>27.1</v>
      </c>
      <c r="AG76" s="17">
        <v>0</v>
      </c>
      <c r="AH76" s="17">
        <f t="shared" si="74"/>
        <v>-41.199999999999989</v>
      </c>
      <c r="AI76" s="20">
        <v>0.69374999999999698</v>
      </c>
      <c r="AJ76" s="21">
        <v>768.42499999999995</v>
      </c>
      <c r="AK76" s="22">
        <v>1359.6485715960525</v>
      </c>
      <c r="AL76" s="22">
        <v>1345.1485715960525</v>
      </c>
      <c r="AM76" s="16">
        <v>10</v>
      </c>
      <c r="AN76" s="23">
        <f t="shared" si="40"/>
        <v>43</v>
      </c>
      <c r="AO76" s="23">
        <f t="shared" si="41"/>
        <v>0</v>
      </c>
      <c r="AP76" s="23">
        <f t="shared" si="42"/>
        <v>0</v>
      </c>
      <c r="AQ76" s="23">
        <f t="shared" si="43"/>
        <v>56</v>
      </c>
      <c r="AR76" s="23">
        <f t="shared" si="44"/>
        <v>0</v>
      </c>
      <c r="AS76" s="23">
        <f t="shared" si="45"/>
        <v>0</v>
      </c>
      <c r="AT76" s="23">
        <f t="shared" si="46"/>
        <v>0</v>
      </c>
      <c r="AU76" s="23">
        <f t="shared" si="47"/>
        <v>0</v>
      </c>
      <c r="AV76" s="23">
        <f t="shared" si="48"/>
        <v>0</v>
      </c>
      <c r="AW76" s="23">
        <f t="shared" si="49"/>
        <v>0</v>
      </c>
      <c r="AX76" s="23">
        <f t="shared" si="50"/>
        <v>24</v>
      </c>
      <c r="AY76" s="23">
        <f t="shared" si="51"/>
        <v>0</v>
      </c>
      <c r="AZ76" s="23">
        <f t="shared" si="52"/>
        <v>0</v>
      </c>
      <c r="BA76" s="23">
        <f t="shared" si="53"/>
        <v>460</v>
      </c>
      <c r="BB76" s="23">
        <f t="shared" si="54"/>
        <v>42</v>
      </c>
      <c r="BC76" s="23">
        <f t="shared" si="55"/>
        <v>0</v>
      </c>
      <c r="BD76" s="23">
        <f t="shared" si="56"/>
        <v>111</v>
      </c>
      <c r="BE76" s="23">
        <f t="shared" si="57"/>
        <v>0</v>
      </c>
      <c r="BF76" s="23">
        <f t="shared" si="58"/>
        <v>0</v>
      </c>
      <c r="BG76" s="23">
        <f t="shared" si="59"/>
        <v>0</v>
      </c>
      <c r="BH76" s="23">
        <f t="shared" si="60"/>
        <v>736</v>
      </c>
      <c r="BI76" s="23">
        <f t="shared" si="61"/>
        <v>1148</v>
      </c>
      <c r="BJ76" s="23">
        <f t="shared" si="62"/>
        <v>0</v>
      </c>
      <c r="BK76" s="23">
        <f t="shared" si="63"/>
        <v>122.5</v>
      </c>
      <c r="BL76" s="23">
        <f t="shared" si="64"/>
        <v>244.25</v>
      </c>
      <c r="BM76" s="23">
        <f t="shared" si="65"/>
        <v>0</v>
      </c>
      <c r="BN76" s="23">
        <f t="shared" si="66"/>
        <v>0</v>
      </c>
      <c r="BO76" s="23">
        <f t="shared" si="67"/>
        <v>0</v>
      </c>
      <c r="BP76" s="23">
        <f t="shared" si="68"/>
        <v>0</v>
      </c>
      <c r="BQ76" s="23">
        <f t="shared" si="69"/>
        <v>0</v>
      </c>
      <c r="BR76" s="23">
        <f t="shared" si="70"/>
        <v>271</v>
      </c>
      <c r="BS76" s="23">
        <f t="shared" si="71"/>
        <v>0</v>
      </c>
      <c r="BT76" s="23">
        <f t="shared" si="72"/>
        <v>-412</v>
      </c>
      <c r="BU76" s="23">
        <f t="shared" si="72"/>
        <v>6.94</v>
      </c>
      <c r="BV76" s="23">
        <f t="shared" si="72"/>
        <v>7684.25</v>
      </c>
      <c r="BW76" s="23">
        <f t="shared" si="72"/>
        <v>13596.49</v>
      </c>
      <c r="BX76" s="23">
        <f t="shared" si="72"/>
        <v>13451.49</v>
      </c>
      <c r="BY76" t="s">
        <v>270</v>
      </c>
      <c r="CB76" s="36"/>
      <c r="CC76" s="36"/>
      <c r="CD76" s="36">
        <v>0</v>
      </c>
      <c r="CE76" t="s">
        <v>267</v>
      </c>
      <c r="CF76" t="s">
        <v>267</v>
      </c>
      <c r="CG76" t="s">
        <v>267</v>
      </c>
      <c r="CH76" t="s">
        <v>267</v>
      </c>
      <c r="CI76" t="s">
        <v>267</v>
      </c>
      <c r="CJ76" t="s">
        <v>267</v>
      </c>
      <c r="CK76" t="s">
        <v>266</v>
      </c>
      <c r="CL76" t="s">
        <v>266</v>
      </c>
      <c r="CM76" t="s">
        <v>285</v>
      </c>
      <c r="CN76" t="s">
        <v>267</v>
      </c>
      <c r="CO76" t="s">
        <v>266</v>
      </c>
    </row>
    <row r="77" spans="1:93" x14ac:dyDescent="0.25">
      <c r="A77" s="2" t="s">
        <v>83</v>
      </c>
      <c r="B77" s="17">
        <v>4.0999999999999996</v>
      </c>
      <c r="C77" s="17">
        <v>0</v>
      </c>
      <c r="D77" s="17">
        <v>0</v>
      </c>
      <c r="E77" s="17">
        <v>5.8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2.5</v>
      </c>
      <c r="M77" s="17">
        <v>0</v>
      </c>
      <c r="N77" s="17">
        <v>0</v>
      </c>
      <c r="O77" s="17">
        <v>48</v>
      </c>
      <c r="P77" s="17">
        <v>4.4000000000000004</v>
      </c>
      <c r="Q77" s="17">
        <v>0</v>
      </c>
      <c r="R77" s="17">
        <v>10.700000000000003</v>
      </c>
      <c r="S77" s="17">
        <v>0</v>
      </c>
      <c r="T77" s="17">
        <v>0</v>
      </c>
      <c r="U77" s="17">
        <v>0</v>
      </c>
      <c r="V77" s="17">
        <f t="shared" si="73"/>
        <v>75.5</v>
      </c>
      <c r="W77" s="18">
        <v>118.00000000000001</v>
      </c>
      <c r="X77" s="17">
        <v>0</v>
      </c>
      <c r="Y77" s="19">
        <v>12</v>
      </c>
      <c r="Z77" s="19">
        <v>25</v>
      </c>
      <c r="AA77" s="17">
        <v>0</v>
      </c>
      <c r="AB77" s="17">
        <v>0</v>
      </c>
      <c r="AC77" s="17">
        <v>0</v>
      </c>
      <c r="AD77" s="17">
        <v>0</v>
      </c>
      <c r="AE77" s="17">
        <v>0</v>
      </c>
      <c r="AF77" s="19">
        <v>27.2</v>
      </c>
      <c r="AG77" s="17">
        <v>0</v>
      </c>
      <c r="AH77" s="17">
        <f t="shared" si="74"/>
        <v>-42.500000000000014</v>
      </c>
      <c r="AI77" s="20">
        <v>0.81874999999999598</v>
      </c>
      <c r="AJ77" s="21">
        <v>768.875</v>
      </c>
      <c r="AK77" s="22">
        <v>1333.6485715960525</v>
      </c>
      <c r="AL77" s="22">
        <v>1325.1485715960525</v>
      </c>
      <c r="AM77" s="16">
        <v>9.8000000000000007</v>
      </c>
      <c r="AN77" s="23">
        <f t="shared" si="40"/>
        <v>41.84</v>
      </c>
      <c r="AO77" s="23">
        <f t="shared" si="41"/>
        <v>0</v>
      </c>
      <c r="AP77" s="23">
        <f t="shared" si="42"/>
        <v>0</v>
      </c>
      <c r="AQ77" s="23">
        <f t="shared" si="43"/>
        <v>59.18</v>
      </c>
      <c r="AR77" s="23">
        <f t="shared" si="44"/>
        <v>0</v>
      </c>
      <c r="AS77" s="23">
        <f t="shared" si="45"/>
        <v>0</v>
      </c>
      <c r="AT77" s="23">
        <f t="shared" si="46"/>
        <v>0</v>
      </c>
      <c r="AU77" s="23">
        <f t="shared" si="47"/>
        <v>0</v>
      </c>
      <c r="AV77" s="23">
        <f t="shared" si="48"/>
        <v>0</v>
      </c>
      <c r="AW77" s="23">
        <f t="shared" si="49"/>
        <v>0</v>
      </c>
      <c r="AX77" s="23">
        <f t="shared" si="50"/>
        <v>25.51</v>
      </c>
      <c r="AY77" s="23">
        <f t="shared" si="51"/>
        <v>0</v>
      </c>
      <c r="AZ77" s="23">
        <f t="shared" si="52"/>
        <v>0</v>
      </c>
      <c r="BA77" s="23">
        <f t="shared" si="53"/>
        <v>489.8</v>
      </c>
      <c r="BB77" s="23">
        <f t="shared" si="54"/>
        <v>44.9</v>
      </c>
      <c r="BC77" s="23">
        <f t="shared" si="55"/>
        <v>0</v>
      </c>
      <c r="BD77" s="23">
        <f t="shared" si="56"/>
        <v>109.18</v>
      </c>
      <c r="BE77" s="23">
        <f t="shared" si="57"/>
        <v>0</v>
      </c>
      <c r="BF77" s="23">
        <f t="shared" si="58"/>
        <v>0</v>
      </c>
      <c r="BG77" s="23">
        <f t="shared" si="59"/>
        <v>0</v>
      </c>
      <c r="BH77" s="23">
        <f t="shared" si="60"/>
        <v>770.41</v>
      </c>
      <c r="BI77" s="23">
        <f t="shared" si="61"/>
        <v>1204.08</v>
      </c>
      <c r="BJ77" s="23">
        <f t="shared" si="62"/>
        <v>0</v>
      </c>
      <c r="BK77" s="23">
        <f t="shared" si="63"/>
        <v>122.45</v>
      </c>
      <c r="BL77" s="23">
        <f t="shared" si="64"/>
        <v>255.1</v>
      </c>
      <c r="BM77" s="23">
        <f t="shared" si="65"/>
        <v>0</v>
      </c>
      <c r="BN77" s="23">
        <f t="shared" si="66"/>
        <v>0</v>
      </c>
      <c r="BO77" s="23">
        <f t="shared" si="67"/>
        <v>0</v>
      </c>
      <c r="BP77" s="23">
        <f t="shared" si="68"/>
        <v>0</v>
      </c>
      <c r="BQ77" s="23">
        <f t="shared" si="69"/>
        <v>0</v>
      </c>
      <c r="BR77" s="23">
        <f t="shared" si="70"/>
        <v>277.55</v>
      </c>
      <c r="BS77" s="23">
        <f t="shared" si="71"/>
        <v>0</v>
      </c>
      <c r="BT77" s="23">
        <f t="shared" si="72"/>
        <v>-433.67</v>
      </c>
      <c r="BU77" s="23">
        <f t="shared" si="72"/>
        <v>8.35</v>
      </c>
      <c r="BV77" s="23">
        <f t="shared" si="72"/>
        <v>7845.66</v>
      </c>
      <c r="BW77" s="23">
        <f t="shared" si="72"/>
        <v>13608.66</v>
      </c>
      <c r="BX77" s="23">
        <f t="shared" si="72"/>
        <v>13521.92</v>
      </c>
      <c r="BY77" t="s">
        <v>270</v>
      </c>
      <c r="CB77" s="36"/>
      <c r="CC77" s="36"/>
      <c r="CD77" s="36">
        <v>0</v>
      </c>
      <c r="CE77" t="s">
        <v>267</v>
      </c>
      <c r="CF77" t="s">
        <v>267</v>
      </c>
      <c r="CG77" t="s">
        <v>267</v>
      </c>
      <c r="CH77" t="s">
        <v>267</v>
      </c>
      <c r="CI77" t="s">
        <v>267</v>
      </c>
      <c r="CJ77" t="s">
        <v>267</v>
      </c>
      <c r="CK77" t="s">
        <v>266</v>
      </c>
      <c r="CL77" t="s">
        <v>266</v>
      </c>
      <c r="CM77" t="s">
        <v>285</v>
      </c>
      <c r="CN77" t="s">
        <v>267</v>
      </c>
      <c r="CO77" t="s">
        <v>266</v>
      </c>
    </row>
    <row r="78" spans="1:93" x14ac:dyDescent="0.25">
      <c r="A78" s="2" t="s">
        <v>84</v>
      </c>
      <c r="B78" s="17">
        <v>5.3</v>
      </c>
      <c r="C78" s="17">
        <v>0</v>
      </c>
      <c r="D78" s="17">
        <v>0</v>
      </c>
      <c r="E78" s="17">
        <v>5.9</v>
      </c>
      <c r="F78" s="17">
        <v>0</v>
      </c>
      <c r="G78" s="17">
        <v>0</v>
      </c>
      <c r="H78" s="17">
        <v>0</v>
      </c>
      <c r="I78" s="17">
        <v>0</v>
      </c>
      <c r="J78" s="17">
        <v>0</v>
      </c>
      <c r="K78" s="17">
        <v>0</v>
      </c>
      <c r="L78" s="17">
        <v>2.5</v>
      </c>
      <c r="M78" s="17">
        <v>0</v>
      </c>
      <c r="N78" s="17">
        <v>0</v>
      </c>
      <c r="O78" s="17">
        <v>48</v>
      </c>
      <c r="P78" s="17">
        <v>4.3</v>
      </c>
      <c r="Q78" s="17">
        <v>0</v>
      </c>
      <c r="R78" s="17">
        <v>10.799999999999997</v>
      </c>
      <c r="S78" s="17">
        <v>0</v>
      </c>
      <c r="T78" s="17">
        <v>0</v>
      </c>
      <c r="U78" s="17">
        <v>0</v>
      </c>
      <c r="V78" s="17">
        <f t="shared" si="73"/>
        <v>76.8</v>
      </c>
      <c r="W78" s="18">
        <v>122.85</v>
      </c>
      <c r="X78" s="17">
        <v>0</v>
      </c>
      <c r="Y78" s="19">
        <v>14.25</v>
      </c>
      <c r="Z78" s="19">
        <v>25.331250000000001</v>
      </c>
      <c r="AA78" s="17">
        <v>0</v>
      </c>
      <c r="AB78" s="17">
        <v>0</v>
      </c>
      <c r="AC78" s="17">
        <v>0</v>
      </c>
      <c r="AD78" s="17">
        <v>0</v>
      </c>
      <c r="AE78" s="17">
        <v>0</v>
      </c>
      <c r="AF78" s="19">
        <v>27.4</v>
      </c>
      <c r="AG78" s="17">
        <v>0</v>
      </c>
      <c r="AH78" s="17">
        <f t="shared" si="74"/>
        <v>-46.05</v>
      </c>
      <c r="AI78" s="20">
        <v>0.48124999999999801</v>
      </c>
      <c r="AJ78" s="21">
        <v>769.24374999999998</v>
      </c>
      <c r="AK78" s="22">
        <v>1317.1485715960525</v>
      </c>
      <c r="AL78" s="22">
        <v>1309.6485715960525</v>
      </c>
      <c r="AM78" s="16">
        <v>9.8000000000000007</v>
      </c>
      <c r="AN78" s="23">
        <f t="shared" si="40"/>
        <v>54.08</v>
      </c>
      <c r="AO78" s="23">
        <f t="shared" si="41"/>
        <v>0</v>
      </c>
      <c r="AP78" s="23">
        <f t="shared" si="42"/>
        <v>0</v>
      </c>
      <c r="AQ78" s="23">
        <f t="shared" si="43"/>
        <v>60.2</v>
      </c>
      <c r="AR78" s="23">
        <f t="shared" si="44"/>
        <v>0</v>
      </c>
      <c r="AS78" s="23">
        <f t="shared" si="45"/>
        <v>0</v>
      </c>
      <c r="AT78" s="23">
        <f t="shared" si="46"/>
        <v>0</v>
      </c>
      <c r="AU78" s="23">
        <f t="shared" si="47"/>
        <v>0</v>
      </c>
      <c r="AV78" s="23">
        <f t="shared" si="48"/>
        <v>0</v>
      </c>
      <c r="AW78" s="23">
        <f t="shared" si="49"/>
        <v>0</v>
      </c>
      <c r="AX78" s="23">
        <f t="shared" si="50"/>
        <v>25.51</v>
      </c>
      <c r="AY78" s="23">
        <f t="shared" si="51"/>
        <v>0</v>
      </c>
      <c r="AZ78" s="23">
        <f t="shared" si="52"/>
        <v>0</v>
      </c>
      <c r="BA78" s="23">
        <f t="shared" si="53"/>
        <v>489.8</v>
      </c>
      <c r="BB78" s="23">
        <f t="shared" si="54"/>
        <v>43.88</v>
      </c>
      <c r="BC78" s="23">
        <f t="shared" si="55"/>
        <v>0</v>
      </c>
      <c r="BD78" s="23">
        <f t="shared" si="56"/>
        <v>110.2</v>
      </c>
      <c r="BE78" s="23">
        <f t="shared" si="57"/>
        <v>0</v>
      </c>
      <c r="BF78" s="23">
        <f t="shared" si="58"/>
        <v>0</v>
      </c>
      <c r="BG78" s="23">
        <f t="shared" si="59"/>
        <v>0</v>
      </c>
      <c r="BH78" s="23">
        <f t="shared" si="60"/>
        <v>783.67</v>
      </c>
      <c r="BI78" s="23">
        <f t="shared" si="61"/>
        <v>1253.57</v>
      </c>
      <c r="BJ78" s="23">
        <f t="shared" si="62"/>
        <v>0</v>
      </c>
      <c r="BK78" s="23">
        <f t="shared" si="63"/>
        <v>145.41</v>
      </c>
      <c r="BL78" s="23">
        <f t="shared" si="64"/>
        <v>258.48</v>
      </c>
      <c r="BM78" s="23">
        <f t="shared" si="65"/>
        <v>0</v>
      </c>
      <c r="BN78" s="23">
        <f t="shared" si="66"/>
        <v>0</v>
      </c>
      <c r="BO78" s="23">
        <f t="shared" si="67"/>
        <v>0</v>
      </c>
      <c r="BP78" s="23">
        <f t="shared" si="68"/>
        <v>0</v>
      </c>
      <c r="BQ78" s="23">
        <f t="shared" si="69"/>
        <v>0</v>
      </c>
      <c r="BR78" s="23">
        <f t="shared" si="70"/>
        <v>279.58999999999997</v>
      </c>
      <c r="BS78" s="23">
        <f t="shared" si="71"/>
        <v>0</v>
      </c>
      <c r="BT78" s="23">
        <f t="shared" si="72"/>
        <v>-469.9</v>
      </c>
      <c r="BU78" s="23">
        <f t="shared" si="72"/>
        <v>4.91</v>
      </c>
      <c r="BV78" s="23">
        <f t="shared" si="72"/>
        <v>7849.43</v>
      </c>
      <c r="BW78" s="23">
        <f t="shared" si="72"/>
        <v>13440.29</v>
      </c>
      <c r="BX78" s="23">
        <f t="shared" si="72"/>
        <v>13363.76</v>
      </c>
      <c r="BY78" t="s">
        <v>270</v>
      </c>
      <c r="CB78" s="36"/>
      <c r="CC78" s="36"/>
      <c r="CD78" s="36">
        <v>0</v>
      </c>
      <c r="CE78" t="s">
        <v>267</v>
      </c>
      <c r="CF78" t="s">
        <v>267</v>
      </c>
      <c r="CG78" t="s">
        <v>267</v>
      </c>
      <c r="CH78" t="s">
        <v>267</v>
      </c>
      <c r="CI78" t="s">
        <v>267</v>
      </c>
      <c r="CJ78" t="s">
        <v>267</v>
      </c>
      <c r="CK78" t="s">
        <v>266</v>
      </c>
      <c r="CL78" t="s">
        <v>266</v>
      </c>
      <c r="CM78" t="s">
        <v>285</v>
      </c>
      <c r="CN78" t="s">
        <v>267</v>
      </c>
      <c r="CO78" t="s">
        <v>266</v>
      </c>
    </row>
    <row r="79" spans="1:93" x14ac:dyDescent="0.25">
      <c r="A79" s="2" t="s">
        <v>85</v>
      </c>
      <c r="B79" s="17">
        <v>5.8</v>
      </c>
      <c r="C79" s="17">
        <v>0</v>
      </c>
      <c r="D79" s="17">
        <v>0</v>
      </c>
      <c r="E79" s="17">
        <v>6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2.7</v>
      </c>
      <c r="M79" s="17">
        <v>0</v>
      </c>
      <c r="N79" s="17">
        <v>0</v>
      </c>
      <c r="O79" s="17">
        <v>47</v>
      </c>
      <c r="P79" s="17">
        <v>4.2</v>
      </c>
      <c r="Q79" s="17">
        <v>0</v>
      </c>
      <c r="R79" s="17">
        <v>12</v>
      </c>
      <c r="S79" s="17">
        <v>0</v>
      </c>
      <c r="T79" s="17">
        <v>0</v>
      </c>
      <c r="U79" s="17">
        <v>0</v>
      </c>
      <c r="V79" s="17">
        <f t="shared" si="73"/>
        <v>77.7</v>
      </c>
      <c r="W79" s="18">
        <v>128.72499999999999</v>
      </c>
      <c r="X79" s="17">
        <v>0</v>
      </c>
      <c r="Y79" s="19">
        <v>16.75</v>
      </c>
      <c r="Z79" s="19">
        <v>25.85</v>
      </c>
      <c r="AA79" s="17">
        <v>0</v>
      </c>
      <c r="AB79" s="17">
        <v>0</v>
      </c>
      <c r="AC79" s="17">
        <v>0</v>
      </c>
      <c r="AD79" s="17">
        <v>0</v>
      </c>
      <c r="AE79" s="17">
        <v>0</v>
      </c>
      <c r="AF79" s="19">
        <v>27.6</v>
      </c>
      <c r="AG79" s="17">
        <v>0</v>
      </c>
      <c r="AH79" s="17">
        <f t="shared" si="74"/>
        <v>-51.024999999999991</v>
      </c>
      <c r="AI79" s="20">
        <v>1.2812499999999947</v>
      </c>
      <c r="AJ79" s="21">
        <v>770.65625</v>
      </c>
      <c r="AK79" s="22">
        <v>1299.6485715960525</v>
      </c>
      <c r="AL79" s="22">
        <v>1287.1485715960525</v>
      </c>
      <c r="AM79" s="16">
        <v>9.6999999999999993</v>
      </c>
      <c r="AN79" s="23">
        <f t="shared" si="40"/>
        <v>59.79</v>
      </c>
      <c r="AO79" s="23">
        <f t="shared" si="41"/>
        <v>0</v>
      </c>
      <c r="AP79" s="23">
        <f t="shared" si="42"/>
        <v>0</v>
      </c>
      <c r="AQ79" s="23">
        <f t="shared" si="43"/>
        <v>61.86</v>
      </c>
      <c r="AR79" s="23">
        <f t="shared" si="44"/>
        <v>0</v>
      </c>
      <c r="AS79" s="23">
        <f t="shared" si="45"/>
        <v>0</v>
      </c>
      <c r="AT79" s="23">
        <f t="shared" si="46"/>
        <v>0</v>
      </c>
      <c r="AU79" s="23">
        <f t="shared" si="47"/>
        <v>0</v>
      </c>
      <c r="AV79" s="23">
        <f t="shared" si="48"/>
        <v>0</v>
      </c>
      <c r="AW79" s="23">
        <f t="shared" si="49"/>
        <v>0</v>
      </c>
      <c r="AX79" s="23">
        <f t="shared" si="50"/>
        <v>27.84</v>
      </c>
      <c r="AY79" s="23">
        <f t="shared" si="51"/>
        <v>0</v>
      </c>
      <c r="AZ79" s="23">
        <f t="shared" si="52"/>
        <v>0</v>
      </c>
      <c r="BA79" s="23">
        <f t="shared" si="53"/>
        <v>484.54</v>
      </c>
      <c r="BB79" s="23">
        <f t="shared" si="54"/>
        <v>43.3</v>
      </c>
      <c r="BC79" s="23">
        <f t="shared" si="55"/>
        <v>0</v>
      </c>
      <c r="BD79" s="23">
        <f t="shared" si="56"/>
        <v>123.71</v>
      </c>
      <c r="BE79" s="23">
        <f t="shared" si="57"/>
        <v>0</v>
      </c>
      <c r="BF79" s="23">
        <f t="shared" si="58"/>
        <v>0</v>
      </c>
      <c r="BG79" s="23">
        <f t="shared" si="59"/>
        <v>0</v>
      </c>
      <c r="BH79" s="23">
        <f t="shared" si="60"/>
        <v>801.03</v>
      </c>
      <c r="BI79" s="23">
        <f t="shared" si="61"/>
        <v>1327.06</v>
      </c>
      <c r="BJ79" s="23">
        <f t="shared" si="62"/>
        <v>0</v>
      </c>
      <c r="BK79" s="23">
        <f t="shared" si="63"/>
        <v>172.68</v>
      </c>
      <c r="BL79" s="23">
        <f t="shared" si="64"/>
        <v>266.49</v>
      </c>
      <c r="BM79" s="23">
        <f t="shared" si="65"/>
        <v>0</v>
      </c>
      <c r="BN79" s="23">
        <f t="shared" si="66"/>
        <v>0</v>
      </c>
      <c r="BO79" s="23">
        <f t="shared" si="67"/>
        <v>0</v>
      </c>
      <c r="BP79" s="23">
        <f t="shared" si="68"/>
        <v>0</v>
      </c>
      <c r="BQ79" s="23">
        <f t="shared" si="69"/>
        <v>0</v>
      </c>
      <c r="BR79" s="23">
        <f t="shared" si="70"/>
        <v>284.54000000000002</v>
      </c>
      <c r="BS79" s="23">
        <f t="shared" si="71"/>
        <v>0</v>
      </c>
      <c r="BT79" s="23">
        <f t="shared" si="72"/>
        <v>-526.03</v>
      </c>
      <c r="BU79" s="23">
        <f t="shared" si="72"/>
        <v>13.21</v>
      </c>
      <c r="BV79" s="23">
        <f t="shared" si="72"/>
        <v>7944.91</v>
      </c>
      <c r="BW79" s="23">
        <f t="shared" si="72"/>
        <v>13398.44</v>
      </c>
      <c r="BX79" s="23">
        <f t="shared" si="72"/>
        <v>13269.57</v>
      </c>
      <c r="BY79" t="s">
        <v>270</v>
      </c>
      <c r="CB79" s="36"/>
      <c r="CC79" s="36"/>
      <c r="CD79" s="36">
        <v>0</v>
      </c>
      <c r="CE79" t="s">
        <v>267</v>
      </c>
      <c r="CF79" t="s">
        <v>267</v>
      </c>
      <c r="CG79" t="s">
        <v>267</v>
      </c>
      <c r="CH79" t="s">
        <v>267</v>
      </c>
      <c r="CI79" t="s">
        <v>267</v>
      </c>
      <c r="CJ79" t="s">
        <v>267</v>
      </c>
      <c r="CK79" t="s">
        <v>266</v>
      </c>
      <c r="CL79" t="s">
        <v>266</v>
      </c>
      <c r="CM79" t="s">
        <v>285</v>
      </c>
      <c r="CN79" t="s">
        <v>267</v>
      </c>
      <c r="CO79" t="s">
        <v>266</v>
      </c>
    </row>
    <row r="80" spans="1:93" x14ac:dyDescent="0.25">
      <c r="A80" s="2" t="s">
        <v>86</v>
      </c>
      <c r="B80" s="17">
        <v>8.6999999999999993</v>
      </c>
      <c r="C80" s="17">
        <v>0</v>
      </c>
      <c r="D80" s="17">
        <v>0</v>
      </c>
      <c r="E80" s="17">
        <v>5.6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7">
        <v>0</v>
      </c>
      <c r="L80" s="17">
        <v>2.7</v>
      </c>
      <c r="M80" s="17">
        <v>0</v>
      </c>
      <c r="N80" s="17">
        <v>0</v>
      </c>
      <c r="O80" s="17">
        <v>47</v>
      </c>
      <c r="P80" s="17">
        <v>4.3</v>
      </c>
      <c r="Q80" s="17">
        <v>0</v>
      </c>
      <c r="R80" s="17">
        <v>12.900000000000006</v>
      </c>
      <c r="S80" s="17">
        <v>0</v>
      </c>
      <c r="T80" s="17">
        <v>0</v>
      </c>
      <c r="U80" s="17">
        <v>0</v>
      </c>
      <c r="V80" s="17">
        <f t="shared" si="73"/>
        <v>81.2</v>
      </c>
      <c r="W80" s="18">
        <v>133.95000000000002</v>
      </c>
      <c r="X80" s="17">
        <v>0</v>
      </c>
      <c r="Y80" s="19">
        <v>17</v>
      </c>
      <c r="Z80" s="19">
        <v>27.368749999999999</v>
      </c>
      <c r="AA80" s="17">
        <v>0</v>
      </c>
      <c r="AB80" s="17">
        <v>0</v>
      </c>
      <c r="AC80" s="17">
        <v>0</v>
      </c>
      <c r="AD80" s="17">
        <v>0</v>
      </c>
      <c r="AE80" s="17">
        <v>0</v>
      </c>
      <c r="AF80" s="19">
        <v>28</v>
      </c>
      <c r="AG80" s="17">
        <v>0</v>
      </c>
      <c r="AH80" s="17">
        <f t="shared" si="74"/>
        <v>-52.750000000000014</v>
      </c>
      <c r="AI80" s="20">
        <v>2.8937499999999954</v>
      </c>
      <c r="AJ80" s="21">
        <v>771.40625</v>
      </c>
      <c r="AK80" s="22">
        <v>1268.8985715960525</v>
      </c>
      <c r="AL80" s="22">
        <v>1244.8985715960525</v>
      </c>
      <c r="AM80" s="16">
        <v>9.5</v>
      </c>
      <c r="AN80" s="23">
        <f t="shared" si="40"/>
        <v>91.58</v>
      </c>
      <c r="AO80" s="23">
        <f t="shared" si="41"/>
        <v>0</v>
      </c>
      <c r="AP80" s="23">
        <f t="shared" si="42"/>
        <v>0</v>
      </c>
      <c r="AQ80" s="23">
        <f t="shared" si="43"/>
        <v>58.95</v>
      </c>
      <c r="AR80" s="23">
        <f t="shared" si="44"/>
        <v>0</v>
      </c>
      <c r="AS80" s="23">
        <f t="shared" si="45"/>
        <v>0</v>
      </c>
      <c r="AT80" s="23">
        <f t="shared" si="46"/>
        <v>0</v>
      </c>
      <c r="AU80" s="23">
        <f t="shared" si="47"/>
        <v>0</v>
      </c>
      <c r="AV80" s="23">
        <f t="shared" si="48"/>
        <v>0</v>
      </c>
      <c r="AW80" s="23">
        <f t="shared" si="49"/>
        <v>0</v>
      </c>
      <c r="AX80" s="23">
        <f t="shared" si="50"/>
        <v>28.42</v>
      </c>
      <c r="AY80" s="23">
        <f t="shared" si="51"/>
        <v>0</v>
      </c>
      <c r="AZ80" s="23">
        <f t="shared" si="52"/>
        <v>0</v>
      </c>
      <c r="BA80" s="23">
        <f t="shared" si="53"/>
        <v>494.74</v>
      </c>
      <c r="BB80" s="23">
        <f t="shared" si="54"/>
        <v>45.26</v>
      </c>
      <c r="BC80" s="23">
        <f t="shared" si="55"/>
        <v>0</v>
      </c>
      <c r="BD80" s="23">
        <f t="shared" si="56"/>
        <v>135.79</v>
      </c>
      <c r="BE80" s="23">
        <f t="shared" si="57"/>
        <v>0</v>
      </c>
      <c r="BF80" s="23">
        <f t="shared" si="58"/>
        <v>0</v>
      </c>
      <c r="BG80" s="23">
        <f t="shared" si="59"/>
        <v>0</v>
      </c>
      <c r="BH80" s="23">
        <f t="shared" si="60"/>
        <v>854.74</v>
      </c>
      <c r="BI80" s="23">
        <f t="shared" si="61"/>
        <v>1410</v>
      </c>
      <c r="BJ80" s="23">
        <f t="shared" si="62"/>
        <v>0</v>
      </c>
      <c r="BK80" s="23">
        <f t="shared" si="63"/>
        <v>178.95</v>
      </c>
      <c r="BL80" s="23">
        <f t="shared" si="64"/>
        <v>288.08999999999997</v>
      </c>
      <c r="BM80" s="23">
        <f t="shared" si="65"/>
        <v>0</v>
      </c>
      <c r="BN80" s="23">
        <f t="shared" si="66"/>
        <v>0</v>
      </c>
      <c r="BO80" s="23">
        <f t="shared" si="67"/>
        <v>0</v>
      </c>
      <c r="BP80" s="23">
        <f t="shared" si="68"/>
        <v>0</v>
      </c>
      <c r="BQ80" s="23">
        <f t="shared" si="69"/>
        <v>0</v>
      </c>
      <c r="BR80" s="23">
        <f t="shared" si="70"/>
        <v>294.74</v>
      </c>
      <c r="BS80" s="23">
        <f t="shared" si="71"/>
        <v>0</v>
      </c>
      <c r="BT80" s="23">
        <f t="shared" si="72"/>
        <v>-555.26</v>
      </c>
      <c r="BU80" s="23">
        <f t="shared" si="72"/>
        <v>30.46</v>
      </c>
      <c r="BV80" s="23">
        <f t="shared" si="72"/>
        <v>8120.07</v>
      </c>
      <c r="BW80" s="23">
        <f t="shared" si="72"/>
        <v>13356.83</v>
      </c>
      <c r="BX80" s="23">
        <f t="shared" si="72"/>
        <v>13104.2</v>
      </c>
      <c r="BY80" t="s">
        <v>270</v>
      </c>
      <c r="CB80" s="36"/>
      <c r="CC80" s="36"/>
      <c r="CD80" s="36">
        <v>0</v>
      </c>
      <c r="CE80" t="s">
        <v>267</v>
      </c>
      <c r="CF80" t="s">
        <v>267</v>
      </c>
      <c r="CG80" t="s">
        <v>267</v>
      </c>
      <c r="CH80" t="s">
        <v>267</v>
      </c>
      <c r="CI80" t="s">
        <v>267</v>
      </c>
      <c r="CJ80" t="s">
        <v>267</v>
      </c>
      <c r="CK80" t="s">
        <v>266</v>
      </c>
      <c r="CL80" t="s">
        <v>266</v>
      </c>
      <c r="CM80" t="s">
        <v>285</v>
      </c>
      <c r="CN80" t="s">
        <v>267</v>
      </c>
      <c r="CO80" t="s">
        <v>266</v>
      </c>
    </row>
    <row r="81" spans="1:93" x14ac:dyDescent="0.25">
      <c r="A81" s="2" t="s">
        <v>87</v>
      </c>
      <c r="B81" s="17">
        <v>9.1999999999999993</v>
      </c>
      <c r="C81" s="17">
        <v>0</v>
      </c>
      <c r="D81" s="17">
        <v>0</v>
      </c>
      <c r="E81" s="17">
        <v>6.2</v>
      </c>
      <c r="F81" s="17">
        <v>0</v>
      </c>
      <c r="G81" s="17">
        <v>0</v>
      </c>
      <c r="H81" s="17">
        <v>0</v>
      </c>
      <c r="I81" s="17">
        <v>0</v>
      </c>
      <c r="J81" s="17">
        <v>0</v>
      </c>
      <c r="K81" s="17">
        <v>0</v>
      </c>
      <c r="L81" s="17">
        <v>2.7</v>
      </c>
      <c r="M81" s="17">
        <v>0</v>
      </c>
      <c r="N81" s="17">
        <v>0</v>
      </c>
      <c r="O81" s="17">
        <v>44</v>
      </c>
      <c r="P81" s="17">
        <v>4.2</v>
      </c>
      <c r="Q81" s="17">
        <v>0</v>
      </c>
      <c r="R81" s="17">
        <v>7</v>
      </c>
      <c r="S81" s="17">
        <v>0</v>
      </c>
      <c r="T81" s="17">
        <v>0</v>
      </c>
      <c r="U81" s="17">
        <v>0</v>
      </c>
      <c r="V81" s="17">
        <f t="shared" si="73"/>
        <v>73.3</v>
      </c>
      <c r="W81" s="18">
        <v>137.83999999999997</v>
      </c>
      <c r="X81" s="17">
        <v>0</v>
      </c>
      <c r="Y81" s="19">
        <v>15.5</v>
      </c>
      <c r="Z81" s="19">
        <v>25.856249999999999</v>
      </c>
      <c r="AA81" s="17">
        <v>0</v>
      </c>
      <c r="AB81" s="17">
        <v>0</v>
      </c>
      <c r="AC81" s="17">
        <v>0</v>
      </c>
      <c r="AD81" s="17">
        <v>0</v>
      </c>
      <c r="AE81" s="17">
        <v>0</v>
      </c>
      <c r="AF81" s="19">
        <v>28.1</v>
      </c>
      <c r="AG81" s="17">
        <v>0</v>
      </c>
      <c r="AH81" s="17">
        <f t="shared" si="74"/>
        <v>-64.539999999999978</v>
      </c>
      <c r="AI81" s="20">
        <v>5.1812499999999986</v>
      </c>
      <c r="AJ81" s="21">
        <v>769.8125</v>
      </c>
      <c r="AK81" s="22">
        <v>1253.6485715960525</v>
      </c>
      <c r="AL81" s="22">
        <v>1295.1485715960525</v>
      </c>
      <c r="AM81" s="16">
        <v>9.1</v>
      </c>
      <c r="AN81" s="23">
        <f t="shared" si="40"/>
        <v>101.1</v>
      </c>
      <c r="AO81" s="23">
        <f t="shared" si="41"/>
        <v>0</v>
      </c>
      <c r="AP81" s="23">
        <f t="shared" si="42"/>
        <v>0</v>
      </c>
      <c r="AQ81" s="23">
        <f t="shared" si="43"/>
        <v>68.13</v>
      </c>
      <c r="AR81" s="23">
        <f t="shared" si="44"/>
        <v>0</v>
      </c>
      <c r="AS81" s="23">
        <f t="shared" si="45"/>
        <v>0</v>
      </c>
      <c r="AT81" s="23">
        <f t="shared" si="46"/>
        <v>0</v>
      </c>
      <c r="AU81" s="23">
        <f t="shared" si="47"/>
        <v>0</v>
      </c>
      <c r="AV81" s="23">
        <f t="shared" si="48"/>
        <v>0</v>
      </c>
      <c r="AW81" s="23">
        <f t="shared" si="49"/>
        <v>0</v>
      </c>
      <c r="AX81" s="23">
        <f t="shared" si="50"/>
        <v>29.67</v>
      </c>
      <c r="AY81" s="23">
        <f t="shared" si="51"/>
        <v>0</v>
      </c>
      <c r="AZ81" s="23">
        <f t="shared" si="52"/>
        <v>0</v>
      </c>
      <c r="BA81" s="23">
        <f t="shared" si="53"/>
        <v>483.52</v>
      </c>
      <c r="BB81" s="23">
        <f t="shared" si="54"/>
        <v>46.15</v>
      </c>
      <c r="BC81" s="23">
        <f t="shared" si="55"/>
        <v>0</v>
      </c>
      <c r="BD81" s="23">
        <f t="shared" si="56"/>
        <v>76.92</v>
      </c>
      <c r="BE81" s="23">
        <f t="shared" si="57"/>
        <v>0</v>
      </c>
      <c r="BF81" s="23">
        <f t="shared" si="58"/>
        <v>0</v>
      </c>
      <c r="BG81" s="23">
        <f t="shared" si="59"/>
        <v>0</v>
      </c>
      <c r="BH81" s="23">
        <f t="shared" si="60"/>
        <v>805.49</v>
      </c>
      <c r="BI81" s="23">
        <f t="shared" si="61"/>
        <v>1514.73</v>
      </c>
      <c r="BJ81" s="23">
        <f t="shared" si="62"/>
        <v>0</v>
      </c>
      <c r="BK81" s="23">
        <f t="shared" si="63"/>
        <v>170.33</v>
      </c>
      <c r="BL81" s="23">
        <f t="shared" si="64"/>
        <v>284.13</v>
      </c>
      <c r="BM81" s="23">
        <f t="shared" si="65"/>
        <v>0</v>
      </c>
      <c r="BN81" s="23">
        <f t="shared" si="66"/>
        <v>0</v>
      </c>
      <c r="BO81" s="23">
        <f t="shared" si="67"/>
        <v>0</v>
      </c>
      <c r="BP81" s="23">
        <f t="shared" si="68"/>
        <v>0</v>
      </c>
      <c r="BQ81" s="23">
        <f t="shared" si="69"/>
        <v>0</v>
      </c>
      <c r="BR81" s="23">
        <f t="shared" si="70"/>
        <v>308.79000000000002</v>
      </c>
      <c r="BS81" s="23">
        <f t="shared" si="71"/>
        <v>0</v>
      </c>
      <c r="BT81" s="23">
        <f t="shared" si="72"/>
        <v>-709.23</v>
      </c>
      <c r="BU81" s="23">
        <f t="shared" si="72"/>
        <v>56.94</v>
      </c>
      <c r="BV81" s="23">
        <f t="shared" si="72"/>
        <v>8459.48</v>
      </c>
      <c r="BW81" s="23">
        <f t="shared" si="72"/>
        <v>13776.36</v>
      </c>
      <c r="BX81" s="23">
        <f t="shared" si="72"/>
        <v>14232.4</v>
      </c>
      <c r="BY81" t="s">
        <v>270</v>
      </c>
      <c r="CB81" s="36"/>
      <c r="CC81" s="36"/>
      <c r="CD81" s="36">
        <v>0</v>
      </c>
      <c r="CE81" t="s">
        <v>267</v>
      </c>
      <c r="CF81" t="s">
        <v>267</v>
      </c>
      <c r="CG81" t="s">
        <v>267</v>
      </c>
      <c r="CH81" t="s">
        <v>267</v>
      </c>
      <c r="CI81" t="s">
        <v>267</v>
      </c>
      <c r="CJ81" t="s">
        <v>267</v>
      </c>
      <c r="CK81" t="s">
        <v>266</v>
      </c>
      <c r="CL81" t="s">
        <v>266</v>
      </c>
      <c r="CM81" t="s">
        <v>285</v>
      </c>
      <c r="CN81" t="s">
        <v>267</v>
      </c>
      <c r="CO81" t="s">
        <v>266</v>
      </c>
    </row>
    <row r="82" spans="1:93" x14ac:dyDescent="0.25">
      <c r="A82" s="2" t="s">
        <v>88</v>
      </c>
      <c r="B82" s="17">
        <v>10.7</v>
      </c>
      <c r="C82" s="17">
        <v>0</v>
      </c>
      <c r="D82" s="17">
        <v>0</v>
      </c>
      <c r="E82" s="17">
        <v>6.7</v>
      </c>
      <c r="F82" s="17">
        <v>0</v>
      </c>
      <c r="G82" s="17">
        <v>0</v>
      </c>
      <c r="H82" s="17">
        <v>0</v>
      </c>
      <c r="I82" s="17">
        <v>0</v>
      </c>
      <c r="J82" s="17">
        <v>0</v>
      </c>
      <c r="K82" s="17">
        <v>0</v>
      </c>
      <c r="L82" s="17">
        <v>2.7</v>
      </c>
      <c r="M82" s="17">
        <v>0</v>
      </c>
      <c r="N82" s="17">
        <v>0</v>
      </c>
      <c r="O82" s="17">
        <v>44</v>
      </c>
      <c r="P82" s="17">
        <v>4.4000000000000004</v>
      </c>
      <c r="Q82" s="17">
        <v>0</v>
      </c>
      <c r="R82" s="17">
        <v>13.400000000000006</v>
      </c>
      <c r="S82" s="17">
        <v>0</v>
      </c>
      <c r="T82" s="17">
        <v>0</v>
      </c>
      <c r="U82" s="17">
        <v>0</v>
      </c>
      <c r="V82" s="17">
        <f t="shared" si="73"/>
        <v>81.900000000000006</v>
      </c>
      <c r="W82" s="18">
        <v>135.95499999999998</v>
      </c>
      <c r="X82" s="17">
        <v>0</v>
      </c>
      <c r="Y82" s="19">
        <v>15</v>
      </c>
      <c r="Z82" s="19">
        <v>25.40625</v>
      </c>
      <c r="AA82" s="17">
        <v>0</v>
      </c>
      <c r="AB82" s="17">
        <v>0</v>
      </c>
      <c r="AC82" s="17">
        <v>0</v>
      </c>
      <c r="AD82" s="17">
        <v>0</v>
      </c>
      <c r="AE82" s="17">
        <v>0</v>
      </c>
      <c r="AF82" s="19">
        <v>29.2</v>
      </c>
      <c r="AG82" s="17">
        <v>0</v>
      </c>
      <c r="AH82" s="17">
        <f t="shared" si="74"/>
        <v>-54.054999999999978</v>
      </c>
      <c r="AI82" s="20">
        <v>0.59374999999999289</v>
      </c>
      <c r="AJ82" s="21">
        <v>765.21875</v>
      </c>
      <c r="AK82" s="22">
        <v>1320.6485715960525</v>
      </c>
      <c r="AL82" s="22">
        <v>1330.1485715960525</v>
      </c>
      <c r="AM82" s="16">
        <v>9.4</v>
      </c>
      <c r="AN82" s="23">
        <f t="shared" si="40"/>
        <v>113.83</v>
      </c>
      <c r="AO82" s="23">
        <f t="shared" si="41"/>
        <v>0</v>
      </c>
      <c r="AP82" s="23">
        <f t="shared" si="42"/>
        <v>0</v>
      </c>
      <c r="AQ82" s="23">
        <f t="shared" si="43"/>
        <v>71.28</v>
      </c>
      <c r="AR82" s="23">
        <f t="shared" si="44"/>
        <v>0</v>
      </c>
      <c r="AS82" s="23">
        <f t="shared" si="45"/>
        <v>0</v>
      </c>
      <c r="AT82" s="23">
        <f t="shared" si="46"/>
        <v>0</v>
      </c>
      <c r="AU82" s="23">
        <f t="shared" si="47"/>
        <v>0</v>
      </c>
      <c r="AV82" s="23">
        <f t="shared" si="48"/>
        <v>0</v>
      </c>
      <c r="AW82" s="23">
        <f t="shared" si="49"/>
        <v>0</v>
      </c>
      <c r="AX82" s="23">
        <f t="shared" si="50"/>
        <v>28.72</v>
      </c>
      <c r="AY82" s="23">
        <f t="shared" si="51"/>
        <v>0</v>
      </c>
      <c r="AZ82" s="23">
        <f t="shared" si="52"/>
        <v>0</v>
      </c>
      <c r="BA82" s="23">
        <f t="shared" si="53"/>
        <v>468.09</v>
      </c>
      <c r="BB82" s="23">
        <f t="shared" si="54"/>
        <v>46.81</v>
      </c>
      <c r="BC82" s="23">
        <f t="shared" si="55"/>
        <v>0</v>
      </c>
      <c r="BD82" s="23">
        <f t="shared" si="56"/>
        <v>142.55000000000001</v>
      </c>
      <c r="BE82" s="23">
        <f t="shared" si="57"/>
        <v>0</v>
      </c>
      <c r="BF82" s="23">
        <f t="shared" si="58"/>
        <v>0</v>
      </c>
      <c r="BG82" s="23">
        <f t="shared" si="59"/>
        <v>0</v>
      </c>
      <c r="BH82" s="23">
        <f t="shared" si="60"/>
        <v>871.28</v>
      </c>
      <c r="BI82" s="23">
        <f t="shared" si="61"/>
        <v>1446.33</v>
      </c>
      <c r="BJ82" s="23">
        <f t="shared" si="62"/>
        <v>0</v>
      </c>
      <c r="BK82" s="23">
        <f t="shared" si="63"/>
        <v>159.57</v>
      </c>
      <c r="BL82" s="23">
        <f t="shared" si="64"/>
        <v>270.27999999999997</v>
      </c>
      <c r="BM82" s="23">
        <f t="shared" si="65"/>
        <v>0</v>
      </c>
      <c r="BN82" s="23">
        <f t="shared" si="66"/>
        <v>0</v>
      </c>
      <c r="BO82" s="23">
        <f t="shared" si="67"/>
        <v>0</v>
      </c>
      <c r="BP82" s="23">
        <f t="shared" si="68"/>
        <v>0</v>
      </c>
      <c r="BQ82" s="23">
        <f t="shared" si="69"/>
        <v>0</v>
      </c>
      <c r="BR82" s="23">
        <f t="shared" si="70"/>
        <v>310.64</v>
      </c>
      <c r="BS82" s="23">
        <f t="shared" si="71"/>
        <v>0</v>
      </c>
      <c r="BT82" s="23">
        <f t="shared" ref="BT82:BX97" si="75">_xlfn.SINGLE(ROUND((AH82/$AM82)*100,2))</f>
        <v>-575.04999999999995</v>
      </c>
      <c r="BU82" s="23">
        <f t="shared" si="75"/>
        <v>6.32</v>
      </c>
      <c r="BV82" s="23">
        <f t="shared" si="75"/>
        <v>8140.63</v>
      </c>
      <c r="BW82" s="23">
        <f t="shared" si="75"/>
        <v>14049.45</v>
      </c>
      <c r="BX82" s="23">
        <f t="shared" si="75"/>
        <v>14150.52</v>
      </c>
      <c r="BY82" t="s">
        <v>270</v>
      </c>
      <c r="CB82" s="36"/>
      <c r="CC82" s="36"/>
      <c r="CD82" s="36">
        <v>0</v>
      </c>
      <c r="CE82" t="s">
        <v>267</v>
      </c>
      <c r="CF82" t="s">
        <v>267</v>
      </c>
      <c r="CG82" t="s">
        <v>267</v>
      </c>
      <c r="CH82" t="s">
        <v>267</v>
      </c>
      <c r="CI82" t="s">
        <v>267</v>
      </c>
      <c r="CJ82" t="s">
        <v>267</v>
      </c>
      <c r="CK82" t="s">
        <v>266</v>
      </c>
      <c r="CL82" t="s">
        <v>266</v>
      </c>
      <c r="CM82" t="s">
        <v>285</v>
      </c>
      <c r="CN82" t="s">
        <v>267</v>
      </c>
      <c r="CO82" t="s">
        <v>266</v>
      </c>
    </row>
    <row r="83" spans="1:93" x14ac:dyDescent="0.25">
      <c r="A83" s="2" t="s">
        <v>89</v>
      </c>
      <c r="B83" s="17">
        <v>9.9</v>
      </c>
      <c r="C83" s="17">
        <v>0</v>
      </c>
      <c r="D83" s="17">
        <v>0</v>
      </c>
      <c r="E83" s="17">
        <v>7.1</v>
      </c>
      <c r="F83" s="17">
        <v>0</v>
      </c>
      <c r="G83" s="17">
        <v>0</v>
      </c>
      <c r="H83" s="17">
        <v>0</v>
      </c>
      <c r="I83" s="17">
        <v>0</v>
      </c>
      <c r="J83" s="17">
        <v>0</v>
      </c>
      <c r="K83" s="17">
        <v>0</v>
      </c>
      <c r="L83" s="17">
        <v>2.7</v>
      </c>
      <c r="M83" s="17">
        <v>0</v>
      </c>
      <c r="N83" s="17">
        <v>0</v>
      </c>
      <c r="O83" s="17">
        <v>46</v>
      </c>
      <c r="P83" s="17">
        <v>4.3</v>
      </c>
      <c r="Q83" s="17">
        <v>0</v>
      </c>
      <c r="R83" s="17">
        <v>14</v>
      </c>
      <c r="S83" s="17">
        <v>0</v>
      </c>
      <c r="T83" s="17">
        <v>0</v>
      </c>
      <c r="U83" s="17">
        <v>0</v>
      </c>
      <c r="V83" s="17">
        <f t="shared" si="73"/>
        <v>84</v>
      </c>
      <c r="W83" s="18">
        <v>138.57249999999999</v>
      </c>
      <c r="X83" s="17">
        <v>0</v>
      </c>
      <c r="Y83" s="19">
        <v>13</v>
      </c>
      <c r="Z83" s="19">
        <v>25.924999999999997</v>
      </c>
      <c r="AA83" s="17">
        <v>0</v>
      </c>
      <c r="AB83" s="17">
        <v>0</v>
      </c>
      <c r="AC83" s="17">
        <v>0</v>
      </c>
      <c r="AD83" s="17">
        <v>0</v>
      </c>
      <c r="AE83" s="17">
        <v>0</v>
      </c>
      <c r="AF83" s="19">
        <v>29.4</v>
      </c>
      <c r="AG83" s="17">
        <v>0</v>
      </c>
      <c r="AH83" s="17">
        <f t="shared" si="74"/>
        <v>-54.572499999999991</v>
      </c>
      <c r="AI83" s="20">
        <v>0.73750000000000604</v>
      </c>
      <c r="AJ83" s="21">
        <v>759.76875000000007</v>
      </c>
      <c r="AK83" s="22">
        <v>1344.6485715960525</v>
      </c>
      <c r="AL83" s="22">
        <v>1364.1485715960525</v>
      </c>
      <c r="AM83" s="16">
        <v>9.3000000000000007</v>
      </c>
      <c r="AN83" s="23">
        <f t="shared" si="40"/>
        <v>106.45</v>
      </c>
      <c r="AO83" s="23">
        <f t="shared" si="41"/>
        <v>0</v>
      </c>
      <c r="AP83" s="23">
        <f t="shared" si="42"/>
        <v>0</v>
      </c>
      <c r="AQ83" s="23">
        <f t="shared" si="43"/>
        <v>76.34</v>
      </c>
      <c r="AR83" s="23">
        <f t="shared" si="44"/>
        <v>0</v>
      </c>
      <c r="AS83" s="23">
        <f t="shared" si="45"/>
        <v>0</v>
      </c>
      <c r="AT83" s="23">
        <f t="shared" si="46"/>
        <v>0</v>
      </c>
      <c r="AU83" s="23">
        <f t="shared" si="47"/>
        <v>0</v>
      </c>
      <c r="AV83" s="23">
        <f t="shared" si="48"/>
        <v>0</v>
      </c>
      <c r="AW83" s="23">
        <f t="shared" si="49"/>
        <v>0</v>
      </c>
      <c r="AX83" s="23">
        <f t="shared" si="50"/>
        <v>29.03</v>
      </c>
      <c r="AY83" s="23">
        <f t="shared" si="51"/>
        <v>0</v>
      </c>
      <c r="AZ83" s="23">
        <f t="shared" si="52"/>
        <v>0</v>
      </c>
      <c r="BA83" s="23">
        <f t="shared" si="53"/>
        <v>494.62</v>
      </c>
      <c r="BB83" s="23">
        <f t="shared" si="54"/>
        <v>46.24</v>
      </c>
      <c r="BC83" s="23">
        <f t="shared" si="55"/>
        <v>0</v>
      </c>
      <c r="BD83" s="23">
        <f t="shared" si="56"/>
        <v>150.54</v>
      </c>
      <c r="BE83" s="23">
        <f t="shared" si="57"/>
        <v>0</v>
      </c>
      <c r="BF83" s="23">
        <f t="shared" si="58"/>
        <v>0</v>
      </c>
      <c r="BG83" s="23">
        <f t="shared" si="59"/>
        <v>0</v>
      </c>
      <c r="BH83" s="23">
        <f t="shared" si="60"/>
        <v>903.23</v>
      </c>
      <c r="BI83" s="23">
        <f t="shared" si="61"/>
        <v>1490.03</v>
      </c>
      <c r="BJ83" s="23">
        <f t="shared" si="62"/>
        <v>0</v>
      </c>
      <c r="BK83" s="23">
        <f t="shared" si="63"/>
        <v>139.78</v>
      </c>
      <c r="BL83" s="23">
        <f t="shared" si="64"/>
        <v>278.76</v>
      </c>
      <c r="BM83" s="23">
        <f t="shared" si="65"/>
        <v>0</v>
      </c>
      <c r="BN83" s="23">
        <f t="shared" si="66"/>
        <v>0</v>
      </c>
      <c r="BO83" s="23">
        <f t="shared" si="67"/>
        <v>0</v>
      </c>
      <c r="BP83" s="23">
        <f t="shared" si="68"/>
        <v>0</v>
      </c>
      <c r="BQ83" s="23">
        <f t="shared" si="69"/>
        <v>0</v>
      </c>
      <c r="BR83" s="23">
        <f t="shared" si="70"/>
        <v>316.13</v>
      </c>
      <c r="BS83" s="23">
        <f t="shared" si="71"/>
        <v>0</v>
      </c>
      <c r="BT83" s="23">
        <f t="shared" si="75"/>
        <v>-586.79999999999995</v>
      </c>
      <c r="BU83" s="23">
        <f t="shared" si="75"/>
        <v>7.93</v>
      </c>
      <c r="BV83" s="23">
        <f t="shared" si="75"/>
        <v>8169.56</v>
      </c>
      <c r="BW83" s="23">
        <f t="shared" si="75"/>
        <v>14458.59</v>
      </c>
      <c r="BX83" s="23">
        <f t="shared" si="75"/>
        <v>14668.26</v>
      </c>
      <c r="BY83" t="s">
        <v>270</v>
      </c>
      <c r="CB83" s="36"/>
      <c r="CC83" s="36"/>
      <c r="CD83" s="36">
        <v>0</v>
      </c>
      <c r="CE83" t="s">
        <v>267</v>
      </c>
      <c r="CF83" t="s">
        <v>267</v>
      </c>
      <c r="CG83" t="s">
        <v>267</v>
      </c>
      <c r="CH83" t="s">
        <v>267</v>
      </c>
      <c r="CI83" t="s">
        <v>267</v>
      </c>
      <c r="CJ83" t="s">
        <v>267</v>
      </c>
      <c r="CK83" t="s">
        <v>266</v>
      </c>
      <c r="CL83" t="s">
        <v>266</v>
      </c>
      <c r="CM83" t="s">
        <v>285</v>
      </c>
      <c r="CN83" t="s">
        <v>267</v>
      </c>
      <c r="CO83" t="s">
        <v>266</v>
      </c>
    </row>
    <row r="84" spans="1:93" x14ac:dyDescent="0.25">
      <c r="A84" s="2" t="s">
        <v>90</v>
      </c>
      <c r="B84" s="17">
        <v>11.9</v>
      </c>
      <c r="C84" s="17">
        <v>0</v>
      </c>
      <c r="D84" s="17">
        <v>0</v>
      </c>
      <c r="E84" s="17">
        <v>7.3</v>
      </c>
      <c r="F84" s="17">
        <v>0</v>
      </c>
      <c r="G84" s="17">
        <v>0</v>
      </c>
      <c r="H84" s="17">
        <v>0</v>
      </c>
      <c r="I84" s="17">
        <v>0</v>
      </c>
      <c r="J84" s="17">
        <v>0</v>
      </c>
      <c r="K84" s="17">
        <v>0</v>
      </c>
      <c r="L84" s="17">
        <v>2.8</v>
      </c>
      <c r="M84" s="17">
        <v>0</v>
      </c>
      <c r="N84" s="17">
        <v>0</v>
      </c>
      <c r="O84" s="17">
        <v>47</v>
      </c>
      <c r="P84" s="17">
        <v>4.5</v>
      </c>
      <c r="Q84" s="17">
        <v>0</v>
      </c>
      <c r="R84" s="17">
        <v>13.900000000000006</v>
      </c>
      <c r="S84" s="17">
        <v>0</v>
      </c>
      <c r="T84" s="17">
        <v>0</v>
      </c>
      <c r="U84" s="17">
        <v>0</v>
      </c>
      <c r="V84" s="17">
        <f t="shared" si="73"/>
        <v>87.4</v>
      </c>
      <c r="W84" s="18">
        <v>143.1925</v>
      </c>
      <c r="X84" s="17">
        <v>0</v>
      </c>
      <c r="Y84" s="19">
        <v>11.5</v>
      </c>
      <c r="Z84" s="19">
        <v>25.831249999999997</v>
      </c>
      <c r="AA84" s="17">
        <v>0</v>
      </c>
      <c r="AB84" s="17">
        <v>0</v>
      </c>
      <c r="AC84" s="17">
        <v>0</v>
      </c>
      <c r="AD84" s="17">
        <v>0</v>
      </c>
      <c r="AE84" s="17">
        <v>0</v>
      </c>
      <c r="AF84" s="19">
        <v>29.5</v>
      </c>
      <c r="AG84" s="17">
        <v>0</v>
      </c>
      <c r="AH84" s="17">
        <f t="shared" si="74"/>
        <v>-55.79249999999999</v>
      </c>
      <c r="AI84" s="20">
        <v>0.46875000000000699</v>
      </c>
      <c r="AJ84" s="21">
        <v>753.46875</v>
      </c>
      <c r="AK84" s="22">
        <v>1375.3985715960525</v>
      </c>
      <c r="AL84" s="22">
        <v>1378.3985715960525</v>
      </c>
      <c r="AM84" s="16">
        <v>9.4</v>
      </c>
      <c r="AN84" s="23">
        <f t="shared" si="40"/>
        <v>126.6</v>
      </c>
      <c r="AO84" s="23">
        <f t="shared" si="41"/>
        <v>0</v>
      </c>
      <c r="AP84" s="23">
        <f t="shared" si="42"/>
        <v>0</v>
      </c>
      <c r="AQ84" s="23">
        <f t="shared" si="43"/>
        <v>77.66</v>
      </c>
      <c r="AR84" s="23">
        <f t="shared" si="44"/>
        <v>0</v>
      </c>
      <c r="AS84" s="23">
        <f t="shared" si="45"/>
        <v>0</v>
      </c>
      <c r="AT84" s="23">
        <f t="shared" si="46"/>
        <v>0</v>
      </c>
      <c r="AU84" s="23">
        <f t="shared" si="47"/>
        <v>0</v>
      </c>
      <c r="AV84" s="23">
        <f t="shared" si="48"/>
        <v>0</v>
      </c>
      <c r="AW84" s="23">
        <f t="shared" si="49"/>
        <v>0</v>
      </c>
      <c r="AX84" s="23">
        <f t="shared" si="50"/>
        <v>29.79</v>
      </c>
      <c r="AY84" s="23">
        <f t="shared" si="51"/>
        <v>0</v>
      </c>
      <c r="AZ84" s="23">
        <f t="shared" si="52"/>
        <v>0</v>
      </c>
      <c r="BA84" s="23">
        <f t="shared" si="53"/>
        <v>500</v>
      </c>
      <c r="BB84" s="23">
        <f t="shared" si="54"/>
        <v>47.87</v>
      </c>
      <c r="BC84" s="23">
        <f t="shared" si="55"/>
        <v>0</v>
      </c>
      <c r="BD84" s="23">
        <f t="shared" si="56"/>
        <v>147.87</v>
      </c>
      <c r="BE84" s="23">
        <f t="shared" si="57"/>
        <v>0</v>
      </c>
      <c r="BF84" s="23">
        <f t="shared" si="58"/>
        <v>0</v>
      </c>
      <c r="BG84" s="23">
        <f t="shared" si="59"/>
        <v>0</v>
      </c>
      <c r="BH84" s="23">
        <f t="shared" si="60"/>
        <v>929.79</v>
      </c>
      <c r="BI84" s="23">
        <f t="shared" si="61"/>
        <v>1523.32</v>
      </c>
      <c r="BJ84" s="23">
        <f t="shared" si="62"/>
        <v>0</v>
      </c>
      <c r="BK84" s="23">
        <f t="shared" si="63"/>
        <v>122.34</v>
      </c>
      <c r="BL84" s="23">
        <f t="shared" si="64"/>
        <v>274.8</v>
      </c>
      <c r="BM84" s="23">
        <f t="shared" si="65"/>
        <v>0</v>
      </c>
      <c r="BN84" s="23">
        <f t="shared" si="66"/>
        <v>0</v>
      </c>
      <c r="BO84" s="23">
        <f t="shared" si="67"/>
        <v>0</v>
      </c>
      <c r="BP84" s="23">
        <f t="shared" si="68"/>
        <v>0</v>
      </c>
      <c r="BQ84" s="23">
        <f t="shared" si="69"/>
        <v>0</v>
      </c>
      <c r="BR84" s="23">
        <f t="shared" si="70"/>
        <v>313.83</v>
      </c>
      <c r="BS84" s="23">
        <f t="shared" si="71"/>
        <v>0</v>
      </c>
      <c r="BT84" s="23">
        <f t="shared" si="75"/>
        <v>-593.54</v>
      </c>
      <c r="BU84" s="23">
        <f t="shared" si="75"/>
        <v>4.99</v>
      </c>
      <c r="BV84" s="23">
        <f t="shared" si="75"/>
        <v>8015.63</v>
      </c>
      <c r="BW84" s="23">
        <f t="shared" si="75"/>
        <v>14631.9</v>
      </c>
      <c r="BX84" s="23">
        <f t="shared" si="75"/>
        <v>14663.81</v>
      </c>
      <c r="BY84" t="s">
        <v>270</v>
      </c>
      <c r="CB84" s="36"/>
      <c r="CC84" s="36"/>
      <c r="CD84" s="36">
        <v>0</v>
      </c>
      <c r="CE84" t="s">
        <v>267</v>
      </c>
      <c r="CF84" t="s">
        <v>267</v>
      </c>
      <c r="CG84" t="s">
        <v>267</v>
      </c>
      <c r="CH84" t="s">
        <v>267</v>
      </c>
      <c r="CI84" t="s">
        <v>267</v>
      </c>
      <c r="CJ84" t="s">
        <v>267</v>
      </c>
      <c r="CK84" t="s">
        <v>266</v>
      </c>
      <c r="CL84" t="s">
        <v>266</v>
      </c>
      <c r="CM84" t="s">
        <v>285</v>
      </c>
      <c r="CN84" t="s">
        <v>267</v>
      </c>
      <c r="CO84" t="s">
        <v>266</v>
      </c>
    </row>
    <row r="85" spans="1:93" x14ac:dyDescent="0.25">
      <c r="A85" s="2" t="s">
        <v>91</v>
      </c>
      <c r="B85" s="17">
        <v>10.7</v>
      </c>
      <c r="C85" s="17">
        <v>0</v>
      </c>
      <c r="D85" s="17">
        <v>0</v>
      </c>
      <c r="E85" s="17">
        <v>7.4</v>
      </c>
      <c r="F85" s="17">
        <v>0</v>
      </c>
      <c r="G85" s="17">
        <v>0</v>
      </c>
      <c r="H85" s="17">
        <v>0</v>
      </c>
      <c r="I85" s="17">
        <v>0</v>
      </c>
      <c r="J85" s="17">
        <v>0</v>
      </c>
      <c r="K85" s="17">
        <v>0</v>
      </c>
      <c r="L85" s="17">
        <v>2.9</v>
      </c>
      <c r="M85" s="17">
        <v>0</v>
      </c>
      <c r="N85" s="17">
        <v>0</v>
      </c>
      <c r="O85" s="17">
        <v>47</v>
      </c>
      <c r="P85" s="17">
        <v>4.2</v>
      </c>
      <c r="Q85" s="17">
        <v>0</v>
      </c>
      <c r="R85" s="17">
        <v>14</v>
      </c>
      <c r="S85" s="17">
        <v>0</v>
      </c>
      <c r="T85" s="17">
        <v>0</v>
      </c>
      <c r="U85" s="17">
        <v>0</v>
      </c>
      <c r="V85" s="17">
        <f t="shared" si="73"/>
        <v>86.2</v>
      </c>
      <c r="W85" s="18">
        <v>143.595</v>
      </c>
      <c r="X85" s="17">
        <v>0</v>
      </c>
      <c r="Y85" s="19">
        <v>12</v>
      </c>
      <c r="Z85" s="19">
        <v>27.137500000000003</v>
      </c>
      <c r="AA85" s="17">
        <v>0</v>
      </c>
      <c r="AB85" s="17">
        <v>0</v>
      </c>
      <c r="AC85" s="17">
        <v>0</v>
      </c>
      <c r="AD85" s="17">
        <v>0</v>
      </c>
      <c r="AE85" s="17">
        <v>0</v>
      </c>
      <c r="AF85" s="19">
        <v>29.1</v>
      </c>
      <c r="AG85" s="17">
        <v>0</v>
      </c>
      <c r="AH85" s="17">
        <f t="shared" si="74"/>
        <v>-57.394999999999996</v>
      </c>
      <c r="AI85" s="20">
        <v>0.46250000000000002</v>
      </c>
      <c r="AJ85" s="21">
        <v>746.08749999999986</v>
      </c>
      <c r="AK85" s="22">
        <v>1370.1485715960525</v>
      </c>
      <c r="AL85" s="22">
        <v>1350.6485715960525</v>
      </c>
      <c r="AM85" s="16">
        <v>9.3000000000000007</v>
      </c>
      <c r="AN85" s="23">
        <f t="shared" si="40"/>
        <v>115.05</v>
      </c>
      <c r="AO85" s="23">
        <f t="shared" si="41"/>
        <v>0</v>
      </c>
      <c r="AP85" s="23">
        <f t="shared" si="42"/>
        <v>0</v>
      </c>
      <c r="AQ85" s="23">
        <f t="shared" si="43"/>
        <v>79.569999999999993</v>
      </c>
      <c r="AR85" s="23">
        <f t="shared" si="44"/>
        <v>0</v>
      </c>
      <c r="AS85" s="23">
        <f t="shared" si="45"/>
        <v>0</v>
      </c>
      <c r="AT85" s="23">
        <f t="shared" si="46"/>
        <v>0</v>
      </c>
      <c r="AU85" s="23">
        <f t="shared" si="47"/>
        <v>0</v>
      </c>
      <c r="AV85" s="23">
        <f t="shared" si="48"/>
        <v>0</v>
      </c>
      <c r="AW85" s="23">
        <f t="shared" si="49"/>
        <v>0</v>
      </c>
      <c r="AX85" s="23">
        <f t="shared" si="50"/>
        <v>31.18</v>
      </c>
      <c r="AY85" s="23">
        <f t="shared" si="51"/>
        <v>0</v>
      </c>
      <c r="AZ85" s="23">
        <f t="shared" si="52"/>
        <v>0</v>
      </c>
      <c r="BA85" s="23">
        <f t="shared" si="53"/>
        <v>505.38</v>
      </c>
      <c r="BB85" s="23">
        <f t="shared" si="54"/>
        <v>45.16</v>
      </c>
      <c r="BC85" s="23">
        <f t="shared" si="55"/>
        <v>0</v>
      </c>
      <c r="BD85" s="23">
        <f t="shared" si="56"/>
        <v>150.54</v>
      </c>
      <c r="BE85" s="23">
        <f t="shared" si="57"/>
        <v>0</v>
      </c>
      <c r="BF85" s="23">
        <f t="shared" si="58"/>
        <v>0</v>
      </c>
      <c r="BG85" s="23">
        <f t="shared" si="59"/>
        <v>0</v>
      </c>
      <c r="BH85" s="23">
        <f t="shared" si="60"/>
        <v>926.88</v>
      </c>
      <c r="BI85" s="23">
        <f t="shared" si="61"/>
        <v>1544.03</v>
      </c>
      <c r="BJ85" s="23">
        <f t="shared" si="62"/>
        <v>0</v>
      </c>
      <c r="BK85" s="23">
        <f t="shared" si="63"/>
        <v>129.03</v>
      </c>
      <c r="BL85" s="23">
        <f t="shared" si="64"/>
        <v>291.8</v>
      </c>
      <c r="BM85" s="23">
        <f t="shared" si="65"/>
        <v>0</v>
      </c>
      <c r="BN85" s="23">
        <f t="shared" si="66"/>
        <v>0</v>
      </c>
      <c r="BO85" s="23">
        <f t="shared" si="67"/>
        <v>0</v>
      </c>
      <c r="BP85" s="23">
        <f t="shared" si="68"/>
        <v>0</v>
      </c>
      <c r="BQ85" s="23">
        <f t="shared" si="69"/>
        <v>0</v>
      </c>
      <c r="BR85" s="23">
        <f t="shared" si="70"/>
        <v>312.89999999999998</v>
      </c>
      <c r="BS85" s="23">
        <f t="shared" si="71"/>
        <v>0</v>
      </c>
      <c r="BT85" s="23">
        <f t="shared" si="75"/>
        <v>-617.15</v>
      </c>
      <c r="BU85" s="23">
        <f t="shared" si="75"/>
        <v>4.97</v>
      </c>
      <c r="BV85" s="23">
        <f t="shared" si="75"/>
        <v>8022.45</v>
      </c>
      <c r="BW85" s="23">
        <f t="shared" si="75"/>
        <v>14732.78</v>
      </c>
      <c r="BX85" s="23">
        <f t="shared" si="75"/>
        <v>14523.1</v>
      </c>
      <c r="BY85" t="s">
        <v>270</v>
      </c>
      <c r="CB85" s="36"/>
      <c r="CC85" s="36"/>
      <c r="CD85" s="36">
        <v>0</v>
      </c>
      <c r="CE85" t="s">
        <v>267</v>
      </c>
      <c r="CF85" t="s">
        <v>267</v>
      </c>
      <c r="CG85" t="s">
        <v>267</v>
      </c>
      <c r="CH85" t="s">
        <v>267</v>
      </c>
      <c r="CI85" t="s">
        <v>267</v>
      </c>
      <c r="CJ85" t="s">
        <v>267</v>
      </c>
      <c r="CK85" t="s">
        <v>266</v>
      </c>
      <c r="CL85" t="s">
        <v>266</v>
      </c>
      <c r="CM85" t="s">
        <v>285</v>
      </c>
      <c r="CN85" t="s">
        <v>267</v>
      </c>
      <c r="CO85" t="s">
        <v>266</v>
      </c>
    </row>
    <row r="86" spans="1:93" x14ac:dyDescent="0.25">
      <c r="A86" s="2" t="s">
        <v>92</v>
      </c>
      <c r="B86" s="17">
        <v>12</v>
      </c>
      <c r="C86" s="17">
        <v>0</v>
      </c>
      <c r="D86" s="17">
        <v>0</v>
      </c>
      <c r="E86" s="17">
        <v>7.7</v>
      </c>
      <c r="F86" s="17">
        <v>0</v>
      </c>
      <c r="G86" s="17">
        <v>0</v>
      </c>
      <c r="H86" s="17">
        <v>0</v>
      </c>
      <c r="I86" s="17">
        <v>0</v>
      </c>
      <c r="J86" s="17">
        <v>0</v>
      </c>
      <c r="K86" s="17">
        <v>0</v>
      </c>
      <c r="L86" s="17">
        <v>3</v>
      </c>
      <c r="M86" s="17">
        <v>0</v>
      </c>
      <c r="N86" s="17">
        <v>0</v>
      </c>
      <c r="O86" s="17">
        <v>47</v>
      </c>
      <c r="P86" s="17">
        <v>4.2</v>
      </c>
      <c r="Q86" s="17">
        <v>0</v>
      </c>
      <c r="R86" s="17">
        <v>14.099999999999994</v>
      </c>
      <c r="S86" s="17">
        <v>0</v>
      </c>
      <c r="T86" s="17">
        <v>0</v>
      </c>
      <c r="U86" s="17">
        <v>0</v>
      </c>
      <c r="V86" s="17">
        <f t="shared" si="73"/>
        <v>88</v>
      </c>
      <c r="W86" s="18">
        <v>143.13250000000002</v>
      </c>
      <c r="X86" s="17">
        <v>0</v>
      </c>
      <c r="Y86" s="19">
        <v>13.25</v>
      </c>
      <c r="Z86" s="19">
        <v>29.34375</v>
      </c>
      <c r="AA86" s="17">
        <v>0</v>
      </c>
      <c r="AB86" s="17">
        <v>0</v>
      </c>
      <c r="AC86" s="17">
        <v>0</v>
      </c>
      <c r="AD86" s="17">
        <v>0</v>
      </c>
      <c r="AE86" s="17">
        <v>0</v>
      </c>
      <c r="AF86" s="19">
        <v>29</v>
      </c>
      <c r="AG86" s="17">
        <v>0</v>
      </c>
      <c r="AH86" s="17">
        <f t="shared" si="74"/>
        <v>-55.132500000000022</v>
      </c>
      <c r="AI86" s="20">
        <v>0.65000000000000213</v>
      </c>
      <c r="AJ86" s="21">
        <v>741.36250000000007</v>
      </c>
      <c r="AK86" s="22">
        <v>1333.6485715960525</v>
      </c>
      <c r="AL86" s="22">
        <v>1319.1485715960525</v>
      </c>
      <c r="AM86" s="16">
        <v>9.1</v>
      </c>
      <c r="AN86" s="23">
        <f t="shared" si="40"/>
        <v>131.87</v>
      </c>
      <c r="AO86" s="23">
        <f t="shared" si="41"/>
        <v>0</v>
      </c>
      <c r="AP86" s="23">
        <f t="shared" si="42"/>
        <v>0</v>
      </c>
      <c r="AQ86" s="23">
        <f t="shared" si="43"/>
        <v>84.62</v>
      </c>
      <c r="AR86" s="23">
        <f t="shared" si="44"/>
        <v>0</v>
      </c>
      <c r="AS86" s="23">
        <f t="shared" si="45"/>
        <v>0</v>
      </c>
      <c r="AT86" s="23">
        <f t="shared" si="46"/>
        <v>0</v>
      </c>
      <c r="AU86" s="23">
        <f t="shared" si="47"/>
        <v>0</v>
      </c>
      <c r="AV86" s="23">
        <f t="shared" si="48"/>
        <v>0</v>
      </c>
      <c r="AW86" s="23">
        <f t="shared" si="49"/>
        <v>0</v>
      </c>
      <c r="AX86" s="23">
        <f t="shared" si="50"/>
        <v>32.97</v>
      </c>
      <c r="AY86" s="23">
        <f t="shared" si="51"/>
        <v>0</v>
      </c>
      <c r="AZ86" s="23">
        <f t="shared" si="52"/>
        <v>0</v>
      </c>
      <c r="BA86" s="23">
        <f t="shared" si="53"/>
        <v>516.48</v>
      </c>
      <c r="BB86" s="23">
        <f t="shared" si="54"/>
        <v>46.15</v>
      </c>
      <c r="BC86" s="23">
        <f t="shared" si="55"/>
        <v>0</v>
      </c>
      <c r="BD86" s="23">
        <f t="shared" si="56"/>
        <v>154.94999999999999</v>
      </c>
      <c r="BE86" s="23">
        <f t="shared" si="57"/>
        <v>0</v>
      </c>
      <c r="BF86" s="23">
        <f t="shared" si="58"/>
        <v>0</v>
      </c>
      <c r="BG86" s="23">
        <f t="shared" si="59"/>
        <v>0</v>
      </c>
      <c r="BH86" s="23">
        <f t="shared" si="60"/>
        <v>967.03</v>
      </c>
      <c r="BI86" s="23">
        <f t="shared" si="61"/>
        <v>1572.88</v>
      </c>
      <c r="BJ86" s="23">
        <f t="shared" si="62"/>
        <v>0</v>
      </c>
      <c r="BK86" s="23">
        <f t="shared" si="63"/>
        <v>145.6</v>
      </c>
      <c r="BL86" s="23">
        <f t="shared" si="64"/>
        <v>322.45999999999998</v>
      </c>
      <c r="BM86" s="23">
        <f t="shared" si="65"/>
        <v>0</v>
      </c>
      <c r="BN86" s="23">
        <f t="shared" si="66"/>
        <v>0</v>
      </c>
      <c r="BO86" s="23">
        <f t="shared" si="67"/>
        <v>0</v>
      </c>
      <c r="BP86" s="23">
        <f t="shared" si="68"/>
        <v>0</v>
      </c>
      <c r="BQ86" s="23">
        <f t="shared" si="69"/>
        <v>0</v>
      </c>
      <c r="BR86" s="23">
        <f t="shared" si="70"/>
        <v>318.68</v>
      </c>
      <c r="BS86" s="23">
        <f t="shared" si="71"/>
        <v>0</v>
      </c>
      <c r="BT86" s="23">
        <f t="shared" si="75"/>
        <v>-605.85</v>
      </c>
      <c r="BU86" s="23">
        <f t="shared" si="75"/>
        <v>7.14</v>
      </c>
      <c r="BV86" s="23">
        <f t="shared" si="75"/>
        <v>8146.84</v>
      </c>
      <c r="BW86" s="23">
        <f t="shared" si="75"/>
        <v>14655.48</v>
      </c>
      <c r="BX86" s="23">
        <f t="shared" si="75"/>
        <v>14496.14</v>
      </c>
      <c r="BY86" t="s">
        <v>270</v>
      </c>
      <c r="CB86" s="36"/>
      <c r="CC86" s="36"/>
      <c r="CD86" s="36">
        <v>0</v>
      </c>
      <c r="CE86" t="s">
        <v>267</v>
      </c>
      <c r="CF86" t="s">
        <v>267</v>
      </c>
      <c r="CG86" t="s">
        <v>267</v>
      </c>
      <c r="CH86" t="s">
        <v>267</v>
      </c>
      <c r="CI86" t="s">
        <v>267</v>
      </c>
      <c r="CJ86" t="s">
        <v>267</v>
      </c>
      <c r="CK86" t="s">
        <v>266</v>
      </c>
      <c r="CL86" t="s">
        <v>267</v>
      </c>
      <c r="CM86" t="s">
        <v>285</v>
      </c>
      <c r="CN86" t="s">
        <v>267</v>
      </c>
      <c r="CO86" t="s">
        <v>266</v>
      </c>
    </row>
    <row r="87" spans="1:93" x14ac:dyDescent="0.25">
      <c r="A87" s="2" t="s">
        <v>93</v>
      </c>
      <c r="B87" s="17">
        <v>15.2</v>
      </c>
      <c r="C87" s="17">
        <v>0</v>
      </c>
      <c r="D87" s="17">
        <v>0</v>
      </c>
      <c r="E87" s="17">
        <v>7.4</v>
      </c>
      <c r="F87" s="17">
        <v>0</v>
      </c>
      <c r="G87" s="17">
        <v>0</v>
      </c>
      <c r="H87" s="17">
        <v>0</v>
      </c>
      <c r="I87" s="17">
        <v>0</v>
      </c>
      <c r="J87" s="17">
        <v>0</v>
      </c>
      <c r="K87" s="17">
        <v>0</v>
      </c>
      <c r="L87" s="17">
        <v>2.9</v>
      </c>
      <c r="M87" s="17">
        <v>0</v>
      </c>
      <c r="N87" s="17">
        <v>0</v>
      </c>
      <c r="O87" s="17">
        <v>45</v>
      </c>
      <c r="P87" s="17">
        <v>4.2</v>
      </c>
      <c r="Q87" s="17">
        <v>0</v>
      </c>
      <c r="R87" s="17">
        <v>14.899999999999991</v>
      </c>
      <c r="S87" s="17">
        <v>0</v>
      </c>
      <c r="T87" s="17">
        <v>0</v>
      </c>
      <c r="U87" s="17">
        <v>0</v>
      </c>
      <c r="V87" s="17">
        <f t="shared" si="73"/>
        <v>89.6</v>
      </c>
      <c r="W87" s="18">
        <v>147.70249999999999</v>
      </c>
      <c r="X87" s="17">
        <v>0</v>
      </c>
      <c r="Y87" s="19">
        <v>12.25</v>
      </c>
      <c r="Z87" s="19">
        <v>30.131249999999998</v>
      </c>
      <c r="AA87" s="17">
        <v>0</v>
      </c>
      <c r="AB87" s="17">
        <v>0</v>
      </c>
      <c r="AC87" s="17">
        <v>0</v>
      </c>
      <c r="AD87" s="17">
        <v>0</v>
      </c>
      <c r="AE87" s="17">
        <v>0</v>
      </c>
      <c r="AF87" s="19">
        <v>23.5</v>
      </c>
      <c r="AG87" s="17">
        <v>0</v>
      </c>
      <c r="AH87" s="17">
        <f t="shared" si="74"/>
        <v>-58.102499999999992</v>
      </c>
      <c r="AI87" s="20">
        <v>1.5687500000000059</v>
      </c>
      <c r="AJ87" s="21">
        <v>740.51875000000007</v>
      </c>
      <c r="AK87" s="22">
        <v>1313.8985715960525</v>
      </c>
      <c r="AL87" s="22">
        <v>1317.8985715960525</v>
      </c>
      <c r="AM87" s="16">
        <v>8.8000000000000007</v>
      </c>
      <c r="AN87" s="23">
        <f t="shared" si="40"/>
        <v>172.73</v>
      </c>
      <c r="AO87" s="23">
        <f t="shared" si="41"/>
        <v>0</v>
      </c>
      <c r="AP87" s="23">
        <f t="shared" si="42"/>
        <v>0</v>
      </c>
      <c r="AQ87" s="23">
        <f t="shared" si="43"/>
        <v>84.09</v>
      </c>
      <c r="AR87" s="23">
        <f t="shared" si="44"/>
        <v>0</v>
      </c>
      <c r="AS87" s="23">
        <f t="shared" si="45"/>
        <v>0</v>
      </c>
      <c r="AT87" s="23">
        <f t="shared" si="46"/>
        <v>0</v>
      </c>
      <c r="AU87" s="23">
        <f t="shared" si="47"/>
        <v>0</v>
      </c>
      <c r="AV87" s="23">
        <f t="shared" si="48"/>
        <v>0</v>
      </c>
      <c r="AW87" s="23">
        <f t="shared" si="49"/>
        <v>0</v>
      </c>
      <c r="AX87" s="23">
        <f t="shared" si="50"/>
        <v>32.950000000000003</v>
      </c>
      <c r="AY87" s="23">
        <f t="shared" si="51"/>
        <v>0</v>
      </c>
      <c r="AZ87" s="23">
        <f t="shared" si="52"/>
        <v>0</v>
      </c>
      <c r="BA87" s="23">
        <f t="shared" si="53"/>
        <v>511.36</v>
      </c>
      <c r="BB87" s="23">
        <f t="shared" si="54"/>
        <v>47.73</v>
      </c>
      <c r="BC87" s="23">
        <f t="shared" si="55"/>
        <v>0</v>
      </c>
      <c r="BD87" s="23">
        <f t="shared" si="56"/>
        <v>169.32</v>
      </c>
      <c r="BE87" s="23">
        <f t="shared" si="57"/>
        <v>0</v>
      </c>
      <c r="BF87" s="23">
        <f t="shared" si="58"/>
        <v>0</v>
      </c>
      <c r="BG87" s="23">
        <f t="shared" si="59"/>
        <v>0</v>
      </c>
      <c r="BH87" s="23">
        <f t="shared" si="60"/>
        <v>1018.18</v>
      </c>
      <c r="BI87" s="23">
        <f t="shared" si="61"/>
        <v>1678.44</v>
      </c>
      <c r="BJ87" s="23">
        <f t="shared" si="62"/>
        <v>0</v>
      </c>
      <c r="BK87" s="23">
        <f t="shared" si="63"/>
        <v>139.19999999999999</v>
      </c>
      <c r="BL87" s="23">
        <f t="shared" si="64"/>
        <v>342.4</v>
      </c>
      <c r="BM87" s="23">
        <f t="shared" si="65"/>
        <v>0</v>
      </c>
      <c r="BN87" s="23">
        <f t="shared" si="66"/>
        <v>0</v>
      </c>
      <c r="BO87" s="23">
        <f t="shared" si="67"/>
        <v>0</v>
      </c>
      <c r="BP87" s="23">
        <f t="shared" si="68"/>
        <v>0</v>
      </c>
      <c r="BQ87" s="23">
        <f t="shared" si="69"/>
        <v>0</v>
      </c>
      <c r="BR87" s="23">
        <f t="shared" si="70"/>
        <v>267.05</v>
      </c>
      <c r="BS87" s="23">
        <f t="shared" si="71"/>
        <v>0</v>
      </c>
      <c r="BT87" s="23">
        <f t="shared" si="75"/>
        <v>-660.26</v>
      </c>
      <c r="BU87" s="23">
        <f t="shared" si="75"/>
        <v>17.829999999999998</v>
      </c>
      <c r="BV87" s="23">
        <f t="shared" si="75"/>
        <v>8414.99</v>
      </c>
      <c r="BW87" s="23">
        <f t="shared" si="75"/>
        <v>14930.67</v>
      </c>
      <c r="BX87" s="23">
        <f t="shared" si="75"/>
        <v>14976.12</v>
      </c>
      <c r="BY87" t="s">
        <v>270</v>
      </c>
      <c r="CB87" s="36"/>
      <c r="CC87" s="36"/>
      <c r="CD87" s="36">
        <v>0</v>
      </c>
      <c r="CE87" t="s">
        <v>267</v>
      </c>
      <c r="CF87" t="s">
        <v>267</v>
      </c>
      <c r="CG87" t="s">
        <v>267</v>
      </c>
      <c r="CH87" t="s">
        <v>267</v>
      </c>
      <c r="CI87" t="s">
        <v>267</v>
      </c>
      <c r="CJ87" t="s">
        <v>267</v>
      </c>
      <c r="CK87" t="s">
        <v>266</v>
      </c>
      <c r="CL87" t="s">
        <v>267</v>
      </c>
      <c r="CM87" t="s">
        <v>285</v>
      </c>
      <c r="CN87" t="s">
        <v>267</v>
      </c>
      <c r="CO87" t="s">
        <v>266</v>
      </c>
    </row>
    <row r="88" spans="1:93" x14ac:dyDescent="0.25">
      <c r="A88" s="2" t="s">
        <v>94</v>
      </c>
      <c r="B88" s="17">
        <v>15.9</v>
      </c>
      <c r="C88" s="17">
        <v>0</v>
      </c>
      <c r="D88" s="17">
        <v>0</v>
      </c>
      <c r="E88" s="17">
        <v>7.4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3</v>
      </c>
      <c r="M88" s="17">
        <v>0</v>
      </c>
      <c r="N88" s="17">
        <v>0</v>
      </c>
      <c r="O88" s="17">
        <v>45</v>
      </c>
      <c r="P88" s="17">
        <v>4.4000000000000004</v>
      </c>
      <c r="Q88" s="17">
        <v>0</v>
      </c>
      <c r="R88" s="17">
        <v>15.099999999999994</v>
      </c>
      <c r="S88" s="17">
        <v>0</v>
      </c>
      <c r="T88" s="17">
        <v>0</v>
      </c>
      <c r="U88" s="17">
        <v>0</v>
      </c>
      <c r="V88" s="17">
        <f t="shared" si="73"/>
        <v>90.8</v>
      </c>
      <c r="W88" s="18">
        <v>149.73750000000001</v>
      </c>
      <c r="X88" s="17">
        <v>0</v>
      </c>
      <c r="Y88" s="19">
        <v>11.75</v>
      </c>
      <c r="Z88" s="19">
        <v>31.099999999999998</v>
      </c>
      <c r="AA88" s="17">
        <v>0</v>
      </c>
      <c r="AB88" s="17">
        <v>0</v>
      </c>
      <c r="AC88" s="17">
        <v>0</v>
      </c>
      <c r="AD88" s="17">
        <v>0</v>
      </c>
      <c r="AE88" s="17">
        <v>0</v>
      </c>
      <c r="AF88" s="19">
        <v>28</v>
      </c>
      <c r="AG88" s="17">
        <v>0</v>
      </c>
      <c r="AH88" s="17">
        <f t="shared" si="74"/>
        <v>-58.937500000000014</v>
      </c>
      <c r="AI88" s="20">
        <v>0.593749999999996</v>
      </c>
      <c r="AJ88" s="21">
        <v>731.36250000000007</v>
      </c>
      <c r="AK88" s="22">
        <v>1332.6485715960525</v>
      </c>
      <c r="AL88" s="22">
        <v>1358.1485715960525</v>
      </c>
      <c r="AM88" s="16">
        <v>8.6999999999999993</v>
      </c>
      <c r="AN88" s="23">
        <f t="shared" si="40"/>
        <v>182.76</v>
      </c>
      <c r="AO88" s="23">
        <f t="shared" si="41"/>
        <v>0</v>
      </c>
      <c r="AP88" s="23">
        <f t="shared" si="42"/>
        <v>0</v>
      </c>
      <c r="AQ88" s="23">
        <f t="shared" si="43"/>
        <v>85.06</v>
      </c>
      <c r="AR88" s="23">
        <f t="shared" si="44"/>
        <v>0</v>
      </c>
      <c r="AS88" s="23">
        <f t="shared" si="45"/>
        <v>0</v>
      </c>
      <c r="AT88" s="23">
        <f t="shared" si="46"/>
        <v>0</v>
      </c>
      <c r="AU88" s="23">
        <f t="shared" si="47"/>
        <v>0</v>
      </c>
      <c r="AV88" s="23">
        <f t="shared" si="48"/>
        <v>0</v>
      </c>
      <c r="AW88" s="23">
        <f t="shared" si="49"/>
        <v>0</v>
      </c>
      <c r="AX88" s="23">
        <f t="shared" si="50"/>
        <v>34.479999999999997</v>
      </c>
      <c r="AY88" s="23">
        <f t="shared" si="51"/>
        <v>0</v>
      </c>
      <c r="AZ88" s="23">
        <f t="shared" si="52"/>
        <v>0</v>
      </c>
      <c r="BA88" s="23">
        <f t="shared" si="53"/>
        <v>517.24</v>
      </c>
      <c r="BB88" s="23">
        <f t="shared" si="54"/>
        <v>50.57</v>
      </c>
      <c r="BC88" s="23">
        <f t="shared" si="55"/>
        <v>0</v>
      </c>
      <c r="BD88" s="23">
        <f t="shared" si="56"/>
        <v>173.56</v>
      </c>
      <c r="BE88" s="23">
        <f t="shared" si="57"/>
        <v>0</v>
      </c>
      <c r="BF88" s="23">
        <f t="shared" si="58"/>
        <v>0</v>
      </c>
      <c r="BG88" s="23">
        <f t="shared" si="59"/>
        <v>0</v>
      </c>
      <c r="BH88" s="23">
        <f t="shared" si="60"/>
        <v>1043.68</v>
      </c>
      <c r="BI88" s="23">
        <f t="shared" si="61"/>
        <v>1721.12</v>
      </c>
      <c r="BJ88" s="23">
        <f t="shared" si="62"/>
        <v>0</v>
      </c>
      <c r="BK88" s="23">
        <f t="shared" si="63"/>
        <v>135.06</v>
      </c>
      <c r="BL88" s="23">
        <f t="shared" si="64"/>
        <v>357.47</v>
      </c>
      <c r="BM88" s="23">
        <f t="shared" si="65"/>
        <v>0</v>
      </c>
      <c r="BN88" s="23">
        <f t="shared" si="66"/>
        <v>0</v>
      </c>
      <c r="BO88" s="23">
        <f t="shared" si="67"/>
        <v>0</v>
      </c>
      <c r="BP88" s="23">
        <f t="shared" si="68"/>
        <v>0</v>
      </c>
      <c r="BQ88" s="23">
        <f t="shared" si="69"/>
        <v>0</v>
      </c>
      <c r="BR88" s="23">
        <f t="shared" si="70"/>
        <v>321.83999999999997</v>
      </c>
      <c r="BS88" s="23">
        <f t="shared" si="71"/>
        <v>0</v>
      </c>
      <c r="BT88" s="23">
        <f t="shared" si="75"/>
        <v>-677.44</v>
      </c>
      <c r="BU88" s="23">
        <f t="shared" si="75"/>
        <v>6.82</v>
      </c>
      <c r="BV88" s="23">
        <f t="shared" si="75"/>
        <v>8406.4699999999993</v>
      </c>
      <c r="BW88" s="23">
        <f t="shared" si="75"/>
        <v>15317.8</v>
      </c>
      <c r="BX88" s="23">
        <f t="shared" si="75"/>
        <v>15610.9</v>
      </c>
      <c r="BY88" t="s">
        <v>272</v>
      </c>
      <c r="CB88" s="36"/>
      <c r="CC88" s="36"/>
      <c r="CD88" s="36">
        <v>0</v>
      </c>
      <c r="CE88" t="s">
        <v>267</v>
      </c>
      <c r="CF88" t="s">
        <v>267</v>
      </c>
      <c r="CG88" t="s">
        <v>267</v>
      </c>
      <c r="CH88" t="s">
        <v>267</v>
      </c>
      <c r="CI88" t="s">
        <v>267</v>
      </c>
      <c r="CJ88" t="s">
        <v>267</v>
      </c>
      <c r="CK88" t="s">
        <v>266</v>
      </c>
      <c r="CL88" t="s">
        <v>267</v>
      </c>
      <c r="CM88" t="s">
        <v>285</v>
      </c>
      <c r="CN88" t="s">
        <v>267</v>
      </c>
      <c r="CO88" t="s">
        <v>266</v>
      </c>
    </row>
    <row r="89" spans="1:93" x14ac:dyDescent="0.25">
      <c r="A89" s="2" t="s">
        <v>95</v>
      </c>
      <c r="B89" s="17">
        <v>14.4</v>
      </c>
      <c r="C89" s="17">
        <v>0</v>
      </c>
      <c r="D89" s="17">
        <v>0</v>
      </c>
      <c r="E89" s="17">
        <v>8.1999999999999993</v>
      </c>
      <c r="F89" s="17">
        <v>0</v>
      </c>
      <c r="G89" s="17">
        <v>0</v>
      </c>
      <c r="H89" s="17">
        <v>0</v>
      </c>
      <c r="I89" s="17">
        <v>0</v>
      </c>
      <c r="J89" s="17">
        <v>0</v>
      </c>
      <c r="K89" s="17">
        <v>0</v>
      </c>
      <c r="L89" s="17">
        <v>3</v>
      </c>
      <c r="M89" s="17">
        <v>0</v>
      </c>
      <c r="N89" s="17">
        <v>0</v>
      </c>
      <c r="O89" s="17">
        <v>46</v>
      </c>
      <c r="P89" s="17">
        <v>4.8</v>
      </c>
      <c r="Q89" s="17">
        <v>0</v>
      </c>
      <c r="R89" s="17">
        <v>13.399999999999991</v>
      </c>
      <c r="S89" s="17">
        <v>0</v>
      </c>
      <c r="T89" s="17">
        <v>0</v>
      </c>
      <c r="U89" s="17">
        <v>0</v>
      </c>
      <c r="V89" s="17">
        <f t="shared" si="73"/>
        <v>89.799999999999983</v>
      </c>
      <c r="W89" s="18">
        <v>147.48500000000001</v>
      </c>
      <c r="X89" s="17">
        <v>0</v>
      </c>
      <c r="Y89" s="19">
        <v>11.75</v>
      </c>
      <c r="Z89" s="19">
        <v>30.443750000000001</v>
      </c>
      <c r="AA89" s="17">
        <v>0</v>
      </c>
      <c r="AB89" s="17">
        <v>0</v>
      </c>
      <c r="AC89" s="17">
        <v>0</v>
      </c>
      <c r="AD89" s="17">
        <v>0</v>
      </c>
      <c r="AE89" s="17">
        <v>0</v>
      </c>
      <c r="AF89" s="19">
        <v>25.5</v>
      </c>
      <c r="AG89" s="17">
        <v>0</v>
      </c>
      <c r="AH89" s="17">
        <f t="shared" si="74"/>
        <v>-57.685000000000031</v>
      </c>
      <c r="AI89" s="20">
        <v>2.7250000000000001</v>
      </c>
      <c r="AJ89" s="21">
        <v>709.21249999999998</v>
      </c>
      <c r="AK89" s="22">
        <v>1383.6485715960525</v>
      </c>
      <c r="AL89" s="22">
        <v>1409.1485715960525</v>
      </c>
      <c r="AM89" s="16">
        <v>8.6</v>
      </c>
      <c r="AN89" s="23">
        <f t="shared" si="40"/>
        <v>167.44</v>
      </c>
      <c r="AO89" s="23">
        <f t="shared" si="41"/>
        <v>0</v>
      </c>
      <c r="AP89" s="23">
        <f t="shared" si="42"/>
        <v>0</v>
      </c>
      <c r="AQ89" s="23">
        <f t="shared" si="43"/>
        <v>95.35</v>
      </c>
      <c r="AR89" s="23">
        <f t="shared" si="44"/>
        <v>0</v>
      </c>
      <c r="AS89" s="23">
        <f t="shared" si="45"/>
        <v>0</v>
      </c>
      <c r="AT89" s="23">
        <f t="shared" si="46"/>
        <v>0</v>
      </c>
      <c r="AU89" s="23">
        <f t="shared" si="47"/>
        <v>0</v>
      </c>
      <c r="AV89" s="23">
        <f t="shared" si="48"/>
        <v>0</v>
      </c>
      <c r="AW89" s="23">
        <f t="shared" si="49"/>
        <v>0</v>
      </c>
      <c r="AX89" s="23">
        <f t="shared" si="50"/>
        <v>34.880000000000003</v>
      </c>
      <c r="AY89" s="23">
        <f t="shared" si="51"/>
        <v>0</v>
      </c>
      <c r="AZ89" s="23">
        <f t="shared" si="52"/>
        <v>0</v>
      </c>
      <c r="BA89" s="23">
        <f t="shared" si="53"/>
        <v>534.88</v>
      </c>
      <c r="BB89" s="23">
        <f t="shared" si="54"/>
        <v>55.81</v>
      </c>
      <c r="BC89" s="23">
        <f t="shared" si="55"/>
        <v>0</v>
      </c>
      <c r="BD89" s="23">
        <f t="shared" si="56"/>
        <v>155.81</v>
      </c>
      <c r="BE89" s="23">
        <f t="shared" si="57"/>
        <v>0</v>
      </c>
      <c r="BF89" s="23">
        <f t="shared" si="58"/>
        <v>0</v>
      </c>
      <c r="BG89" s="23">
        <f t="shared" si="59"/>
        <v>0</v>
      </c>
      <c r="BH89" s="23">
        <f t="shared" si="60"/>
        <v>1044.19</v>
      </c>
      <c r="BI89" s="23">
        <f t="shared" si="61"/>
        <v>1714.94</v>
      </c>
      <c r="BJ89" s="23">
        <f t="shared" si="62"/>
        <v>0</v>
      </c>
      <c r="BK89" s="23">
        <f t="shared" si="63"/>
        <v>136.63</v>
      </c>
      <c r="BL89" s="23">
        <f t="shared" si="64"/>
        <v>354</v>
      </c>
      <c r="BM89" s="23">
        <f t="shared" si="65"/>
        <v>0</v>
      </c>
      <c r="BN89" s="23">
        <f t="shared" si="66"/>
        <v>0</v>
      </c>
      <c r="BO89" s="23">
        <f t="shared" si="67"/>
        <v>0</v>
      </c>
      <c r="BP89" s="23">
        <f t="shared" si="68"/>
        <v>0</v>
      </c>
      <c r="BQ89" s="23">
        <f t="shared" si="69"/>
        <v>0</v>
      </c>
      <c r="BR89" s="23">
        <f t="shared" si="70"/>
        <v>296.51</v>
      </c>
      <c r="BS89" s="23">
        <f t="shared" si="71"/>
        <v>0</v>
      </c>
      <c r="BT89" s="23">
        <f t="shared" si="75"/>
        <v>-670.76</v>
      </c>
      <c r="BU89" s="23">
        <f t="shared" si="75"/>
        <v>31.69</v>
      </c>
      <c r="BV89" s="23">
        <f t="shared" si="75"/>
        <v>8246.66</v>
      </c>
      <c r="BW89" s="23">
        <f t="shared" si="75"/>
        <v>16088.94</v>
      </c>
      <c r="BX89" s="23">
        <f t="shared" si="75"/>
        <v>16385.45</v>
      </c>
      <c r="BY89" t="s">
        <v>272</v>
      </c>
      <c r="CB89" s="36"/>
      <c r="CC89" s="36"/>
      <c r="CD89" s="36">
        <v>0</v>
      </c>
      <c r="CE89" t="s">
        <v>267</v>
      </c>
      <c r="CF89" t="s">
        <v>267</v>
      </c>
      <c r="CG89" t="s">
        <v>267</v>
      </c>
      <c r="CH89" t="s">
        <v>267</v>
      </c>
      <c r="CI89" t="s">
        <v>267</v>
      </c>
      <c r="CJ89" t="s">
        <v>267</v>
      </c>
      <c r="CK89" t="s">
        <v>266</v>
      </c>
      <c r="CL89" t="s">
        <v>267</v>
      </c>
      <c r="CM89" t="s">
        <v>285</v>
      </c>
      <c r="CN89" t="s">
        <v>267</v>
      </c>
      <c r="CO89" t="s">
        <v>266</v>
      </c>
    </row>
    <row r="90" spans="1:93" x14ac:dyDescent="0.25">
      <c r="A90" s="2" t="s">
        <v>96</v>
      </c>
      <c r="B90" s="17">
        <v>12.7</v>
      </c>
      <c r="C90" s="17">
        <v>0</v>
      </c>
      <c r="D90" s="17">
        <v>0</v>
      </c>
      <c r="E90" s="17">
        <v>8</v>
      </c>
      <c r="F90" s="17">
        <v>0</v>
      </c>
      <c r="G90" s="17">
        <v>0</v>
      </c>
      <c r="H90" s="17">
        <v>0</v>
      </c>
      <c r="I90" s="17">
        <v>0</v>
      </c>
      <c r="J90" s="17">
        <v>0</v>
      </c>
      <c r="K90" s="17">
        <v>0</v>
      </c>
      <c r="L90" s="17">
        <v>3</v>
      </c>
      <c r="M90" s="17">
        <v>0</v>
      </c>
      <c r="N90" s="17">
        <v>0</v>
      </c>
      <c r="O90" s="17">
        <v>46</v>
      </c>
      <c r="P90" s="17">
        <v>4.3</v>
      </c>
      <c r="Q90" s="17">
        <v>0</v>
      </c>
      <c r="R90" s="17">
        <v>15.900000000000006</v>
      </c>
      <c r="S90" s="17">
        <v>0</v>
      </c>
      <c r="T90" s="17">
        <v>0</v>
      </c>
      <c r="U90" s="17">
        <v>0</v>
      </c>
      <c r="V90" s="17">
        <f t="shared" si="73"/>
        <v>89.9</v>
      </c>
      <c r="W90" s="18">
        <v>145.72</v>
      </c>
      <c r="X90" s="17">
        <v>0</v>
      </c>
      <c r="Y90" s="19">
        <v>9.5</v>
      </c>
      <c r="Z90" s="19">
        <v>29.975000000000001</v>
      </c>
      <c r="AA90" s="17">
        <v>0</v>
      </c>
      <c r="AB90" s="17">
        <v>0</v>
      </c>
      <c r="AC90" s="17">
        <v>0</v>
      </c>
      <c r="AD90" s="17">
        <v>0</v>
      </c>
      <c r="AE90" s="17">
        <v>0</v>
      </c>
      <c r="AF90" s="19">
        <v>25.1</v>
      </c>
      <c r="AG90" s="17">
        <v>0</v>
      </c>
      <c r="AH90" s="17">
        <f t="shared" si="74"/>
        <v>-55.819999999999993</v>
      </c>
      <c r="AI90" s="20">
        <v>3.4562499999999998</v>
      </c>
      <c r="AJ90" s="21">
        <v>697.31875000000002</v>
      </c>
      <c r="AK90" s="22">
        <v>1440.1485715960525</v>
      </c>
      <c r="AL90" s="22">
        <v>1476.6485715960525</v>
      </c>
      <c r="AM90" s="16">
        <v>8.6999999999999993</v>
      </c>
      <c r="AN90" s="23">
        <f t="shared" si="40"/>
        <v>145.97999999999999</v>
      </c>
      <c r="AO90" s="23">
        <f t="shared" si="41"/>
        <v>0</v>
      </c>
      <c r="AP90" s="23">
        <f t="shared" si="42"/>
        <v>0</v>
      </c>
      <c r="AQ90" s="23">
        <f t="shared" si="43"/>
        <v>91.95</v>
      </c>
      <c r="AR90" s="23">
        <f t="shared" si="44"/>
        <v>0</v>
      </c>
      <c r="AS90" s="23">
        <f t="shared" si="45"/>
        <v>0</v>
      </c>
      <c r="AT90" s="23">
        <f t="shared" si="46"/>
        <v>0</v>
      </c>
      <c r="AU90" s="23">
        <f t="shared" si="47"/>
        <v>0</v>
      </c>
      <c r="AV90" s="23">
        <f t="shared" si="48"/>
        <v>0</v>
      </c>
      <c r="AW90" s="23">
        <f t="shared" si="49"/>
        <v>0</v>
      </c>
      <c r="AX90" s="23">
        <f t="shared" si="50"/>
        <v>34.479999999999997</v>
      </c>
      <c r="AY90" s="23">
        <f t="shared" si="51"/>
        <v>0</v>
      </c>
      <c r="AZ90" s="23">
        <f t="shared" si="52"/>
        <v>0</v>
      </c>
      <c r="BA90" s="23">
        <f t="shared" si="53"/>
        <v>528.74</v>
      </c>
      <c r="BB90" s="23">
        <f t="shared" si="54"/>
        <v>49.43</v>
      </c>
      <c r="BC90" s="23">
        <f t="shared" si="55"/>
        <v>0</v>
      </c>
      <c r="BD90" s="23">
        <f t="shared" si="56"/>
        <v>182.76</v>
      </c>
      <c r="BE90" s="23">
        <f t="shared" si="57"/>
        <v>0</v>
      </c>
      <c r="BF90" s="23">
        <f t="shared" si="58"/>
        <v>0</v>
      </c>
      <c r="BG90" s="23">
        <f t="shared" si="59"/>
        <v>0</v>
      </c>
      <c r="BH90" s="23">
        <f t="shared" si="60"/>
        <v>1033.33</v>
      </c>
      <c r="BI90" s="23">
        <f t="shared" si="61"/>
        <v>1674.94</v>
      </c>
      <c r="BJ90" s="23">
        <f t="shared" si="62"/>
        <v>0</v>
      </c>
      <c r="BK90" s="23">
        <f t="shared" si="63"/>
        <v>109.2</v>
      </c>
      <c r="BL90" s="23">
        <f t="shared" si="64"/>
        <v>344.54</v>
      </c>
      <c r="BM90" s="23">
        <f t="shared" si="65"/>
        <v>0</v>
      </c>
      <c r="BN90" s="23">
        <f t="shared" si="66"/>
        <v>0</v>
      </c>
      <c r="BO90" s="23">
        <f t="shared" si="67"/>
        <v>0</v>
      </c>
      <c r="BP90" s="23">
        <f t="shared" si="68"/>
        <v>0</v>
      </c>
      <c r="BQ90" s="23">
        <f t="shared" si="69"/>
        <v>0</v>
      </c>
      <c r="BR90" s="23">
        <f t="shared" si="70"/>
        <v>288.51</v>
      </c>
      <c r="BS90" s="23">
        <f t="shared" si="71"/>
        <v>0</v>
      </c>
      <c r="BT90" s="23">
        <f t="shared" si="75"/>
        <v>-641.61</v>
      </c>
      <c r="BU90" s="23">
        <f t="shared" si="75"/>
        <v>39.729999999999997</v>
      </c>
      <c r="BV90" s="23">
        <f t="shared" si="75"/>
        <v>8015.16</v>
      </c>
      <c r="BW90" s="23">
        <f t="shared" si="75"/>
        <v>16553.43</v>
      </c>
      <c r="BX90" s="23">
        <f t="shared" si="75"/>
        <v>16972.97</v>
      </c>
      <c r="BY90" t="s">
        <v>272</v>
      </c>
      <c r="CB90" s="36"/>
      <c r="CC90" s="36"/>
      <c r="CD90" s="36">
        <v>0</v>
      </c>
      <c r="CE90" t="s">
        <v>267</v>
      </c>
      <c r="CF90" t="s">
        <v>267</v>
      </c>
      <c r="CG90" t="s">
        <v>267</v>
      </c>
      <c r="CH90" t="s">
        <v>267</v>
      </c>
      <c r="CI90" t="s">
        <v>267</v>
      </c>
      <c r="CJ90" t="s">
        <v>267</v>
      </c>
      <c r="CK90" t="s">
        <v>266</v>
      </c>
      <c r="CL90" t="s">
        <v>267</v>
      </c>
      <c r="CM90" t="s">
        <v>285</v>
      </c>
      <c r="CN90" t="s">
        <v>267</v>
      </c>
      <c r="CO90" t="s">
        <v>266</v>
      </c>
    </row>
    <row r="91" spans="1:93" x14ac:dyDescent="0.25">
      <c r="A91" s="2" t="s">
        <v>97</v>
      </c>
      <c r="B91" s="17">
        <v>12.8</v>
      </c>
      <c r="C91" s="17">
        <v>0</v>
      </c>
      <c r="D91" s="17">
        <v>0</v>
      </c>
      <c r="E91" s="17">
        <v>9.1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3</v>
      </c>
      <c r="M91" s="17">
        <v>0</v>
      </c>
      <c r="N91" s="17">
        <v>0</v>
      </c>
      <c r="O91" s="17">
        <v>47</v>
      </c>
      <c r="P91" s="17">
        <v>5</v>
      </c>
      <c r="Q91" s="17">
        <v>0</v>
      </c>
      <c r="R91" s="17">
        <v>17.699999999999989</v>
      </c>
      <c r="S91" s="17">
        <v>0</v>
      </c>
      <c r="T91" s="17">
        <v>0</v>
      </c>
      <c r="U91" s="17">
        <v>0</v>
      </c>
      <c r="V91" s="17">
        <f t="shared" si="73"/>
        <v>94.6</v>
      </c>
      <c r="W91" s="18">
        <v>146.32749999999999</v>
      </c>
      <c r="X91" s="17">
        <v>0</v>
      </c>
      <c r="Y91" s="19">
        <v>9.625</v>
      </c>
      <c r="Z91" s="19">
        <v>32.137500000000003</v>
      </c>
      <c r="AA91" s="17">
        <v>0</v>
      </c>
      <c r="AB91" s="17">
        <v>0</v>
      </c>
      <c r="AC91" s="17">
        <v>0</v>
      </c>
      <c r="AD91" s="17">
        <v>0</v>
      </c>
      <c r="AE91" s="17">
        <v>0</v>
      </c>
      <c r="AF91" s="19">
        <v>24.5</v>
      </c>
      <c r="AG91" s="17">
        <v>0</v>
      </c>
      <c r="AH91" s="17">
        <f t="shared" si="74"/>
        <v>-51.727499999999992</v>
      </c>
      <c r="AI91" s="20">
        <v>3.71875</v>
      </c>
      <c r="AJ91" s="21">
        <v>689.64375000000007</v>
      </c>
      <c r="AK91" s="22">
        <v>1503.6485715960525</v>
      </c>
      <c r="AL91" s="22">
        <v>1521.1485715960525</v>
      </c>
      <c r="AM91" s="16">
        <v>8.8000000000000007</v>
      </c>
      <c r="AN91" s="23">
        <f t="shared" si="40"/>
        <v>145.44999999999999</v>
      </c>
      <c r="AO91" s="23">
        <f t="shared" si="41"/>
        <v>0</v>
      </c>
      <c r="AP91" s="23">
        <f t="shared" si="42"/>
        <v>0</v>
      </c>
      <c r="AQ91" s="23">
        <f t="shared" si="43"/>
        <v>103.41</v>
      </c>
      <c r="AR91" s="23">
        <f t="shared" si="44"/>
        <v>0</v>
      </c>
      <c r="AS91" s="23">
        <f t="shared" si="45"/>
        <v>0</v>
      </c>
      <c r="AT91" s="23">
        <f t="shared" si="46"/>
        <v>0</v>
      </c>
      <c r="AU91" s="23">
        <f t="shared" si="47"/>
        <v>0</v>
      </c>
      <c r="AV91" s="23">
        <f t="shared" si="48"/>
        <v>0</v>
      </c>
      <c r="AW91" s="23">
        <f t="shared" si="49"/>
        <v>0</v>
      </c>
      <c r="AX91" s="23">
        <f t="shared" si="50"/>
        <v>34.090000000000003</v>
      </c>
      <c r="AY91" s="23">
        <f t="shared" si="51"/>
        <v>0</v>
      </c>
      <c r="AZ91" s="23">
        <f t="shared" si="52"/>
        <v>0</v>
      </c>
      <c r="BA91" s="23">
        <f t="shared" si="53"/>
        <v>534.09</v>
      </c>
      <c r="BB91" s="23">
        <f t="shared" si="54"/>
        <v>56.82</v>
      </c>
      <c r="BC91" s="23">
        <f t="shared" si="55"/>
        <v>0</v>
      </c>
      <c r="BD91" s="23">
        <f t="shared" si="56"/>
        <v>201.14</v>
      </c>
      <c r="BE91" s="23">
        <f t="shared" si="57"/>
        <v>0</v>
      </c>
      <c r="BF91" s="23">
        <f t="shared" si="58"/>
        <v>0</v>
      </c>
      <c r="BG91" s="23">
        <f t="shared" si="59"/>
        <v>0</v>
      </c>
      <c r="BH91" s="23">
        <f t="shared" si="60"/>
        <v>1075</v>
      </c>
      <c r="BI91" s="23">
        <f t="shared" si="61"/>
        <v>1662.81</v>
      </c>
      <c r="BJ91" s="23">
        <f t="shared" si="62"/>
        <v>0</v>
      </c>
      <c r="BK91" s="23">
        <f t="shared" si="63"/>
        <v>109.38</v>
      </c>
      <c r="BL91" s="23">
        <f t="shared" si="64"/>
        <v>365.2</v>
      </c>
      <c r="BM91" s="23">
        <f t="shared" si="65"/>
        <v>0</v>
      </c>
      <c r="BN91" s="23">
        <f t="shared" si="66"/>
        <v>0</v>
      </c>
      <c r="BO91" s="23">
        <f t="shared" si="67"/>
        <v>0</v>
      </c>
      <c r="BP91" s="23">
        <f t="shared" si="68"/>
        <v>0</v>
      </c>
      <c r="BQ91" s="23">
        <f t="shared" si="69"/>
        <v>0</v>
      </c>
      <c r="BR91" s="23">
        <f t="shared" si="70"/>
        <v>278.41000000000003</v>
      </c>
      <c r="BS91" s="23">
        <f t="shared" si="71"/>
        <v>0</v>
      </c>
      <c r="BT91" s="23">
        <f t="shared" si="75"/>
        <v>-587.80999999999995</v>
      </c>
      <c r="BU91" s="23">
        <f t="shared" si="75"/>
        <v>42.26</v>
      </c>
      <c r="BV91" s="23">
        <f t="shared" si="75"/>
        <v>7836.86</v>
      </c>
      <c r="BW91" s="23">
        <f t="shared" si="75"/>
        <v>17086.919999999998</v>
      </c>
      <c r="BX91" s="23">
        <f t="shared" si="75"/>
        <v>17285.78</v>
      </c>
      <c r="BY91" t="s">
        <v>272</v>
      </c>
      <c r="CB91" s="36"/>
      <c r="CC91" s="36"/>
      <c r="CD91" s="36">
        <v>0</v>
      </c>
      <c r="CE91" t="s">
        <v>267</v>
      </c>
      <c r="CF91" t="s">
        <v>267</v>
      </c>
      <c r="CG91" t="s">
        <v>267</v>
      </c>
      <c r="CH91" t="s">
        <v>267</v>
      </c>
      <c r="CI91" t="s">
        <v>267</v>
      </c>
      <c r="CJ91" t="s">
        <v>267</v>
      </c>
      <c r="CK91" t="s">
        <v>266</v>
      </c>
      <c r="CL91" t="s">
        <v>267</v>
      </c>
      <c r="CM91" t="s">
        <v>285</v>
      </c>
      <c r="CN91" t="s">
        <v>267</v>
      </c>
      <c r="CO91" t="s">
        <v>266</v>
      </c>
    </row>
    <row r="92" spans="1:93" x14ac:dyDescent="0.25">
      <c r="A92" s="2" t="s">
        <v>98</v>
      </c>
      <c r="B92" s="17">
        <v>13.3</v>
      </c>
      <c r="C92" s="17">
        <v>0</v>
      </c>
      <c r="D92" s="17">
        <v>0</v>
      </c>
      <c r="E92" s="17">
        <v>9.9</v>
      </c>
      <c r="F92" s="17">
        <v>0</v>
      </c>
      <c r="G92" s="17">
        <v>0</v>
      </c>
      <c r="H92" s="17">
        <v>0</v>
      </c>
      <c r="I92" s="17">
        <v>0</v>
      </c>
      <c r="J92" s="17">
        <v>0</v>
      </c>
      <c r="K92" s="17">
        <v>0</v>
      </c>
      <c r="L92" s="17">
        <v>2.6</v>
      </c>
      <c r="M92" s="17">
        <v>0</v>
      </c>
      <c r="N92" s="17">
        <v>0</v>
      </c>
      <c r="O92" s="17">
        <v>49</v>
      </c>
      <c r="P92" s="17">
        <v>6</v>
      </c>
      <c r="Q92" s="17">
        <v>0</v>
      </c>
      <c r="R92" s="17">
        <v>15.699999999999989</v>
      </c>
      <c r="S92" s="17">
        <v>0</v>
      </c>
      <c r="T92" s="17">
        <v>0</v>
      </c>
      <c r="U92" s="17">
        <v>0</v>
      </c>
      <c r="V92" s="17">
        <f t="shared" si="73"/>
        <v>96.5</v>
      </c>
      <c r="W92" s="18">
        <v>151.70000000000002</v>
      </c>
      <c r="X92" s="17">
        <v>0</v>
      </c>
      <c r="Y92" s="19">
        <v>11</v>
      </c>
      <c r="Z92" s="19">
        <v>33.231249999999996</v>
      </c>
      <c r="AA92" s="17">
        <v>0</v>
      </c>
      <c r="AB92" s="17">
        <v>0</v>
      </c>
      <c r="AC92" s="17">
        <v>0</v>
      </c>
      <c r="AD92" s="17">
        <v>0</v>
      </c>
      <c r="AE92" s="17">
        <v>0</v>
      </c>
      <c r="AF92" s="19">
        <v>23.9</v>
      </c>
      <c r="AG92" s="17">
        <v>0</v>
      </c>
      <c r="AH92" s="17">
        <f t="shared" si="74"/>
        <v>-55.200000000000017</v>
      </c>
      <c r="AI92" s="20">
        <v>3.1749999999999998</v>
      </c>
      <c r="AJ92" s="21">
        <v>683.34999999999991</v>
      </c>
      <c r="AK92" s="22">
        <v>1530.6485715960525</v>
      </c>
      <c r="AL92" s="22">
        <v>1532.1485715960525</v>
      </c>
      <c r="AM92" s="16">
        <v>8.8000000000000007</v>
      </c>
      <c r="AN92" s="23">
        <f t="shared" si="40"/>
        <v>151.13999999999999</v>
      </c>
      <c r="AO92" s="23">
        <f t="shared" si="41"/>
        <v>0</v>
      </c>
      <c r="AP92" s="23">
        <f t="shared" si="42"/>
        <v>0</v>
      </c>
      <c r="AQ92" s="23">
        <f t="shared" si="43"/>
        <v>112.5</v>
      </c>
      <c r="AR92" s="23">
        <f t="shared" si="44"/>
        <v>0</v>
      </c>
      <c r="AS92" s="23">
        <f t="shared" si="45"/>
        <v>0</v>
      </c>
      <c r="AT92" s="23">
        <f t="shared" si="46"/>
        <v>0</v>
      </c>
      <c r="AU92" s="23">
        <f t="shared" si="47"/>
        <v>0</v>
      </c>
      <c r="AV92" s="23">
        <f t="shared" si="48"/>
        <v>0</v>
      </c>
      <c r="AW92" s="23">
        <f t="shared" si="49"/>
        <v>0</v>
      </c>
      <c r="AX92" s="23">
        <f t="shared" si="50"/>
        <v>29.55</v>
      </c>
      <c r="AY92" s="23">
        <f t="shared" si="51"/>
        <v>0</v>
      </c>
      <c r="AZ92" s="23">
        <f t="shared" si="52"/>
        <v>0</v>
      </c>
      <c r="BA92" s="23">
        <f t="shared" si="53"/>
        <v>556.82000000000005</v>
      </c>
      <c r="BB92" s="23">
        <f t="shared" si="54"/>
        <v>68.180000000000007</v>
      </c>
      <c r="BC92" s="23">
        <f t="shared" si="55"/>
        <v>0</v>
      </c>
      <c r="BD92" s="23">
        <f t="shared" si="56"/>
        <v>178.41</v>
      </c>
      <c r="BE92" s="23">
        <f t="shared" si="57"/>
        <v>0</v>
      </c>
      <c r="BF92" s="23">
        <f t="shared" si="58"/>
        <v>0</v>
      </c>
      <c r="BG92" s="23">
        <f t="shared" si="59"/>
        <v>0</v>
      </c>
      <c r="BH92" s="23">
        <f t="shared" si="60"/>
        <v>1096.5899999999999</v>
      </c>
      <c r="BI92" s="23">
        <f t="shared" si="61"/>
        <v>1723.86</v>
      </c>
      <c r="BJ92" s="23">
        <f t="shared" si="62"/>
        <v>0</v>
      </c>
      <c r="BK92" s="23">
        <f t="shared" si="63"/>
        <v>125</v>
      </c>
      <c r="BL92" s="23">
        <f t="shared" si="64"/>
        <v>377.63</v>
      </c>
      <c r="BM92" s="23">
        <f t="shared" si="65"/>
        <v>0</v>
      </c>
      <c r="BN92" s="23">
        <f t="shared" si="66"/>
        <v>0</v>
      </c>
      <c r="BO92" s="23">
        <f t="shared" si="67"/>
        <v>0</v>
      </c>
      <c r="BP92" s="23">
        <f t="shared" si="68"/>
        <v>0</v>
      </c>
      <c r="BQ92" s="23">
        <f t="shared" si="69"/>
        <v>0</v>
      </c>
      <c r="BR92" s="23">
        <f t="shared" si="70"/>
        <v>271.58999999999997</v>
      </c>
      <c r="BS92" s="23">
        <f t="shared" si="71"/>
        <v>0</v>
      </c>
      <c r="BT92" s="23">
        <f t="shared" si="75"/>
        <v>-627.27</v>
      </c>
      <c r="BU92" s="23">
        <f t="shared" si="75"/>
        <v>36.08</v>
      </c>
      <c r="BV92" s="23">
        <f t="shared" si="75"/>
        <v>7765.34</v>
      </c>
      <c r="BW92" s="23">
        <f t="shared" si="75"/>
        <v>17393.73</v>
      </c>
      <c r="BX92" s="23">
        <f t="shared" si="75"/>
        <v>17410.78</v>
      </c>
      <c r="BY92" t="s">
        <v>272</v>
      </c>
      <c r="CB92" s="36"/>
      <c r="CC92" s="36"/>
      <c r="CD92" s="36">
        <v>0</v>
      </c>
      <c r="CE92" t="s">
        <v>267</v>
      </c>
      <c r="CF92" t="s">
        <v>267</v>
      </c>
      <c r="CG92" t="s">
        <v>267</v>
      </c>
      <c r="CH92" t="s">
        <v>267</v>
      </c>
      <c r="CI92" t="s">
        <v>267</v>
      </c>
      <c r="CJ92" t="s">
        <v>267</v>
      </c>
      <c r="CK92" t="s">
        <v>266</v>
      </c>
      <c r="CL92" t="s">
        <v>267</v>
      </c>
      <c r="CM92" t="s">
        <v>285</v>
      </c>
      <c r="CN92" t="s">
        <v>267</v>
      </c>
      <c r="CO92" t="s">
        <v>266</v>
      </c>
    </row>
    <row r="93" spans="1:93" x14ac:dyDescent="0.25">
      <c r="A93" s="2" t="s">
        <v>99</v>
      </c>
      <c r="B93" s="17">
        <v>13.8</v>
      </c>
      <c r="C93" s="17">
        <v>0</v>
      </c>
      <c r="D93" s="17">
        <v>0</v>
      </c>
      <c r="E93" s="17">
        <v>11.1</v>
      </c>
      <c r="F93" s="17">
        <v>0</v>
      </c>
      <c r="G93" s="17">
        <v>0</v>
      </c>
      <c r="H93" s="17">
        <v>0</v>
      </c>
      <c r="I93" s="17">
        <v>0</v>
      </c>
      <c r="J93" s="17">
        <v>0</v>
      </c>
      <c r="K93" s="17">
        <v>0</v>
      </c>
      <c r="L93" s="17">
        <v>2.5</v>
      </c>
      <c r="M93" s="17">
        <v>0</v>
      </c>
      <c r="N93" s="17">
        <v>0</v>
      </c>
      <c r="O93" s="17">
        <v>50</v>
      </c>
      <c r="P93" s="17">
        <v>5.4</v>
      </c>
      <c r="Q93" s="17">
        <v>0</v>
      </c>
      <c r="R93" s="17">
        <v>15.799999999999997</v>
      </c>
      <c r="S93" s="17">
        <v>0</v>
      </c>
      <c r="T93" s="17">
        <v>0</v>
      </c>
      <c r="U93" s="17">
        <v>0</v>
      </c>
      <c r="V93" s="17">
        <f t="shared" si="73"/>
        <v>98.600000000000009</v>
      </c>
      <c r="W93" s="18">
        <v>157.73249999999999</v>
      </c>
      <c r="X93" s="17">
        <v>0</v>
      </c>
      <c r="Y93" s="19">
        <v>14</v>
      </c>
      <c r="Z93" s="19">
        <v>33.237499999999997</v>
      </c>
      <c r="AA93" s="17">
        <v>0</v>
      </c>
      <c r="AB93" s="17">
        <v>0</v>
      </c>
      <c r="AC93" s="17">
        <v>0</v>
      </c>
      <c r="AD93" s="17">
        <v>0</v>
      </c>
      <c r="AE93" s="17">
        <v>0</v>
      </c>
      <c r="AF93" s="19">
        <v>23.7</v>
      </c>
      <c r="AG93" s="17">
        <v>0</v>
      </c>
      <c r="AH93" s="17">
        <f t="shared" si="74"/>
        <v>-59.132499999999979</v>
      </c>
      <c r="AI93" s="20">
        <v>2.5625</v>
      </c>
      <c r="AJ93" s="21">
        <v>677.17500000000007</v>
      </c>
      <c r="AK93" s="22">
        <v>1523.8985715960525</v>
      </c>
      <c r="AL93" s="22">
        <v>1505.8985715960525</v>
      </c>
      <c r="AM93" s="16">
        <v>8.9</v>
      </c>
      <c r="AN93" s="23">
        <f t="shared" si="40"/>
        <v>155.06</v>
      </c>
      <c r="AO93" s="23">
        <f t="shared" si="41"/>
        <v>0</v>
      </c>
      <c r="AP93" s="23">
        <f t="shared" si="42"/>
        <v>0</v>
      </c>
      <c r="AQ93" s="23">
        <f t="shared" si="43"/>
        <v>124.72</v>
      </c>
      <c r="AR93" s="23">
        <f t="shared" si="44"/>
        <v>0</v>
      </c>
      <c r="AS93" s="23">
        <f t="shared" si="45"/>
        <v>0</v>
      </c>
      <c r="AT93" s="23">
        <f t="shared" si="46"/>
        <v>0</v>
      </c>
      <c r="AU93" s="23">
        <f t="shared" si="47"/>
        <v>0</v>
      </c>
      <c r="AV93" s="23">
        <f t="shared" si="48"/>
        <v>0</v>
      </c>
      <c r="AW93" s="23">
        <f t="shared" si="49"/>
        <v>0</v>
      </c>
      <c r="AX93" s="23">
        <f t="shared" si="50"/>
        <v>28.09</v>
      </c>
      <c r="AY93" s="23">
        <f t="shared" si="51"/>
        <v>0</v>
      </c>
      <c r="AZ93" s="23">
        <f t="shared" si="52"/>
        <v>0</v>
      </c>
      <c r="BA93" s="23">
        <f t="shared" si="53"/>
        <v>561.79999999999995</v>
      </c>
      <c r="BB93" s="23">
        <f t="shared" si="54"/>
        <v>60.67</v>
      </c>
      <c r="BC93" s="23">
        <f t="shared" si="55"/>
        <v>0</v>
      </c>
      <c r="BD93" s="23">
        <f t="shared" si="56"/>
        <v>177.53</v>
      </c>
      <c r="BE93" s="23">
        <f t="shared" si="57"/>
        <v>0</v>
      </c>
      <c r="BF93" s="23">
        <f t="shared" si="58"/>
        <v>0</v>
      </c>
      <c r="BG93" s="23">
        <f t="shared" si="59"/>
        <v>0</v>
      </c>
      <c r="BH93" s="23">
        <f t="shared" si="60"/>
        <v>1107.8699999999999</v>
      </c>
      <c r="BI93" s="23">
        <f t="shared" si="61"/>
        <v>1772.28</v>
      </c>
      <c r="BJ93" s="23">
        <f t="shared" si="62"/>
        <v>0</v>
      </c>
      <c r="BK93" s="23">
        <f t="shared" si="63"/>
        <v>157.30000000000001</v>
      </c>
      <c r="BL93" s="23">
        <f t="shared" si="64"/>
        <v>373.46</v>
      </c>
      <c r="BM93" s="23">
        <f t="shared" si="65"/>
        <v>0</v>
      </c>
      <c r="BN93" s="23">
        <f t="shared" si="66"/>
        <v>0</v>
      </c>
      <c r="BO93" s="23">
        <f t="shared" si="67"/>
        <v>0</v>
      </c>
      <c r="BP93" s="23">
        <f t="shared" si="68"/>
        <v>0</v>
      </c>
      <c r="BQ93" s="23">
        <f t="shared" si="69"/>
        <v>0</v>
      </c>
      <c r="BR93" s="23">
        <f t="shared" si="70"/>
        <v>266.29000000000002</v>
      </c>
      <c r="BS93" s="23">
        <f t="shared" si="71"/>
        <v>0</v>
      </c>
      <c r="BT93" s="23">
        <f t="shared" si="75"/>
        <v>-664.41</v>
      </c>
      <c r="BU93" s="23">
        <f t="shared" si="75"/>
        <v>28.79</v>
      </c>
      <c r="BV93" s="23">
        <f t="shared" si="75"/>
        <v>7608.71</v>
      </c>
      <c r="BW93" s="23">
        <f t="shared" si="75"/>
        <v>17122.46</v>
      </c>
      <c r="BX93" s="23">
        <f t="shared" si="75"/>
        <v>16920.21</v>
      </c>
      <c r="BY93" t="s">
        <v>272</v>
      </c>
      <c r="CB93" s="36"/>
      <c r="CC93" s="36"/>
      <c r="CD93" s="36">
        <v>0</v>
      </c>
      <c r="CE93" t="s">
        <v>267</v>
      </c>
      <c r="CF93" t="s">
        <v>267</v>
      </c>
      <c r="CG93" t="s">
        <v>267</v>
      </c>
      <c r="CH93" t="s">
        <v>267</v>
      </c>
      <c r="CI93" t="s">
        <v>267</v>
      </c>
      <c r="CJ93" t="s">
        <v>267</v>
      </c>
      <c r="CK93" t="s">
        <v>266</v>
      </c>
      <c r="CL93" t="s">
        <v>267</v>
      </c>
      <c r="CM93" t="s">
        <v>285</v>
      </c>
      <c r="CN93" t="s">
        <v>267</v>
      </c>
      <c r="CO93" t="s">
        <v>266</v>
      </c>
    </row>
    <row r="94" spans="1:93" x14ac:dyDescent="0.25">
      <c r="A94" s="2" t="s">
        <v>100</v>
      </c>
      <c r="B94" s="17">
        <v>13.5</v>
      </c>
      <c r="C94" s="17">
        <v>0</v>
      </c>
      <c r="D94" s="17">
        <v>0</v>
      </c>
      <c r="E94" s="17">
        <v>10.7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7">
        <v>0</v>
      </c>
      <c r="L94" s="17">
        <v>2.5</v>
      </c>
      <c r="M94" s="17">
        <v>0</v>
      </c>
      <c r="N94" s="17">
        <v>0</v>
      </c>
      <c r="O94" s="17">
        <v>50</v>
      </c>
      <c r="P94" s="17">
        <v>5.5</v>
      </c>
      <c r="Q94" s="17">
        <v>0</v>
      </c>
      <c r="R94" s="17">
        <v>15.5</v>
      </c>
      <c r="S94" s="17">
        <v>0</v>
      </c>
      <c r="T94" s="17">
        <v>0</v>
      </c>
      <c r="U94" s="17">
        <v>0</v>
      </c>
      <c r="V94" s="17">
        <f t="shared" si="73"/>
        <v>97.7</v>
      </c>
      <c r="W94" s="18">
        <v>167.155</v>
      </c>
      <c r="X94" s="17">
        <v>0</v>
      </c>
      <c r="Y94" s="19">
        <v>15</v>
      </c>
      <c r="Z94" s="19">
        <v>33.237499999999997</v>
      </c>
      <c r="AA94" s="17">
        <v>0</v>
      </c>
      <c r="AB94" s="17">
        <v>0</v>
      </c>
      <c r="AC94" s="17">
        <v>0</v>
      </c>
      <c r="AD94" s="17">
        <v>0</v>
      </c>
      <c r="AE94" s="17">
        <v>0</v>
      </c>
      <c r="AF94" s="19">
        <v>23.5</v>
      </c>
      <c r="AG94" s="17">
        <v>0</v>
      </c>
      <c r="AH94" s="17">
        <f t="shared" si="74"/>
        <v>-69.454999999999998</v>
      </c>
      <c r="AI94" s="20">
        <v>1.65625</v>
      </c>
      <c r="AJ94" s="21">
        <v>671.51250000000005</v>
      </c>
      <c r="AK94" s="22">
        <v>1496.6485715960525</v>
      </c>
      <c r="AL94" s="22">
        <v>1496.1485715960525</v>
      </c>
      <c r="AM94" s="16">
        <v>8.9</v>
      </c>
      <c r="AN94" s="23">
        <f t="shared" si="40"/>
        <v>151.69</v>
      </c>
      <c r="AO94" s="23">
        <f t="shared" si="41"/>
        <v>0</v>
      </c>
      <c r="AP94" s="23">
        <f t="shared" si="42"/>
        <v>0</v>
      </c>
      <c r="AQ94" s="23">
        <f t="shared" si="43"/>
        <v>120.22</v>
      </c>
      <c r="AR94" s="23">
        <f t="shared" si="44"/>
        <v>0</v>
      </c>
      <c r="AS94" s="23">
        <f t="shared" si="45"/>
        <v>0</v>
      </c>
      <c r="AT94" s="23">
        <f t="shared" si="46"/>
        <v>0</v>
      </c>
      <c r="AU94" s="23">
        <f t="shared" si="47"/>
        <v>0</v>
      </c>
      <c r="AV94" s="23">
        <f t="shared" si="48"/>
        <v>0</v>
      </c>
      <c r="AW94" s="23">
        <f t="shared" si="49"/>
        <v>0</v>
      </c>
      <c r="AX94" s="23">
        <f t="shared" si="50"/>
        <v>28.09</v>
      </c>
      <c r="AY94" s="23">
        <f t="shared" si="51"/>
        <v>0</v>
      </c>
      <c r="AZ94" s="23">
        <f t="shared" si="52"/>
        <v>0</v>
      </c>
      <c r="BA94" s="23">
        <f t="shared" si="53"/>
        <v>561.79999999999995</v>
      </c>
      <c r="BB94" s="23">
        <f t="shared" si="54"/>
        <v>61.8</v>
      </c>
      <c r="BC94" s="23">
        <f t="shared" si="55"/>
        <v>0</v>
      </c>
      <c r="BD94" s="23">
        <f t="shared" si="56"/>
        <v>174.16</v>
      </c>
      <c r="BE94" s="23">
        <f t="shared" si="57"/>
        <v>0</v>
      </c>
      <c r="BF94" s="23">
        <f t="shared" si="58"/>
        <v>0</v>
      </c>
      <c r="BG94" s="23">
        <f t="shared" si="59"/>
        <v>0</v>
      </c>
      <c r="BH94" s="23">
        <f t="shared" si="60"/>
        <v>1097.75</v>
      </c>
      <c r="BI94" s="23">
        <f t="shared" si="61"/>
        <v>1878.15</v>
      </c>
      <c r="BJ94" s="23">
        <f t="shared" si="62"/>
        <v>0</v>
      </c>
      <c r="BK94" s="23">
        <f t="shared" si="63"/>
        <v>168.54</v>
      </c>
      <c r="BL94" s="23">
        <f t="shared" si="64"/>
        <v>373.46</v>
      </c>
      <c r="BM94" s="23">
        <f t="shared" si="65"/>
        <v>0</v>
      </c>
      <c r="BN94" s="23">
        <f t="shared" si="66"/>
        <v>0</v>
      </c>
      <c r="BO94" s="23">
        <f t="shared" si="67"/>
        <v>0</v>
      </c>
      <c r="BP94" s="23">
        <f t="shared" si="68"/>
        <v>0</v>
      </c>
      <c r="BQ94" s="23">
        <f t="shared" si="69"/>
        <v>0</v>
      </c>
      <c r="BR94" s="23">
        <f t="shared" si="70"/>
        <v>264.04000000000002</v>
      </c>
      <c r="BS94" s="23">
        <f t="shared" si="71"/>
        <v>0</v>
      </c>
      <c r="BT94" s="23">
        <f t="shared" si="75"/>
        <v>-780.39</v>
      </c>
      <c r="BU94" s="23">
        <f t="shared" si="75"/>
        <v>18.61</v>
      </c>
      <c r="BV94" s="23">
        <f t="shared" si="75"/>
        <v>7545.08</v>
      </c>
      <c r="BW94" s="23">
        <f t="shared" si="75"/>
        <v>16816.28</v>
      </c>
      <c r="BX94" s="23">
        <f t="shared" si="75"/>
        <v>16810.66</v>
      </c>
      <c r="BY94" t="s">
        <v>272</v>
      </c>
      <c r="CB94" s="36"/>
      <c r="CC94" s="36"/>
      <c r="CD94" s="36">
        <v>0</v>
      </c>
      <c r="CE94" t="s">
        <v>267</v>
      </c>
      <c r="CF94" t="s">
        <v>267</v>
      </c>
      <c r="CG94" t="s">
        <v>267</v>
      </c>
      <c r="CH94" t="s">
        <v>267</v>
      </c>
      <c r="CI94" t="s">
        <v>267</v>
      </c>
      <c r="CJ94" t="s">
        <v>267</v>
      </c>
      <c r="CK94" t="s">
        <v>266</v>
      </c>
      <c r="CL94" t="s">
        <v>267</v>
      </c>
      <c r="CM94" t="s">
        <v>285</v>
      </c>
      <c r="CN94" t="s">
        <v>267</v>
      </c>
      <c r="CO94" t="s">
        <v>266</v>
      </c>
    </row>
    <row r="95" spans="1:93" x14ac:dyDescent="0.25">
      <c r="A95" s="2" t="s">
        <v>101</v>
      </c>
      <c r="B95" s="17">
        <v>15.2</v>
      </c>
      <c r="C95" s="17">
        <v>0</v>
      </c>
      <c r="D95" s="17">
        <v>0</v>
      </c>
      <c r="E95" s="17">
        <v>9.9</v>
      </c>
      <c r="F95" s="17">
        <v>0</v>
      </c>
      <c r="G95" s="17">
        <v>0</v>
      </c>
      <c r="H95" s="17">
        <v>0</v>
      </c>
      <c r="I95" s="17">
        <v>0</v>
      </c>
      <c r="J95" s="17">
        <v>0</v>
      </c>
      <c r="K95" s="17">
        <v>0</v>
      </c>
      <c r="L95" s="17">
        <v>2.5</v>
      </c>
      <c r="M95" s="17">
        <v>0</v>
      </c>
      <c r="N95" s="17">
        <v>0</v>
      </c>
      <c r="O95" s="17">
        <v>50</v>
      </c>
      <c r="P95" s="17">
        <v>5.3</v>
      </c>
      <c r="Q95" s="17">
        <v>0</v>
      </c>
      <c r="R95" s="17">
        <v>15.5</v>
      </c>
      <c r="S95" s="17">
        <v>0</v>
      </c>
      <c r="T95" s="17">
        <v>0</v>
      </c>
      <c r="U95" s="17">
        <v>0</v>
      </c>
      <c r="V95" s="17">
        <f t="shared" si="73"/>
        <v>98.399999999999991</v>
      </c>
      <c r="W95" s="18">
        <v>178.48999999999998</v>
      </c>
      <c r="X95" s="17">
        <v>0</v>
      </c>
      <c r="Y95" s="19">
        <v>17.75</v>
      </c>
      <c r="Z95" s="19">
        <v>33.737499999999997</v>
      </c>
      <c r="AA95" s="17">
        <v>0</v>
      </c>
      <c r="AB95" s="17">
        <v>0</v>
      </c>
      <c r="AC95" s="17">
        <v>0</v>
      </c>
      <c r="AD95" s="17">
        <v>0</v>
      </c>
      <c r="AE95" s="17">
        <v>0</v>
      </c>
      <c r="AF95" s="19">
        <v>23.4</v>
      </c>
      <c r="AG95" s="17">
        <v>0</v>
      </c>
      <c r="AH95" s="17">
        <f t="shared" si="74"/>
        <v>-80.089999999999989</v>
      </c>
      <c r="AI95" s="20">
        <v>0.46250000000000302</v>
      </c>
      <c r="AJ95" s="21">
        <v>666.45624999999995</v>
      </c>
      <c r="AK95" s="22">
        <v>1515.1485715960525</v>
      </c>
      <c r="AL95" s="22">
        <v>1553.6485715960525</v>
      </c>
      <c r="AM95" s="16">
        <v>8.8000000000000007</v>
      </c>
      <c r="AN95" s="23">
        <f t="shared" si="40"/>
        <v>172.73</v>
      </c>
      <c r="AO95" s="23">
        <f t="shared" si="41"/>
        <v>0</v>
      </c>
      <c r="AP95" s="23">
        <f t="shared" si="42"/>
        <v>0</v>
      </c>
      <c r="AQ95" s="23">
        <f t="shared" si="43"/>
        <v>112.5</v>
      </c>
      <c r="AR95" s="23">
        <f t="shared" si="44"/>
        <v>0</v>
      </c>
      <c r="AS95" s="23">
        <f t="shared" si="45"/>
        <v>0</v>
      </c>
      <c r="AT95" s="23">
        <f t="shared" si="46"/>
        <v>0</v>
      </c>
      <c r="AU95" s="23">
        <f t="shared" si="47"/>
        <v>0</v>
      </c>
      <c r="AV95" s="23">
        <f t="shared" si="48"/>
        <v>0</v>
      </c>
      <c r="AW95" s="23">
        <f t="shared" si="49"/>
        <v>0</v>
      </c>
      <c r="AX95" s="23">
        <f t="shared" si="50"/>
        <v>28.41</v>
      </c>
      <c r="AY95" s="23">
        <f t="shared" si="51"/>
        <v>0</v>
      </c>
      <c r="AZ95" s="23">
        <f t="shared" si="52"/>
        <v>0</v>
      </c>
      <c r="BA95" s="23">
        <f t="shared" si="53"/>
        <v>568.17999999999995</v>
      </c>
      <c r="BB95" s="23">
        <f t="shared" si="54"/>
        <v>60.23</v>
      </c>
      <c r="BC95" s="23">
        <f t="shared" si="55"/>
        <v>0</v>
      </c>
      <c r="BD95" s="23">
        <f t="shared" si="56"/>
        <v>176.14</v>
      </c>
      <c r="BE95" s="23">
        <f t="shared" si="57"/>
        <v>0</v>
      </c>
      <c r="BF95" s="23">
        <f t="shared" si="58"/>
        <v>0</v>
      </c>
      <c r="BG95" s="23">
        <f t="shared" si="59"/>
        <v>0</v>
      </c>
      <c r="BH95" s="23">
        <f t="shared" si="60"/>
        <v>1118.18</v>
      </c>
      <c r="BI95" s="23">
        <f t="shared" si="61"/>
        <v>2028.3</v>
      </c>
      <c r="BJ95" s="23">
        <f t="shared" si="62"/>
        <v>0</v>
      </c>
      <c r="BK95" s="23">
        <f t="shared" si="63"/>
        <v>201.7</v>
      </c>
      <c r="BL95" s="23">
        <f t="shared" si="64"/>
        <v>383.38</v>
      </c>
      <c r="BM95" s="23">
        <f t="shared" si="65"/>
        <v>0</v>
      </c>
      <c r="BN95" s="23">
        <f t="shared" si="66"/>
        <v>0</v>
      </c>
      <c r="BO95" s="23">
        <f t="shared" si="67"/>
        <v>0</v>
      </c>
      <c r="BP95" s="23">
        <f t="shared" si="68"/>
        <v>0</v>
      </c>
      <c r="BQ95" s="23">
        <f t="shared" si="69"/>
        <v>0</v>
      </c>
      <c r="BR95" s="23">
        <f t="shared" si="70"/>
        <v>265.91000000000003</v>
      </c>
      <c r="BS95" s="23">
        <f t="shared" si="71"/>
        <v>0</v>
      </c>
      <c r="BT95" s="23">
        <f t="shared" si="75"/>
        <v>-910.11</v>
      </c>
      <c r="BU95" s="23">
        <f t="shared" si="75"/>
        <v>5.26</v>
      </c>
      <c r="BV95" s="23">
        <f t="shared" si="75"/>
        <v>7573.37</v>
      </c>
      <c r="BW95" s="23">
        <f t="shared" si="75"/>
        <v>17217.599999999999</v>
      </c>
      <c r="BX95" s="23">
        <f t="shared" si="75"/>
        <v>17655.099999999999</v>
      </c>
      <c r="BY95" t="s">
        <v>272</v>
      </c>
      <c r="CB95" s="36"/>
      <c r="CC95" s="36"/>
      <c r="CD95" s="36">
        <v>0</v>
      </c>
      <c r="CE95" t="s">
        <v>267</v>
      </c>
      <c r="CF95" t="s">
        <v>267</v>
      </c>
      <c r="CG95" t="s">
        <v>267</v>
      </c>
      <c r="CH95" t="s">
        <v>267</v>
      </c>
      <c r="CI95" t="s">
        <v>267</v>
      </c>
      <c r="CJ95" t="s">
        <v>267</v>
      </c>
      <c r="CK95" t="s">
        <v>266</v>
      </c>
      <c r="CL95" t="s">
        <v>267</v>
      </c>
      <c r="CM95" t="s">
        <v>285</v>
      </c>
      <c r="CN95" t="s">
        <v>267</v>
      </c>
      <c r="CO95" t="s">
        <v>266</v>
      </c>
    </row>
    <row r="96" spans="1:93" x14ac:dyDescent="0.25">
      <c r="A96" s="2" t="s">
        <v>102</v>
      </c>
      <c r="B96" s="17">
        <v>15.6</v>
      </c>
      <c r="C96" s="17">
        <v>0</v>
      </c>
      <c r="D96" s="17">
        <v>0</v>
      </c>
      <c r="E96" s="17">
        <v>10.9</v>
      </c>
      <c r="F96" s="17">
        <v>0</v>
      </c>
      <c r="G96" s="17">
        <v>0</v>
      </c>
      <c r="H96" s="17">
        <v>0</v>
      </c>
      <c r="I96" s="17">
        <v>0</v>
      </c>
      <c r="J96" s="17">
        <v>0</v>
      </c>
      <c r="K96" s="17">
        <v>0</v>
      </c>
      <c r="L96" s="17">
        <v>2.5</v>
      </c>
      <c r="M96" s="17">
        <v>0</v>
      </c>
      <c r="N96" s="17">
        <v>0</v>
      </c>
      <c r="O96" s="17">
        <v>51</v>
      </c>
      <c r="P96" s="17">
        <v>5.7</v>
      </c>
      <c r="Q96" s="17">
        <v>0</v>
      </c>
      <c r="R96" s="17">
        <v>16.099999999999994</v>
      </c>
      <c r="S96" s="17">
        <v>0</v>
      </c>
      <c r="T96" s="17">
        <v>0</v>
      </c>
      <c r="U96" s="17">
        <v>0</v>
      </c>
      <c r="V96" s="17">
        <f t="shared" si="73"/>
        <v>101.8</v>
      </c>
      <c r="W96" s="18">
        <v>186.54000000000002</v>
      </c>
      <c r="X96" s="17">
        <v>0</v>
      </c>
      <c r="Y96" s="19">
        <v>17</v>
      </c>
      <c r="Z96" s="19">
        <v>35.549999999999997</v>
      </c>
      <c r="AA96" s="17">
        <v>0</v>
      </c>
      <c r="AB96" s="17">
        <v>0</v>
      </c>
      <c r="AC96" s="17">
        <v>0</v>
      </c>
      <c r="AD96" s="17">
        <v>0</v>
      </c>
      <c r="AE96" s="17">
        <v>0</v>
      </c>
      <c r="AF96" s="19">
        <v>23.3</v>
      </c>
      <c r="AG96" s="17">
        <v>0</v>
      </c>
      <c r="AH96" s="17">
        <f t="shared" si="74"/>
        <v>-84.740000000000023</v>
      </c>
      <c r="AI96" s="20">
        <v>1.35</v>
      </c>
      <c r="AJ96" s="21">
        <v>659.3</v>
      </c>
      <c r="AK96" s="22">
        <v>1581.6485715960525</v>
      </c>
      <c r="AL96" s="22">
        <v>1599.1485715960525</v>
      </c>
      <c r="AM96" s="16">
        <v>8.6999999999999993</v>
      </c>
      <c r="AN96" s="23">
        <f t="shared" si="40"/>
        <v>179.31</v>
      </c>
      <c r="AO96" s="23">
        <f t="shared" si="41"/>
        <v>0</v>
      </c>
      <c r="AP96" s="23">
        <f t="shared" si="42"/>
        <v>0</v>
      </c>
      <c r="AQ96" s="23">
        <f t="shared" si="43"/>
        <v>125.29</v>
      </c>
      <c r="AR96" s="23">
        <f t="shared" si="44"/>
        <v>0</v>
      </c>
      <c r="AS96" s="23">
        <f t="shared" si="45"/>
        <v>0</v>
      </c>
      <c r="AT96" s="23">
        <f t="shared" si="46"/>
        <v>0</v>
      </c>
      <c r="AU96" s="23">
        <f t="shared" si="47"/>
        <v>0</v>
      </c>
      <c r="AV96" s="23">
        <f t="shared" si="48"/>
        <v>0</v>
      </c>
      <c r="AW96" s="23">
        <f t="shared" si="49"/>
        <v>0</v>
      </c>
      <c r="AX96" s="23">
        <f t="shared" si="50"/>
        <v>28.74</v>
      </c>
      <c r="AY96" s="23">
        <f t="shared" si="51"/>
        <v>0</v>
      </c>
      <c r="AZ96" s="23">
        <f t="shared" si="52"/>
        <v>0</v>
      </c>
      <c r="BA96" s="23">
        <f t="shared" si="53"/>
        <v>586.21</v>
      </c>
      <c r="BB96" s="23">
        <f t="shared" si="54"/>
        <v>65.52</v>
      </c>
      <c r="BC96" s="23">
        <f t="shared" si="55"/>
        <v>0</v>
      </c>
      <c r="BD96" s="23">
        <f t="shared" si="56"/>
        <v>185.06</v>
      </c>
      <c r="BE96" s="23">
        <f t="shared" si="57"/>
        <v>0</v>
      </c>
      <c r="BF96" s="23">
        <f t="shared" si="58"/>
        <v>0</v>
      </c>
      <c r="BG96" s="23">
        <f t="shared" si="59"/>
        <v>0</v>
      </c>
      <c r="BH96" s="23">
        <f t="shared" si="60"/>
        <v>1170.1099999999999</v>
      </c>
      <c r="BI96" s="23">
        <f t="shared" si="61"/>
        <v>2144.14</v>
      </c>
      <c r="BJ96" s="23">
        <f t="shared" si="62"/>
        <v>0</v>
      </c>
      <c r="BK96" s="23">
        <f t="shared" si="63"/>
        <v>195.4</v>
      </c>
      <c r="BL96" s="23">
        <f t="shared" si="64"/>
        <v>408.62</v>
      </c>
      <c r="BM96" s="23">
        <f t="shared" si="65"/>
        <v>0</v>
      </c>
      <c r="BN96" s="23">
        <f t="shared" si="66"/>
        <v>0</v>
      </c>
      <c r="BO96" s="23">
        <f t="shared" si="67"/>
        <v>0</v>
      </c>
      <c r="BP96" s="23">
        <f t="shared" si="68"/>
        <v>0</v>
      </c>
      <c r="BQ96" s="23">
        <f t="shared" si="69"/>
        <v>0</v>
      </c>
      <c r="BR96" s="23">
        <f t="shared" si="70"/>
        <v>267.82</v>
      </c>
      <c r="BS96" s="23">
        <f t="shared" si="71"/>
        <v>0</v>
      </c>
      <c r="BT96" s="23">
        <f t="shared" si="75"/>
        <v>-974.02</v>
      </c>
      <c r="BU96" s="23">
        <f t="shared" si="75"/>
        <v>15.52</v>
      </c>
      <c r="BV96" s="23">
        <f t="shared" si="75"/>
        <v>7578.16</v>
      </c>
      <c r="BW96" s="23">
        <f t="shared" si="75"/>
        <v>18179.87</v>
      </c>
      <c r="BX96" s="23">
        <f t="shared" si="75"/>
        <v>18381.02</v>
      </c>
      <c r="BY96" t="s">
        <v>272</v>
      </c>
      <c r="CB96" s="36"/>
      <c r="CC96" s="36"/>
      <c r="CD96" s="36">
        <v>0</v>
      </c>
      <c r="CE96" t="s">
        <v>267</v>
      </c>
      <c r="CF96" t="s">
        <v>267</v>
      </c>
      <c r="CG96" t="s">
        <v>267</v>
      </c>
      <c r="CH96" t="s">
        <v>267</v>
      </c>
      <c r="CI96" t="s">
        <v>267</v>
      </c>
      <c r="CJ96" t="s">
        <v>267</v>
      </c>
      <c r="CK96" t="s">
        <v>266</v>
      </c>
      <c r="CL96" t="s">
        <v>267</v>
      </c>
      <c r="CM96" t="s">
        <v>285</v>
      </c>
      <c r="CN96" t="s">
        <v>267</v>
      </c>
      <c r="CO96" t="s">
        <v>266</v>
      </c>
    </row>
    <row r="97" spans="1:93" x14ac:dyDescent="0.25">
      <c r="A97" s="2" t="s">
        <v>103</v>
      </c>
      <c r="B97" s="17">
        <v>16.100000000000001</v>
      </c>
      <c r="C97" s="17">
        <v>0</v>
      </c>
      <c r="D97" s="17">
        <v>0</v>
      </c>
      <c r="E97" s="17">
        <v>14.1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2.5</v>
      </c>
      <c r="M97" s="17">
        <v>0</v>
      </c>
      <c r="N97" s="17">
        <v>0</v>
      </c>
      <c r="O97" s="17">
        <v>53</v>
      </c>
      <c r="P97" s="17">
        <v>7.4</v>
      </c>
      <c r="Q97" s="17">
        <v>0</v>
      </c>
      <c r="R97" s="17">
        <v>16.300000000000011</v>
      </c>
      <c r="S97" s="17">
        <v>0</v>
      </c>
      <c r="T97" s="17">
        <v>0</v>
      </c>
      <c r="U97" s="17">
        <v>0</v>
      </c>
      <c r="V97" s="17">
        <f t="shared" si="73"/>
        <v>109.40000000000002</v>
      </c>
      <c r="W97" s="18">
        <v>191.98249999999999</v>
      </c>
      <c r="X97" s="17">
        <v>0</v>
      </c>
      <c r="Y97" s="19">
        <v>17.375</v>
      </c>
      <c r="Z97" s="19">
        <v>38.106250000000003</v>
      </c>
      <c r="AA97" s="17">
        <v>0</v>
      </c>
      <c r="AB97" s="17">
        <v>0</v>
      </c>
      <c r="AC97" s="17">
        <v>0</v>
      </c>
      <c r="AD97" s="17">
        <v>0</v>
      </c>
      <c r="AE97" s="17">
        <v>0</v>
      </c>
      <c r="AF97" s="19">
        <v>22.8</v>
      </c>
      <c r="AG97" s="17">
        <v>0</v>
      </c>
      <c r="AH97" s="17">
        <f t="shared" si="74"/>
        <v>-82.582499999999968</v>
      </c>
      <c r="AI97" s="20">
        <v>3.34375</v>
      </c>
      <c r="AJ97" s="21">
        <v>652.22499999999991</v>
      </c>
      <c r="AK97" s="22">
        <v>1620.6485715960525</v>
      </c>
      <c r="AL97" s="22">
        <v>1646.1485715960525</v>
      </c>
      <c r="AM97" s="16">
        <v>8.6</v>
      </c>
      <c r="AN97" s="23">
        <f t="shared" si="40"/>
        <v>187.21</v>
      </c>
      <c r="AO97" s="23">
        <f t="shared" si="41"/>
        <v>0</v>
      </c>
      <c r="AP97" s="23">
        <f t="shared" si="42"/>
        <v>0</v>
      </c>
      <c r="AQ97" s="23">
        <f t="shared" si="43"/>
        <v>163.95</v>
      </c>
      <c r="AR97" s="23">
        <f t="shared" si="44"/>
        <v>0</v>
      </c>
      <c r="AS97" s="23">
        <f t="shared" si="45"/>
        <v>0</v>
      </c>
      <c r="AT97" s="23">
        <f t="shared" si="46"/>
        <v>0</v>
      </c>
      <c r="AU97" s="23">
        <f t="shared" si="47"/>
        <v>0</v>
      </c>
      <c r="AV97" s="23">
        <f t="shared" si="48"/>
        <v>0</v>
      </c>
      <c r="AW97" s="23">
        <f t="shared" si="49"/>
        <v>0</v>
      </c>
      <c r="AX97" s="23">
        <f t="shared" si="50"/>
        <v>29.07</v>
      </c>
      <c r="AY97" s="23">
        <f t="shared" si="51"/>
        <v>0</v>
      </c>
      <c r="AZ97" s="23">
        <f t="shared" si="52"/>
        <v>0</v>
      </c>
      <c r="BA97" s="23">
        <f t="shared" si="53"/>
        <v>616.28</v>
      </c>
      <c r="BB97" s="23">
        <f t="shared" si="54"/>
        <v>86.05</v>
      </c>
      <c r="BC97" s="23">
        <f t="shared" si="55"/>
        <v>0</v>
      </c>
      <c r="BD97" s="23">
        <f t="shared" si="56"/>
        <v>189.53</v>
      </c>
      <c r="BE97" s="23">
        <f t="shared" si="57"/>
        <v>0</v>
      </c>
      <c r="BF97" s="23">
        <f t="shared" si="58"/>
        <v>0</v>
      </c>
      <c r="BG97" s="23">
        <f t="shared" si="59"/>
        <v>0</v>
      </c>
      <c r="BH97" s="23">
        <f t="shared" si="60"/>
        <v>1272.0899999999999</v>
      </c>
      <c r="BI97" s="23">
        <f t="shared" si="61"/>
        <v>2232.35</v>
      </c>
      <c r="BJ97" s="23">
        <f t="shared" si="62"/>
        <v>0</v>
      </c>
      <c r="BK97" s="23">
        <f t="shared" si="63"/>
        <v>202.03</v>
      </c>
      <c r="BL97" s="23">
        <f t="shared" si="64"/>
        <v>443.1</v>
      </c>
      <c r="BM97" s="23">
        <f t="shared" si="65"/>
        <v>0</v>
      </c>
      <c r="BN97" s="23">
        <f t="shared" si="66"/>
        <v>0</v>
      </c>
      <c r="BO97" s="23">
        <f t="shared" si="67"/>
        <v>0</v>
      </c>
      <c r="BP97" s="23">
        <f t="shared" si="68"/>
        <v>0</v>
      </c>
      <c r="BQ97" s="23">
        <f t="shared" si="69"/>
        <v>0</v>
      </c>
      <c r="BR97" s="23">
        <f t="shared" si="70"/>
        <v>265.12</v>
      </c>
      <c r="BS97" s="23">
        <f t="shared" si="71"/>
        <v>0</v>
      </c>
      <c r="BT97" s="23">
        <f t="shared" si="75"/>
        <v>-960.26</v>
      </c>
      <c r="BU97" s="23">
        <f t="shared" si="75"/>
        <v>38.880000000000003</v>
      </c>
      <c r="BV97" s="23">
        <f t="shared" si="75"/>
        <v>7584.01</v>
      </c>
      <c r="BW97" s="23">
        <f t="shared" si="75"/>
        <v>18844.75</v>
      </c>
      <c r="BX97" s="23">
        <f t="shared" si="75"/>
        <v>19141.259999999998</v>
      </c>
      <c r="BY97" t="s">
        <v>272</v>
      </c>
      <c r="CB97" s="36"/>
      <c r="CC97" s="36"/>
      <c r="CD97" s="36">
        <v>0</v>
      </c>
      <c r="CE97" t="s">
        <v>267</v>
      </c>
      <c r="CF97" t="s">
        <v>267</v>
      </c>
      <c r="CG97" t="s">
        <v>267</v>
      </c>
      <c r="CH97" t="s">
        <v>267</v>
      </c>
      <c r="CI97" t="s">
        <v>267</v>
      </c>
      <c r="CJ97" t="s">
        <v>267</v>
      </c>
      <c r="CK97" t="s">
        <v>266</v>
      </c>
      <c r="CL97" t="s">
        <v>267</v>
      </c>
      <c r="CM97" t="s">
        <v>285</v>
      </c>
      <c r="CN97" t="s">
        <v>267</v>
      </c>
      <c r="CO97" t="s">
        <v>266</v>
      </c>
    </row>
    <row r="98" spans="1:93" x14ac:dyDescent="0.25">
      <c r="A98" s="2" t="s">
        <v>104</v>
      </c>
      <c r="B98" s="17">
        <v>16.7</v>
      </c>
      <c r="C98" s="17">
        <v>0</v>
      </c>
      <c r="D98" s="17">
        <v>0</v>
      </c>
      <c r="E98" s="17">
        <v>14</v>
      </c>
      <c r="F98" s="17">
        <v>0</v>
      </c>
      <c r="G98" s="17">
        <v>0</v>
      </c>
      <c r="H98" s="17">
        <v>0</v>
      </c>
      <c r="I98" s="17">
        <v>0</v>
      </c>
      <c r="J98" s="17">
        <v>0</v>
      </c>
      <c r="K98" s="17">
        <v>0</v>
      </c>
      <c r="L98" s="17">
        <v>2.4</v>
      </c>
      <c r="M98" s="17">
        <v>0</v>
      </c>
      <c r="N98" s="17">
        <v>0</v>
      </c>
      <c r="O98" s="17">
        <v>53</v>
      </c>
      <c r="P98" s="17">
        <v>7.4</v>
      </c>
      <c r="Q98" s="17">
        <v>0</v>
      </c>
      <c r="R98" s="17">
        <v>18.799999999999997</v>
      </c>
      <c r="S98" s="17">
        <v>0</v>
      </c>
      <c r="T98" s="17">
        <v>0</v>
      </c>
      <c r="U98" s="17">
        <v>0</v>
      </c>
      <c r="V98" s="17">
        <f t="shared" si="73"/>
        <v>112.3</v>
      </c>
      <c r="W98" s="18">
        <v>199.03749999999999</v>
      </c>
      <c r="X98" s="17">
        <v>0</v>
      </c>
      <c r="Y98" s="19">
        <v>19.125</v>
      </c>
      <c r="Z98" s="19">
        <v>40.012500000000003</v>
      </c>
      <c r="AA98" s="17">
        <v>0</v>
      </c>
      <c r="AB98" s="17">
        <v>0</v>
      </c>
      <c r="AC98" s="17">
        <v>0</v>
      </c>
      <c r="AD98" s="17">
        <v>0</v>
      </c>
      <c r="AE98" s="17">
        <v>0</v>
      </c>
      <c r="AF98" s="19">
        <v>23.6</v>
      </c>
      <c r="AG98" s="17">
        <v>0</v>
      </c>
      <c r="AH98" s="17">
        <f t="shared" si="74"/>
        <v>-86.737499999999997</v>
      </c>
      <c r="AI98" s="20">
        <v>3.1437499999999998</v>
      </c>
      <c r="AJ98" s="21">
        <v>645.33125000000007</v>
      </c>
      <c r="AK98" s="22">
        <v>1669.1485715960525</v>
      </c>
      <c r="AL98" s="22">
        <v>1689.6485715960525</v>
      </c>
      <c r="AM98" s="16">
        <v>8.5</v>
      </c>
      <c r="AN98" s="23">
        <f t="shared" si="40"/>
        <v>196.47</v>
      </c>
      <c r="AO98" s="23">
        <f t="shared" si="41"/>
        <v>0</v>
      </c>
      <c r="AP98" s="23">
        <f t="shared" si="42"/>
        <v>0</v>
      </c>
      <c r="AQ98" s="23">
        <f t="shared" si="43"/>
        <v>164.71</v>
      </c>
      <c r="AR98" s="23">
        <f t="shared" si="44"/>
        <v>0</v>
      </c>
      <c r="AS98" s="23">
        <f t="shared" si="45"/>
        <v>0</v>
      </c>
      <c r="AT98" s="23">
        <f t="shared" si="46"/>
        <v>0</v>
      </c>
      <c r="AU98" s="23">
        <f t="shared" si="47"/>
        <v>0</v>
      </c>
      <c r="AV98" s="23">
        <f t="shared" si="48"/>
        <v>0</v>
      </c>
      <c r="AW98" s="23">
        <f t="shared" si="49"/>
        <v>0</v>
      </c>
      <c r="AX98" s="23">
        <f t="shared" si="50"/>
        <v>28.24</v>
      </c>
      <c r="AY98" s="23">
        <f t="shared" si="51"/>
        <v>0</v>
      </c>
      <c r="AZ98" s="23">
        <f t="shared" si="52"/>
        <v>0</v>
      </c>
      <c r="BA98" s="23">
        <f t="shared" si="53"/>
        <v>623.53</v>
      </c>
      <c r="BB98" s="23">
        <f t="shared" si="54"/>
        <v>87.06</v>
      </c>
      <c r="BC98" s="23">
        <f t="shared" si="55"/>
        <v>0</v>
      </c>
      <c r="BD98" s="23">
        <f t="shared" si="56"/>
        <v>221.18</v>
      </c>
      <c r="BE98" s="23">
        <f t="shared" si="57"/>
        <v>0</v>
      </c>
      <c r="BF98" s="23">
        <f t="shared" si="58"/>
        <v>0</v>
      </c>
      <c r="BG98" s="23">
        <f t="shared" si="59"/>
        <v>0</v>
      </c>
      <c r="BH98" s="23">
        <f t="shared" si="60"/>
        <v>1321.18</v>
      </c>
      <c r="BI98" s="23">
        <f t="shared" si="61"/>
        <v>2341.62</v>
      </c>
      <c r="BJ98" s="23">
        <f t="shared" si="62"/>
        <v>0</v>
      </c>
      <c r="BK98" s="23">
        <f t="shared" si="63"/>
        <v>225</v>
      </c>
      <c r="BL98" s="23">
        <f t="shared" si="64"/>
        <v>470.74</v>
      </c>
      <c r="BM98" s="23">
        <f t="shared" si="65"/>
        <v>0</v>
      </c>
      <c r="BN98" s="23">
        <f t="shared" si="66"/>
        <v>0</v>
      </c>
      <c r="BO98" s="23">
        <f t="shared" si="67"/>
        <v>0</v>
      </c>
      <c r="BP98" s="23">
        <f t="shared" si="68"/>
        <v>0</v>
      </c>
      <c r="BQ98" s="23">
        <f t="shared" si="69"/>
        <v>0</v>
      </c>
      <c r="BR98" s="23">
        <f t="shared" si="70"/>
        <v>277.64999999999998</v>
      </c>
      <c r="BS98" s="23">
        <f t="shared" si="71"/>
        <v>0</v>
      </c>
      <c r="BT98" s="23">
        <f t="shared" ref="BT98:BX113" si="76">_xlfn.SINGLE(ROUND((AH98/$AM98)*100,2))</f>
        <v>-1020.44</v>
      </c>
      <c r="BU98" s="23">
        <f t="shared" si="76"/>
        <v>36.99</v>
      </c>
      <c r="BV98" s="23">
        <f t="shared" si="76"/>
        <v>7592.13</v>
      </c>
      <c r="BW98" s="23">
        <f t="shared" si="76"/>
        <v>19637.04</v>
      </c>
      <c r="BX98" s="23">
        <f t="shared" si="76"/>
        <v>19878.22</v>
      </c>
      <c r="BY98" t="s">
        <v>272</v>
      </c>
      <c r="CB98" s="36"/>
      <c r="CC98" s="36"/>
      <c r="CD98" s="36">
        <v>0</v>
      </c>
      <c r="CE98" t="s">
        <v>267</v>
      </c>
      <c r="CF98" t="s">
        <v>267</v>
      </c>
      <c r="CG98" t="s">
        <v>267</v>
      </c>
      <c r="CH98" t="s">
        <v>267</v>
      </c>
      <c r="CI98" t="s">
        <v>267</v>
      </c>
      <c r="CJ98" t="s">
        <v>267</v>
      </c>
      <c r="CK98" t="s">
        <v>266</v>
      </c>
      <c r="CL98" t="s">
        <v>267</v>
      </c>
      <c r="CM98" t="s">
        <v>285</v>
      </c>
      <c r="CN98" t="s">
        <v>267</v>
      </c>
      <c r="CO98" t="s">
        <v>266</v>
      </c>
    </row>
    <row r="99" spans="1:93" x14ac:dyDescent="0.25">
      <c r="A99" s="2" t="s">
        <v>105</v>
      </c>
      <c r="B99" s="17">
        <v>17.3</v>
      </c>
      <c r="C99" s="17">
        <v>0</v>
      </c>
      <c r="D99" s="17">
        <v>0</v>
      </c>
      <c r="E99" s="17">
        <v>15.3</v>
      </c>
      <c r="F99" s="17">
        <v>0</v>
      </c>
      <c r="G99" s="17">
        <v>0</v>
      </c>
      <c r="H99" s="17">
        <v>0</v>
      </c>
      <c r="I99" s="17">
        <v>0</v>
      </c>
      <c r="J99" s="17">
        <v>0</v>
      </c>
      <c r="K99" s="17">
        <v>0</v>
      </c>
      <c r="L99" s="17">
        <v>2.4</v>
      </c>
      <c r="M99" s="17">
        <v>0</v>
      </c>
      <c r="N99" s="17">
        <v>0</v>
      </c>
      <c r="O99" s="17">
        <v>55</v>
      </c>
      <c r="P99" s="17">
        <v>7.7</v>
      </c>
      <c r="Q99" s="17">
        <v>0</v>
      </c>
      <c r="R99" s="17">
        <v>18.399999999999991</v>
      </c>
      <c r="S99" s="17">
        <v>0</v>
      </c>
      <c r="T99" s="17">
        <v>0</v>
      </c>
      <c r="U99" s="17">
        <v>0</v>
      </c>
      <c r="V99" s="17">
        <f t="shared" si="73"/>
        <v>116.1</v>
      </c>
      <c r="W99" s="18">
        <v>207.91249999999999</v>
      </c>
      <c r="X99" s="17">
        <v>0</v>
      </c>
      <c r="Y99" s="19">
        <v>22.25</v>
      </c>
      <c r="Z99" s="19">
        <v>40.987500000000004</v>
      </c>
      <c r="AA99" s="17">
        <v>0</v>
      </c>
      <c r="AB99" s="17">
        <v>0</v>
      </c>
      <c r="AC99" s="17">
        <v>0</v>
      </c>
      <c r="AD99" s="17">
        <v>0</v>
      </c>
      <c r="AE99" s="17">
        <v>0</v>
      </c>
      <c r="AF99" s="19">
        <v>23.6</v>
      </c>
      <c r="AG99" s="17">
        <v>0</v>
      </c>
      <c r="AH99" s="17">
        <f t="shared" si="74"/>
        <v>-91.8125</v>
      </c>
      <c r="AI99" s="20">
        <v>2.9</v>
      </c>
      <c r="AJ99" s="21">
        <v>639.36249999999995</v>
      </c>
      <c r="AK99" s="22">
        <v>1722.3985715960525</v>
      </c>
      <c r="AL99" s="22">
        <v>1767.3985715960525</v>
      </c>
      <c r="AM99" s="16">
        <v>8.6999999999999993</v>
      </c>
      <c r="AN99" s="23">
        <f t="shared" si="40"/>
        <v>198.85</v>
      </c>
      <c r="AO99" s="23">
        <f t="shared" si="41"/>
        <v>0</v>
      </c>
      <c r="AP99" s="23">
        <f t="shared" si="42"/>
        <v>0</v>
      </c>
      <c r="AQ99" s="23">
        <f t="shared" si="43"/>
        <v>175.86</v>
      </c>
      <c r="AR99" s="23">
        <f t="shared" si="44"/>
        <v>0</v>
      </c>
      <c r="AS99" s="23">
        <f t="shared" si="45"/>
        <v>0</v>
      </c>
      <c r="AT99" s="23">
        <f t="shared" si="46"/>
        <v>0</v>
      </c>
      <c r="AU99" s="23">
        <f t="shared" si="47"/>
        <v>0</v>
      </c>
      <c r="AV99" s="23">
        <f t="shared" si="48"/>
        <v>0</v>
      </c>
      <c r="AW99" s="23">
        <f t="shared" si="49"/>
        <v>0</v>
      </c>
      <c r="AX99" s="23">
        <f t="shared" si="50"/>
        <v>27.59</v>
      </c>
      <c r="AY99" s="23">
        <f t="shared" si="51"/>
        <v>0</v>
      </c>
      <c r="AZ99" s="23">
        <f t="shared" si="52"/>
        <v>0</v>
      </c>
      <c r="BA99" s="23">
        <f t="shared" si="53"/>
        <v>632.17999999999995</v>
      </c>
      <c r="BB99" s="23">
        <f t="shared" si="54"/>
        <v>88.51</v>
      </c>
      <c r="BC99" s="23">
        <f t="shared" si="55"/>
        <v>0</v>
      </c>
      <c r="BD99" s="23">
        <f t="shared" si="56"/>
        <v>211.49</v>
      </c>
      <c r="BE99" s="23">
        <f t="shared" si="57"/>
        <v>0</v>
      </c>
      <c r="BF99" s="23">
        <f t="shared" si="58"/>
        <v>0</v>
      </c>
      <c r="BG99" s="23">
        <f t="shared" si="59"/>
        <v>0</v>
      </c>
      <c r="BH99" s="23">
        <f t="shared" si="60"/>
        <v>1334.48</v>
      </c>
      <c r="BI99" s="23">
        <f t="shared" si="61"/>
        <v>2389.8000000000002</v>
      </c>
      <c r="BJ99" s="23">
        <f t="shared" si="62"/>
        <v>0</v>
      </c>
      <c r="BK99" s="23">
        <f t="shared" si="63"/>
        <v>255.75</v>
      </c>
      <c r="BL99" s="23">
        <f t="shared" si="64"/>
        <v>471.12</v>
      </c>
      <c r="BM99" s="23">
        <f t="shared" si="65"/>
        <v>0</v>
      </c>
      <c r="BN99" s="23">
        <f t="shared" si="66"/>
        <v>0</v>
      </c>
      <c r="BO99" s="23">
        <f t="shared" si="67"/>
        <v>0</v>
      </c>
      <c r="BP99" s="23">
        <f t="shared" si="68"/>
        <v>0</v>
      </c>
      <c r="BQ99" s="23">
        <f t="shared" si="69"/>
        <v>0</v>
      </c>
      <c r="BR99" s="23">
        <f t="shared" si="70"/>
        <v>271.26</v>
      </c>
      <c r="BS99" s="23">
        <f t="shared" si="71"/>
        <v>0</v>
      </c>
      <c r="BT99" s="23">
        <f t="shared" si="76"/>
        <v>-1055.32</v>
      </c>
      <c r="BU99" s="23">
        <f t="shared" si="76"/>
        <v>33.33</v>
      </c>
      <c r="BV99" s="23">
        <f t="shared" si="76"/>
        <v>7348.99</v>
      </c>
      <c r="BW99" s="23">
        <f t="shared" si="76"/>
        <v>19797.68</v>
      </c>
      <c r="BX99" s="23">
        <f t="shared" si="76"/>
        <v>20314.93</v>
      </c>
      <c r="BY99" t="s">
        <v>272</v>
      </c>
      <c r="CB99" s="36"/>
      <c r="CC99" s="36"/>
      <c r="CD99" s="36">
        <v>0</v>
      </c>
      <c r="CE99" t="s">
        <v>267</v>
      </c>
      <c r="CF99" t="s">
        <v>267</v>
      </c>
      <c r="CG99" t="s">
        <v>267</v>
      </c>
      <c r="CH99" t="s">
        <v>267</v>
      </c>
      <c r="CI99" t="s">
        <v>267</v>
      </c>
      <c r="CJ99" t="s">
        <v>267</v>
      </c>
      <c r="CK99" t="s">
        <v>266</v>
      </c>
      <c r="CL99" t="s">
        <v>267</v>
      </c>
      <c r="CM99" t="s">
        <v>285</v>
      </c>
      <c r="CN99" t="s">
        <v>267</v>
      </c>
      <c r="CO99" t="s">
        <v>266</v>
      </c>
    </row>
    <row r="100" spans="1:93" x14ac:dyDescent="0.25">
      <c r="A100" s="2" t="s">
        <v>106</v>
      </c>
      <c r="B100" s="17">
        <v>18</v>
      </c>
      <c r="C100" s="17">
        <v>0</v>
      </c>
      <c r="D100" s="17">
        <v>0</v>
      </c>
      <c r="E100" s="17">
        <v>15.6</v>
      </c>
      <c r="F100" s="17">
        <v>0</v>
      </c>
      <c r="G100" s="17">
        <v>0</v>
      </c>
      <c r="H100" s="17">
        <v>0</v>
      </c>
      <c r="I100" s="17">
        <v>0</v>
      </c>
      <c r="J100" s="17">
        <v>0</v>
      </c>
      <c r="K100" s="17">
        <v>0</v>
      </c>
      <c r="L100" s="17">
        <v>2.4</v>
      </c>
      <c r="M100" s="17">
        <v>0</v>
      </c>
      <c r="N100" s="17">
        <v>0</v>
      </c>
      <c r="O100" s="17">
        <v>55</v>
      </c>
      <c r="P100" s="17">
        <v>7.6</v>
      </c>
      <c r="Q100" s="17">
        <v>0</v>
      </c>
      <c r="R100" s="17">
        <v>19.300000000000011</v>
      </c>
      <c r="S100" s="17">
        <v>0</v>
      </c>
      <c r="T100" s="17">
        <v>0</v>
      </c>
      <c r="U100" s="17">
        <v>0</v>
      </c>
      <c r="V100" s="17">
        <f t="shared" si="73"/>
        <v>117.9</v>
      </c>
      <c r="W100" s="18">
        <v>218.64750000000001</v>
      </c>
      <c r="X100" s="17">
        <v>0</v>
      </c>
      <c r="Y100" s="19">
        <v>27</v>
      </c>
      <c r="Z100" s="19">
        <v>48.15</v>
      </c>
      <c r="AA100" s="17">
        <v>0</v>
      </c>
      <c r="AB100" s="17">
        <v>0</v>
      </c>
      <c r="AC100" s="17">
        <v>0</v>
      </c>
      <c r="AD100" s="17">
        <v>0</v>
      </c>
      <c r="AE100" s="17">
        <v>0</v>
      </c>
      <c r="AF100" s="19">
        <v>23.6</v>
      </c>
      <c r="AG100" s="17">
        <v>0</v>
      </c>
      <c r="AH100" s="17">
        <f t="shared" si="74"/>
        <v>-100.7475</v>
      </c>
      <c r="AI100" s="20">
        <v>1.7499999999999956</v>
      </c>
      <c r="AJ100" s="21">
        <v>636.69375000000002</v>
      </c>
      <c r="AK100" s="22">
        <v>1816.1485715960525</v>
      </c>
      <c r="AL100" s="22">
        <v>1868.6485715960525</v>
      </c>
      <c r="AM100" s="16">
        <v>8.6999999999999993</v>
      </c>
      <c r="AN100" s="23">
        <f t="shared" si="40"/>
        <v>206.9</v>
      </c>
      <c r="AO100" s="23">
        <f t="shared" si="41"/>
        <v>0</v>
      </c>
      <c r="AP100" s="23">
        <f t="shared" si="42"/>
        <v>0</v>
      </c>
      <c r="AQ100" s="23">
        <f t="shared" si="43"/>
        <v>179.31</v>
      </c>
      <c r="AR100" s="23">
        <f t="shared" si="44"/>
        <v>0</v>
      </c>
      <c r="AS100" s="23">
        <f t="shared" si="45"/>
        <v>0</v>
      </c>
      <c r="AT100" s="23">
        <f t="shared" si="46"/>
        <v>0</v>
      </c>
      <c r="AU100" s="23">
        <f t="shared" si="47"/>
        <v>0</v>
      </c>
      <c r="AV100" s="23">
        <f t="shared" si="48"/>
        <v>0</v>
      </c>
      <c r="AW100" s="23">
        <f t="shared" si="49"/>
        <v>0</v>
      </c>
      <c r="AX100" s="23">
        <f t="shared" si="50"/>
        <v>27.59</v>
      </c>
      <c r="AY100" s="23">
        <f t="shared" si="51"/>
        <v>0</v>
      </c>
      <c r="AZ100" s="23">
        <f t="shared" si="52"/>
        <v>0</v>
      </c>
      <c r="BA100" s="23">
        <f t="shared" si="53"/>
        <v>632.17999999999995</v>
      </c>
      <c r="BB100" s="23">
        <f t="shared" si="54"/>
        <v>87.36</v>
      </c>
      <c r="BC100" s="23">
        <f t="shared" si="55"/>
        <v>0</v>
      </c>
      <c r="BD100" s="23">
        <f t="shared" si="56"/>
        <v>221.84</v>
      </c>
      <c r="BE100" s="23">
        <f t="shared" si="57"/>
        <v>0</v>
      </c>
      <c r="BF100" s="23">
        <f t="shared" si="58"/>
        <v>0</v>
      </c>
      <c r="BG100" s="23">
        <f t="shared" si="59"/>
        <v>0</v>
      </c>
      <c r="BH100" s="23">
        <f t="shared" si="60"/>
        <v>1355.17</v>
      </c>
      <c r="BI100" s="23">
        <f t="shared" si="61"/>
        <v>2513.19</v>
      </c>
      <c r="BJ100" s="23">
        <f t="shared" si="62"/>
        <v>0</v>
      </c>
      <c r="BK100" s="23">
        <f t="shared" si="63"/>
        <v>310.33999999999997</v>
      </c>
      <c r="BL100" s="23">
        <f t="shared" si="64"/>
        <v>553.45000000000005</v>
      </c>
      <c r="BM100" s="23">
        <f t="shared" si="65"/>
        <v>0</v>
      </c>
      <c r="BN100" s="23">
        <f t="shared" si="66"/>
        <v>0</v>
      </c>
      <c r="BO100" s="23">
        <f t="shared" si="67"/>
        <v>0</v>
      </c>
      <c r="BP100" s="23">
        <f t="shared" si="68"/>
        <v>0</v>
      </c>
      <c r="BQ100" s="23">
        <f t="shared" si="69"/>
        <v>0</v>
      </c>
      <c r="BR100" s="23">
        <f t="shared" si="70"/>
        <v>271.26</v>
      </c>
      <c r="BS100" s="23">
        <f t="shared" si="71"/>
        <v>0</v>
      </c>
      <c r="BT100" s="23">
        <f t="shared" si="76"/>
        <v>-1158.02</v>
      </c>
      <c r="BU100" s="23">
        <f t="shared" si="76"/>
        <v>20.11</v>
      </c>
      <c r="BV100" s="23">
        <f t="shared" si="76"/>
        <v>7318.32</v>
      </c>
      <c r="BW100" s="23">
        <f t="shared" si="76"/>
        <v>20875.27</v>
      </c>
      <c r="BX100" s="23">
        <f t="shared" si="76"/>
        <v>21478.720000000001</v>
      </c>
      <c r="BY100" t="s">
        <v>272</v>
      </c>
      <c r="CB100" s="36"/>
      <c r="CC100" s="36"/>
      <c r="CD100" s="36">
        <v>0</v>
      </c>
      <c r="CE100" t="s">
        <v>267</v>
      </c>
      <c r="CF100" t="s">
        <v>267</v>
      </c>
      <c r="CG100" t="s">
        <v>267</v>
      </c>
      <c r="CH100" t="s">
        <v>267</v>
      </c>
      <c r="CI100" t="s">
        <v>267</v>
      </c>
      <c r="CJ100" t="s">
        <v>267</v>
      </c>
      <c r="CK100" t="s">
        <v>266</v>
      </c>
      <c r="CL100" t="s">
        <v>267</v>
      </c>
      <c r="CM100" t="s">
        <v>285</v>
      </c>
      <c r="CN100" t="s">
        <v>267</v>
      </c>
      <c r="CO100" t="s">
        <v>266</v>
      </c>
    </row>
    <row r="101" spans="1:93" x14ac:dyDescent="0.25">
      <c r="A101" s="2" t="s">
        <v>107</v>
      </c>
      <c r="B101" s="17">
        <v>18.8</v>
      </c>
      <c r="C101" s="17">
        <v>0</v>
      </c>
      <c r="D101" s="17">
        <v>0</v>
      </c>
      <c r="E101" s="17">
        <v>18.5</v>
      </c>
      <c r="F101" s="17">
        <v>0</v>
      </c>
      <c r="G101" s="17">
        <v>0</v>
      </c>
      <c r="H101" s="17">
        <v>0</v>
      </c>
      <c r="I101" s="17">
        <v>0</v>
      </c>
      <c r="J101" s="17">
        <v>0</v>
      </c>
      <c r="K101" s="17">
        <v>0</v>
      </c>
      <c r="L101" s="17">
        <v>2.5</v>
      </c>
      <c r="M101" s="17">
        <v>0</v>
      </c>
      <c r="N101" s="17">
        <v>0</v>
      </c>
      <c r="O101" s="17">
        <v>61</v>
      </c>
      <c r="P101" s="17">
        <v>8.5</v>
      </c>
      <c r="Q101" s="17">
        <v>0</v>
      </c>
      <c r="R101" s="17">
        <v>20.600000000000009</v>
      </c>
      <c r="S101" s="17">
        <v>0</v>
      </c>
      <c r="T101" s="17">
        <v>0</v>
      </c>
      <c r="U101" s="17">
        <v>0</v>
      </c>
      <c r="V101" s="17">
        <f t="shared" si="73"/>
        <v>129.9</v>
      </c>
      <c r="W101" s="18">
        <v>238.19749999999999</v>
      </c>
      <c r="X101" s="17">
        <v>0</v>
      </c>
      <c r="Y101" s="19">
        <v>31.125</v>
      </c>
      <c r="Z101" s="19">
        <v>74.456249999999997</v>
      </c>
      <c r="AA101" s="17">
        <v>0</v>
      </c>
      <c r="AB101" s="17">
        <v>0</v>
      </c>
      <c r="AC101" s="17">
        <v>0</v>
      </c>
      <c r="AD101" s="17">
        <v>0</v>
      </c>
      <c r="AE101" s="17">
        <v>0</v>
      </c>
      <c r="AF101" s="19">
        <v>23.2</v>
      </c>
      <c r="AG101" s="17">
        <v>0</v>
      </c>
      <c r="AH101" s="17">
        <f t="shared" si="74"/>
        <v>-108.29749999999999</v>
      </c>
      <c r="AI101" s="20">
        <v>18.543749999999992</v>
      </c>
      <c r="AJ101" s="21">
        <v>650.76874999999995</v>
      </c>
      <c r="AK101" s="22">
        <v>1913.3985715960525</v>
      </c>
      <c r="AL101" s="22">
        <v>1950.3985715960525</v>
      </c>
      <c r="AM101" s="16">
        <v>8.8000000000000007</v>
      </c>
      <c r="AN101" s="23">
        <f t="shared" si="40"/>
        <v>213.64</v>
      </c>
      <c r="AO101" s="23">
        <f t="shared" si="41"/>
        <v>0</v>
      </c>
      <c r="AP101" s="23">
        <f t="shared" si="42"/>
        <v>0</v>
      </c>
      <c r="AQ101" s="23">
        <f t="shared" si="43"/>
        <v>210.23</v>
      </c>
      <c r="AR101" s="23">
        <f t="shared" si="44"/>
        <v>0</v>
      </c>
      <c r="AS101" s="23">
        <f t="shared" si="45"/>
        <v>0</v>
      </c>
      <c r="AT101" s="23">
        <f t="shared" si="46"/>
        <v>0</v>
      </c>
      <c r="AU101" s="23">
        <f t="shared" si="47"/>
        <v>0</v>
      </c>
      <c r="AV101" s="23">
        <f t="shared" si="48"/>
        <v>0</v>
      </c>
      <c r="AW101" s="23">
        <f t="shared" si="49"/>
        <v>0</v>
      </c>
      <c r="AX101" s="23">
        <f t="shared" si="50"/>
        <v>28.41</v>
      </c>
      <c r="AY101" s="23">
        <f t="shared" si="51"/>
        <v>0</v>
      </c>
      <c r="AZ101" s="23">
        <f t="shared" si="52"/>
        <v>0</v>
      </c>
      <c r="BA101" s="23">
        <f t="shared" si="53"/>
        <v>693.18</v>
      </c>
      <c r="BB101" s="23">
        <f t="shared" si="54"/>
        <v>96.59</v>
      </c>
      <c r="BC101" s="23">
        <f t="shared" si="55"/>
        <v>0</v>
      </c>
      <c r="BD101" s="23">
        <f t="shared" si="56"/>
        <v>234.09</v>
      </c>
      <c r="BE101" s="23">
        <f t="shared" si="57"/>
        <v>0</v>
      </c>
      <c r="BF101" s="23">
        <f t="shared" si="58"/>
        <v>0</v>
      </c>
      <c r="BG101" s="23">
        <f t="shared" si="59"/>
        <v>0</v>
      </c>
      <c r="BH101" s="23">
        <f t="shared" si="60"/>
        <v>1476.14</v>
      </c>
      <c r="BI101" s="23">
        <f t="shared" si="61"/>
        <v>2706.79</v>
      </c>
      <c r="BJ101" s="23">
        <f t="shared" si="62"/>
        <v>0</v>
      </c>
      <c r="BK101" s="23">
        <f t="shared" si="63"/>
        <v>353.69</v>
      </c>
      <c r="BL101" s="23">
        <f t="shared" si="64"/>
        <v>846.09</v>
      </c>
      <c r="BM101" s="23">
        <f t="shared" si="65"/>
        <v>0</v>
      </c>
      <c r="BN101" s="23">
        <f t="shared" si="66"/>
        <v>0</v>
      </c>
      <c r="BO101" s="23">
        <f t="shared" si="67"/>
        <v>0</v>
      </c>
      <c r="BP101" s="23">
        <f t="shared" si="68"/>
        <v>0</v>
      </c>
      <c r="BQ101" s="23">
        <f t="shared" si="69"/>
        <v>0</v>
      </c>
      <c r="BR101" s="23">
        <f t="shared" si="70"/>
        <v>263.64</v>
      </c>
      <c r="BS101" s="23">
        <f t="shared" si="71"/>
        <v>0</v>
      </c>
      <c r="BT101" s="23">
        <f t="shared" si="76"/>
        <v>-1230.6500000000001</v>
      </c>
      <c r="BU101" s="23">
        <f t="shared" si="76"/>
        <v>210.72</v>
      </c>
      <c r="BV101" s="23">
        <f t="shared" si="76"/>
        <v>7395.1</v>
      </c>
      <c r="BW101" s="23">
        <f t="shared" si="76"/>
        <v>21743.17</v>
      </c>
      <c r="BX101" s="23">
        <f t="shared" si="76"/>
        <v>22163.62</v>
      </c>
      <c r="BY101" t="s">
        <v>272</v>
      </c>
      <c r="CB101" s="36"/>
      <c r="CC101" s="36"/>
      <c r="CD101" s="36">
        <v>0</v>
      </c>
      <c r="CE101" t="s">
        <v>267</v>
      </c>
      <c r="CF101" t="s">
        <v>267</v>
      </c>
      <c r="CG101" t="s">
        <v>267</v>
      </c>
      <c r="CH101" t="s">
        <v>267</v>
      </c>
      <c r="CI101" t="s">
        <v>267</v>
      </c>
      <c r="CJ101" t="s">
        <v>267</v>
      </c>
      <c r="CK101" t="s">
        <v>266</v>
      </c>
      <c r="CL101" t="s">
        <v>267</v>
      </c>
      <c r="CM101" t="s">
        <v>285</v>
      </c>
      <c r="CN101" t="s">
        <v>267</v>
      </c>
      <c r="CO101" t="s">
        <v>266</v>
      </c>
    </row>
    <row r="102" spans="1:93" x14ac:dyDescent="0.25">
      <c r="A102" s="2" t="s">
        <v>108</v>
      </c>
      <c r="B102" s="17">
        <v>26.9</v>
      </c>
      <c r="C102" s="17">
        <v>0</v>
      </c>
      <c r="D102" s="17">
        <v>0</v>
      </c>
      <c r="E102" s="17">
        <v>17.2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0</v>
      </c>
      <c r="L102" s="17">
        <v>2.5</v>
      </c>
      <c r="M102" s="17">
        <v>0</v>
      </c>
      <c r="N102" s="17">
        <v>0</v>
      </c>
      <c r="O102" s="17">
        <v>65</v>
      </c>
      <c r="P102" s="17">
        <v>7.8</v>
      </c>
      <c r="Q102" s="17">
        <v>0</v>
      </c>
      <c r="R102" s="17">
        <v>20.799999999999997</v>
      </c>
      <c r="S102" s="17">
        <v>0</v>
      </c>
      <c r="T102" s="17">
        <v>53.300000000000011</v>
      </c>
      <c r="U102" s="17">
        <v>0</v>
      </c>
      <c r="V102" s="17">
        <f t="shared" si="73"/>
        <v>193.5</v>
      </c>
      <c r="W102" s="18">
        <v>193.3</v>
      </c>
      <c r="X102" s="19">
        <v>231.37500000000003</v>
      </c>
      <c r="Y102" s="19">
        <v>36.125</v>
      </c>
      <c r="Z102" s="19">
        <v>111.79375000000002</v>
      </c>
      <c r="AA102" s="17">
        <v>0</v>
      </c>
      <c r="AB102" s="17">
        <v>0</v>
      </c>
      <c r="AC102" s="17">
        <v>0</v>
      </c>
      <c r="AD102" s="17">
        <v>0</v>
      </c>
      <c r="AE102" s="17">
        <v>0</v>
      </c>
      <c r="AF102" s="19">
        <v>19.8</v>
      </c>
      <c r="AG102" s="24">
        <v>135.90624999999997</v>
      </c>
      <c r="AH102" s="17">
        <f t="shared" si="74"/>
        <v>0.19999999999998863</v>
      </c>
      <c r="AI102" s="20">
        <v>78.610716121235384</v>
      </c>
      <c r="AJ102" s="21">
        <v>705.7</v>
      </c>
      <c r="AK102" s="22">
        <v>1878.863419625204</v>
      </c>
      <c r="AL102" s="22">
        <v>1886.5286555627199</v>
      </c>
      <c r="AM102" s="16">
        <v>9.1999999999999993</v>
      </c>
      <c r="AN102" s="23">
        <f t="shared" si="40"/>
        <v>292.39</v>
      </c>
      <c r="AO102" s="23">
        <f t="shared" si="41"/>
        <v>0</v>
      </c>
      <c r="AP102" s="23">
        <f t="shared" si="42"/>
        <v>0</v>
      </c>
      <c r="AQ102" s="23">
        <f t="shared" si="43"/>
        <v>186.96</v>
      </c>
      <c r="AR102" s="23">
        <f t="shared" si="44"/>
        <v>0</v>
      </c>
      <c r="AS102" s="23">
        <f t="shared" si="45"/>
        <v>0</v>
      </c>
      <c r="AT102" s="23">
        <f t="shared" si="46"/>
        <v>0</v>
      </c>
      <c r="AU102" s="23">
        <f t="shared" si="47"/>
        <v>0</v>
      </c>
      <c r="AV102" s="23">
        <f t="shared" si="48"/>
        <v>0</v>
      </c>
      <c r="AW102" s="23">
        <f t="shared" si="49"/>
        <v>0</v>
      </c>
      <c r="AX102" s="23">
        <f t="shared" si="50"/>
        <v>27.17</v>
      </c>
      <c r="AY102" s="23">
        <f t="shared" si="51"/>
        <v>0</v>
      </c>
      <c r="AZ102" s="23">
        <f t="shared" si="52"/>
        <v>0</v>
      </c>
      <c r="BA102" s="23">
        <f t="shared" si="53"/>
        <v>706.52</v>
      </c>
      <c r="BB102" s="23">
        <f t="shared" si="54"/>
        <v>84.78</v>
      </c>
      <c r="BC102" s="23">
        <f t="shared" si="55"/>
        <v>0</v>
      </c>
      <c r="BD102" s="23">
        <f t="shared" si="56"/>
        <v>226.09</v>
      </c>
      <c r="BE102" s="23">
        <f t="shared" si="57"/>
        <v>0</v>
      </c>
      <c r="BF102" s="23">
        <f t="shared" si="58"/>
        <v>579.35</v>
      </c>
      <c r="BG102" s="23">
        <f t="shared" si="59"/>
        <v>0</v>
      </c>
      <c r="BH102" s="23">
        <f t="shared" si="60"/>
        <v>2103.2600000000002</v>
      </c>
      <c r="BI102" s="23">
        <f t="shared" si="61"/>
        <v>2101.09</v>
      </c>
      <c r="BJ102" s="23">
        <f t="shared" si="62"/>
        <v>2514.9499999999998</v>
      </c>
      <c r="BK102" s="23">
        <f t="shared" si="63"/>
        <v>392.66</v>
      </c>
      <c r="BL102" s="23">
        <f t="shared" si="64"/>
        <v>1215.1500000000001</v>
      </c>
      <c r="BM102" s="23">
        <f t="shared" si="65"/>
        <v>0</v>
      </c>
      <c r="BN102" s="23">
        <f t="shared" si="66"/>
        <v>0</v>
      </c>
      <c r="BO102" s="23">
        <f t="shared" si="67"/>
        <v>0</v>
      </c>
      <c r="BP102" s="23">
        <f t="shared" si="68"/>
        <v>0</v>
      </c>
      <c r="BQ102" s="23">
        <f t="shared" si="69"/>
        <v>0</v>
      </c>
      <c r="BR102" s="23">
        <f t="shared" si="70"/>
        <v>215.22</v>
      </c>
      <c r="BS102" s="23">
        <f t="shared" si="71"/>
        <v>1477.24</v>
      </c>
      <c r="BT102" s="23">
        <f t="shared" si="76"/>
        <v>2.17</v>
      </c>
      <c r="BU102" s="23">
        <f t="shared" si="76"/>
        <v>854.46</v>
      </c>
      <c r="BV102" s="23">
        <f t="shared" si="76"/>
        <v>7670.65</v>
      </c>
      <c r="BW102" s="23">
        <f t="shared" si="76"/>
        <v>20422.43</v>
      </c>
      <c r="BX102" s="23">
        <f t="shared" si="76"/>
        <v>20505.75</v>
      </c>
      <c r="BY102" t="s">
        <v>272</v>
      </c>
      <c r="CB102" s="36"/>
      <c r="CD102" s="36">
        <v>0</v>
      </c>
      <c r="CE102" t="s">
        <v>267</v>
      </c>
      <c r="CF102" t="s">
        <v>267</v>
      </c>
      <c r="CG102" t="s">
        <v>267</v>
      </c>
      <c r="CH102" t="s">
        <v>267</v>
      </c>
      <c r="CI102" t="s">
        <v>267</v>
      </c>
      <c r="CJ102" t="s">
        <v>267</v>
      </c>
      <c r="CK102" t="s">
        <v>266</v>
      </c>
      <c r="CL102" t="s">
        <v>267</v>
      </c>
      <c r="CM102" t="s">
        <v>285</v>
      </c>
      <c r="CN102" t="s">
        <v>267</v>
      </c>
      <c r="CO102" t="s">
        <v>266</v>
      </c>
    </row>
    <row r="103" spans="1:93" x14ac:dyDescent="0.25">
      <c r="A103" s="2" t="s">
        <v>109</v>
      </c>
      <c r="B103" s="17">
        <v>34.799999999999997</v>
      </c>
      <c r="C103" s="17">
        <v>0</v>
      </c>
      <c r="D103" s="17">
        <v>0</v>
      </c>
      <c r="E103" s="17">
        <v>18.5</v>
      </c>
      <c r="F103" s="17">
        <v>0</v>
      </c>
      <c r="G103" s="17">
        <v>0</v>
      </c>
      <c r="H103" s="17">
        <v>0</v>
      </c>
      <c r="I103" s="17">
        <v>0</v>
      </c>
      <c r="J103" s="17">
        <v>0</v>
      </c>
      <c r="K103" s="17">
        <v>0</v>
      </c>
      <c r="L103" s="17">
        <v>2.5</v>
      </c>
      <c r="M103" s="17">
        <v>0</v>
      </c>
      <c r="N103" s="17">
        <v>0</v>
      </c>
      <c r="O103" s="17">
        <v>68</v>
      </c>
      <c r="P103" s="17">
        <v>7.8</v>
      </c>
      <c r="Q103" s="17">
        <v>0</v>
      </c>
      <c r="R103" s="17">
        <v>21.099999999999994</v>
      </c>
      <c r="S103" s="17">
        <v>0</v>
      </c>
      <c r="T103" s="17">
        <v>59.050000000000011</v>
      </c>
      <c r="U103" s="17">
        <v>0</v>
      </c>
      <c r="V103" s="17">
        <f t="shared" si="73"/>
        <v>211.75</v>
      </c>
      <c r="W103" s="18">
        <v>205.2</v>
      </c>
      <c r="X103" s="19">
        <v>247.49999999999997</v>
      </c>
      <c r="Y103" s="19">
        <v>41.5</v>
      </c>
      <c r="Z103" s="19">
        <v>118.61249999999998</v>
      </c>
      <c r="AA103" s="17">
        <v>0</v>
      </c>
      <c r="AB103" s="17">
        <v>0</v>
      </c>
      <c r="AC103" s="17">
        <v>0</v>
      </c>
      <c r="AD103" s="17">
        <v>0</v>
      </c>
      <c r="AE103" s="17">
        <v>0</v>
      </c>
      <c r="AF103" s="19">
        <v>21.7</v>
      </c>
      <c r="AG103" s="24">
        <v>148.6875</v>
      </c>
      <c r="AH103" s="17">
        <f t="shared" si="74"/>
        <v>6.5500000000000114</v>
      </c>
      <c r="AI103" s="20">
        <v>82.04981581116796</v>
      </c>
      <c r="AJ103" s="21">
        <v>768.4</v>
      </c>
      <c r="AK103" s="22">
        <v>1892.2686462706774</v>
      </c>
      <c r="AL103" s="22">
        <v>1896.083391749077</v>
      </c>
      <c r="AM103" s="16">
        <v>9.1999999999999993</v>
      </c>
      <c r="AN103" s="23">
        <f t="shared" si="40"/>
        <v>378.26</v>
      </c>
      <c r="AO103" s="23">
        <f t="shared" si="41"/>
        <v>0</v>
      </c>
      <c r="AP103" s="23">
        <f t="shared" si="42"/>
        <v>0</v>
      </c>
      <c r="AQ103" s="23">
        <f t="shared" si="43"/>
        <v>201.09</v>
      </c>
      <c r="AR103" s="23">
        <f t="shared" si="44"/>
        <v>0</v>
      </c>
      <c r="AS103" s="23">
        <f t="shared" si="45"/>
        <v>0</v>
      </c>
      <c r="AT103" s="23">
        <f t="shared" si="46"/>
        <v>0</v>
      </c>
      <c r="AU103" s="23">
        <f t="shared" si="47"/>
        <v>0</v>
      </c>
      <c r="AV103" s="23">
        <f t="shared" si="48"/>
        <v>0</v>
      </c>
      <c r="AW103" s="23">
        <f t="shared" si="49"/>
        <v>0</v>
      </c>
      <c r="AX103" s="23">
        <f t="shared" si="50"/>
        <v>27.17</v>
      </c>
      <c r="AY103" s="23">
        <f t="shared" si="51"/>
        <v>0</v>
      </c>
      <c r="AZ103" s="23">
        <f t="shared" si="52"/>
        <v>0</v>
      </c>
      <c r="BA103" s="23">
        <f t="shared" si="53"/>
        <v>739.13</v>
      </c>
      <c r="BB103" s="23">
        <f t="shared" si="54"/>
        <v>84.78</v>
      </c>
      <c r="BC103" s="23">
        <f t="shared" si="55"/>
        <v>0</v>
      </c>
      <c r="BD103" s="23">
        <f t="shared" si="56"/>
        <v>229.35</v>
      </c>
      <c r="BE103" s="23">
        <f t="shared" si="57"/>
        <v>0</v>
      </c>
      <c r="BF103" s="23">
        <f t="shared" si="58"/>
        <v>641.85</v>
      </c>
      <c r="BG103" s="23">
        <f t="shared" si="59"/>
        <v>0</v>
      </c>
      <c r="BH103" s="23">
        <f t="shared" si="60"/>
        <v>2301.63</v>
      </c>
      <c r="BI103" s="23">
        <f t="shared" si="61"/>
        <v>2230.4299999999998</v>
      </c>
      <c r="BJ103" s="23">
        <f t="shared" si="62"/>
        <v>2690.22</v>
      </c>
      <c r="BK103" s="23">
        <f t="shared" si="63"/>
        <v>451.09</v>
      </c>
      <c r="BL103" s="23">
        <f t="shared" si="64"/>
        <v>1289.27</v>
      </c>
      <c r="BM103" s="23">
        <f t="shared" si="65"/>
        <v>0</v>
      </c>
      <c r="BN103" s="23">
        <f t="shared" si="66"/>
        <v>0</v>
      </c>
      <c r="BO103" s="23">
        <f t="shared" si="67"/>
        <v>0</v>
      </c>
      <c r="BP103" s="23">
        <f t="shared" si="68"/>
        <v>0</v>
      </c>
      <c r="BQ103" s="23">
        <f t="shared" si="69"/>
        <v>0</v>
      </c>
      <c r="BR103" s="23">
        <f t="shared" si="70"/>
        <v>235.87</v>
      </c>
      <c r="BS103" s="23">
        <f t="shared" si="71"/>
        <v>1616.17</v>
      </c>
      <c r="BT103" s="23">
        <f t="shared" si="76"/>
        <v>71.2</v>
      </c>
      <c r="BU103" s="23">
        <f t="shared" si="76"/>
        <v>891.85</v>
      </c>
      <c r="BV103" s="23">
        <f t="shared" si="76"/>
        <v>8352.17</v>
      </c>
      <c r="BW103" s="23">
        <f t="shared" si="76"/>
        <v>20568.14</v>
      </c>
      <c r="BX103" s="23">
        <f t="shared" si="76"/>
        <v>20609.599999999999</v>
      </c>
      <c r="BY103" t="s">
        <v>271</v>
      </c>
      <c r="CB103" s="36"/>
      <c r="CD103" s="36">
        <v>0</v>
      </c>
      <c r="CE103" t="s">
        <v>267</v>
      </c>
      <c r="CF103" t="s">
        <v>267</v>
      </c>
      <c r="CG103" t="s">
        <v>267</v>
      </c>
      <c r="CH103" t="s">
        <v>267</v>
      </c>
      <c r="CI103" t="s">
        <v>267</v>
      </c>
      <c r="CJ103" t="s">
        <v>267</v>
      </c>
      <c r="CK103" t="s">
        <v>266</v>
      </c>
      <c r="CL103" t="s">
        <v>267</v>
      </c>
      <c r="CM103" t="s">
        <v>285</v>
      </c>
      <c r="CN103" t="s">
        <v>267</v>
      </c>
      <c r="CO103" t="s">
        <v>266</v>
      </c>
    </row>
    <row r="104" spans="1:93" x14ac:dyDescent="0.25">
      <c r="A104" s="2" t="s">
        <v>110</v>
      </c>
      <c r="B104" s="17">
        <v>38.799999999999997</v>
      </c>
      <c r="C104" s="17">
        <v>0</v>
      </c>
      <c r="D104" s="17">
        <v>0</v>
      </c>
      <c r="E104" s="17">
        <v>18.100000000000001</v>
      </c>
      <c r="F104" s="17">
        <v>0</v>
      </c>
      <c r="G104" s="17">
        <v>0</v>
      </c>
      <c r="H104" s="17">
        <v>0</v>
      </c>
      <c r="I104" s="17">
        <v>0</v>
      </c>
      <c r="J104" s="17">
        <v>0</v>
      </c>
      <c r="K104" s="17">
        <v>0</v>
      </c>
      <c r="L104" s="17">
        <v>2.6</v>
      </c>
      <c r="M104" s="17">
        <v>0</v>
      </c>
      <c r="N104" s="17">
        <v>0</v>
      </c>
      <c r="O104" s="17">
        <v>72</v>
      </c>
      <c r="P104" s="17">
        <v>8.1999999999999993</v>
      </c>
      <c r="Q104" s="17">
        <v>0</v>
      </c>
      <c r="R104" s="17">
        <v>21.600000000000023</v>
      </c>
      <c r="S104" s="17">
        <v>0</v>
      </c>
      <c r="T104" s="17">
        <v>65.449999999999989</v>
      </c>
      <c r="U104" s="17">
        <v>0</v>
      </c>
      <c r="V104" s="17">
        <f t="shared" si="73"/>
        <v>226.75</v>
      </c>
      <c r="W104" s="18">
        <v>194.2</v>
      </c>
      <c r="X104" s="19">
        <v>237</v>
      </c>
      <c r="Y104" s="19">
        <v>41.75</v>
      </c>
      <c r="Z104" s="19">
        <v>99.531250000000014</v>
      </c>
      <c r="AA104" s="17">
        <v>0</v>
      </c>
      <c r="AB104" s="17">
        <v>0</v>
      </c>
      <c r="AC104" s="17">
        <v>0</v>
      </c>
      <c r="AD104" s="17">
        <v>0</v>
      </c>
      <c r="AE104" s="17">
        <v>0</v>
      </c>
      <c r="AF104" s="19">
        <v>27.2</v>
      </c>
      <c r="AG104" s="24">
        <v>152.01874999999998</v>
      </c>
      <c r="AH104" s="17">
        <f t="shared" si="74"/>
        <v>32.550000000000011</v>
      </c>
      <c r="AI104" s="20">
        <v>55.306406929780493</v>
      </c>
      <c r="AJ104" s="21">
        <v>798.3</v>
      </c>
      <c r="AK104" s="22">
        <v>1891.113705455231</v>
      </c>
      <c r="AL104" s="22">
        <v>1877.3595873891388</v>
      </c>
      <c r="AM104" s="16">
        <v>9.1999999999999993</v>
      </c>
      <c r="AN104" s="23">
        <f t="shared" si="40"/>
        <v>421.74</v>
      </c>
      <c r="AO104" s="23">
        <f t="shared" si="41"/>
        <v>0</v>
      </c>
      <c r="AP104" s="23">
        <f t="shared" si="42"/>
        <v>0</v>
      </c>
      <c r="AQ104" s="23">
        <f t="shared" si="43"/>
        <v>196.74</v>
      </c>
      <c r="AR104" s="23">
        <f t="shared" si="44"/>
        <v>0</v>
      </c>
      <c r="AS104" s="23">
        <f t="shared" si="45"/>
        <v>0</v>
      </c>
      <c r="AT104" s="23">
        <f t="shared" si="46"/>
        <v>0</v>
      </c>
      <c r="AU104" s="23">
        <f t="shared" si="47"/>
        <v>0</v>
      </c>
      <c r="AV104" s="23">
        <f t="shared" si="48"/>
        <v>0</v>
      </c>
      <c r="AW104" s="23">
        <f t="shared" si="49"/>
        <v>0</v>
      </c>
      <c r="AX104" s="23">
        <f t="shared" si="50"/>
        <v>28.26</v>
      </c>
      <c r="AY104" s="23">
        <f t="shared" si="51"/>
        <v>0</v>
      </c>
      <c r="AZ104" s="23">
        <f t="shared" si="52"/>
        <v>0</v>
      </c>
      <c r="BA104" s="23">
        <f t="shared" si="53"/>
        <v>782.61</v>
      </c>
      <c r="BB104" s="23">
        <f t="shared" si="54"/>
        <v>89.13</v>
      </c>
      <c r="BC104" s="23">
        <f t="shared" si="55"/>
        <v>0</v>
      </c>
      <c r="BD104" s="23">
        <f t="shared" si="56"/>
        <v>234.78</v>
      </c>
      <c r="BE104" s="23">
        <f t="shared" si="57"/>
        <v>0</v>
      </c>
      <c r="BF104" s="23">
        <f t="shared" si="58"/>
        <v>711.41</v>
      </c>
      <c r="BG104" s="23">
        <f t="shared" si="59"/>
        <v>0</v>
      </c>
      <c r="BH104" s="23">
        <f t="shared" si="60"/>
        <v>2464.67</v>
      </c>
      <c r="BI104" s="23">
        <f t="shared" si="61"/>
        <v>2110.87</v>
      </c>
      <c r="BJ104" s="23">
        <f t="shared" si="62"/>
        <v>2576.09</v>
      </c>
      <c r="BK104" s="23">
        <f t="shared" si="63"/>
        <v>453.8</v>
      </c>
      <c r="BL104" s="23">
        <f t="shared" si="64"/>
        <v>1081.8599999999999</v>
      </c>
      <c r="BM104" s="23">
        <f t="shared" si="65"/>
        <v>0</v>
      </c>
      <c r="BN104" s="23">
        <f t="shared" si="66"/>
        <v>0</v>
      </c>
      <c r="BO104" s="23">
        <f t="shared" si="67"/>
        <v>0</v>
      </c>
      <c r="BP104" s="23">
        <f t="shared" si="68"/>
        <v>0</v>
      </c>
      <c r="BQ104" s="23">
        <f t="shared" si="69"/>
        <v>0</v>
      </c>
      <c r="BR104" s="23">
        <f t="shared" si="70"/>
        <v>295.64999999999998</v>
      </c>
      <c r="BS104" s="23">
        <f t="shared" si="71"/>
        <v>1652.38</v>
      </c>
      <c r="BT104" s="23">
        <f t="shared" si="76"/>
        <v>353.8</v>
      </c>
      <c r="BU104" s="23">
        <f t="shared" si="76"/>
        <v>601.16</v>
      </c>
      <c r="BV104" s="23">
        <f t="shared" si="76"/>
        <v>8677.17</v>
      </c>
      <c r="BW104" s="23">
        <f t="shared" si="76"/>
        <v>20555.580000000002</v>
      </c>
      <c r="BX104" s="23">
        <f t="shared" si="76"/>
        <v>20406.080000000002</v>
      </c>
      <c r="BY104" t="s">
        <v>271</v>
      </c>
      <c r="CB104" s="36"/>
      <c r="CD104" s="36">
        <v>0</v>
      </c>
      <c r="CE104" t="s">
        <v>267</v>
      </c>
      <c r="CF104" t="s">
        <v>267</v>
      </c>
      <c r="CG104" t="s">
        <v>267</v>
      </c>
      <c r="CH104" t="s">
        <v>267</v>
      </c>
      <c r="CI104" t="s">
        <v>267</v>
      </c>
      <c r="CJ104" t="s">
        <v>267</v>
      </c>
      <c r="CK104" t="s">
        <v>266</v>
      </c>
      <c r="CL104" t="s">
        <v>267</v>
      </c>
      <c r="CM104" t="s">
        <v>285</v>
      </c>
      <c r="CN104" t="s">
        <v>267</v>
      </c>
      <c r="CO104" t="s">
        <v>266</v>
      </c>
    </row>
    <row r="105" spans="1:93" x14ac:dyDescent="0.25">
      <c r="A105" s="2" t="s">
        <v>111</v>
      </c>
      <c r="B105" s="17">
        <v>30.8</v>
      </c>
      <c r="C105" s="17">
        <v>0</v>
      </c>
      <c r="D105" s="17">
        <v>0</v>
      </c>
      <c r="E105" s="17">
        <v>17.2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2.7</v>
      </c>
      <c r="M105" s="17">
        <v>0</v>
      </c>
      <c r="N105" s="17">
        <v>0</v>
      </c>
      <c r="O105" s="17">
        <v>71</v>
      </c>
      <c r="P105" s="17">
        <v>7.5</v>
      </c>
      <c r="Q105" s="17">
        <v>0</v>
      </c>
      <c r="R105" s="17">
        <v>22.100000000000023</v>
      </c>
      <c r="S105" s="17">
        <v>0</v>
      </c>
      <c r="T105" s="17">
        <v>77.699999999999989</v>
      </c>
      <c r="U105" s="17">
        <v>0</v>
      </c>
      <c r="V105" s="17">
        <f t="shared" si="73"/>
        <v>229</v>
      </c>
      <c r="W105" s="18">
        <v>155.30000000000001</v>
      </c>
      <c r="X105" s="19">
        <v>216.5</v>
      </c>
      <c r="Y105" s="19">
        <v>38</v>
      </c>
      <c r="Z105" s="19">
        <v>76.362500000000011</v>
      </c>
      <c r="AA105" s="17">
        <v>0</v>
      </c>
      <c r="AB105" s="17">
        <v>0</v>
      </c>
      <c r="AC105" s="17">
        <v>0</v>
      </c>
      <c r="AD105" s="17">
        <v>0</v>
      </c>
      <c r="AE105" s="17">
        <v>0</v>
      </c>
      <c r="AF105" s="19">
        <v>25.5</v>
      </c>
      <c r="AG105" s="24">
        <v>152.63750000000002</v>
      </c>
      <c r="AH105" s="17">
        <f t="shared" si="74"/>
        <v>73.699999999999989</v>
      </c>
      <c r="AI105" s="20">
        <v>27.169545657071616</v>
      </c>
      <c r="AJ105" s="21">
        <v>794.5</v>
      </c>
      <c r="AK105" s="22">
        <v>1871.3822628440114</v>
      </c>
      <c r="AL105" s="22">
        <v>1873.1817318198489</v>
      </c>
      <c r="AM105" s="16">
        <v>9.3000000000000007</v>
      </c>
      <c r="AN105" s="23">
        <f t="shared" si="40"/>
        <v>331.18</v>
      </c>
      <c r="AO105" s="23">
        <f t="shared" si="41"/>
        <v>0</v>
      </c>
      <c r="AP105" s="23">
        <f t="shared" si="42"/>
        <v>0</v>
      </c>
      <c r="AQ105" s="23">
        <f t="shared" si="43"/>
        <v>184.95</v>
      </c>
      <c r="AR105" s="23">
        <f t="shared" si="44"/>
        <v>0</v>
      </c>
      <c r="AS105" s="23">
        <f t="shared" si="45"/>
        <v>0</v>
      </c>
      <c r="AT105" s="23">
        <f t="shared" si="46"/>
        <v>0</v>
      </c>
      <c r="AU105" s="23">
        <f t="shared" si="47"/>
        <v>0</v>
      </c>
      <c r="AV105" s="23">
        <f t="shared" si="48"/>
        <v>0</v>
      </c>
      <c r="AW105" s="23">
        <f t="shared" si="49"/>
        <v>0</v>
      </c>
      <c r="AX105" s="23">
        <f t="shared" si="50"/>
        <v>29.03</v>
      </c>
      <c r="AY105" s="23">
        <f t="shared" si="51"/>
        <v>0</v>
      </c>
      <c r="AZ105" s="23">
        <f t="shared" si="52"/>
        <v>0</v>
      </c>
      <c r="BA105" s="23">
        <f t="shared" si="53"/>
        <v>763.44</v>
      </c>
      <c r="BB105" s="23">
        <f t="shared" si="54"/>
        <v>80.650000000000006</v>
      </c>
      <c r="BC105" s="23">
        <f t="shared" si="55"/>
        <v>0</v>
      </c>
      <c r="BD105" s="23">
        <f t="shared" si="56"/>
        <v>237.63</v>
      </c>
      <c r="BE105" s="23">
        <f t="shared" si="57"/>
        <v>0</v>
      </c>
      <c r="BF105" s="23">
        <f t="shared" si="58"/>
        <v>835.48</v>
      </c>
      <c r="BG105" s="23">
        <f t="shared" si="59"/>
        <v>0</v>
      </c>
      <c r="BH105" s="23">
        <f t="shared" si="60"/>
        <v>2462.37</v>
      </c>
      <c r="BI105" s="23">
        <f t="shared" si="61"/>
        <v>1669.89</v>
      </c>
      <c r="BJ105" s="23">
        <f t="shared" si="62"/>
        <v>2327.96</v>
      </c>
      <c r="BK105" s="23">
        <f t="shared" si="63"/>
        <v>408.6</v>
      </c>
      <c r="BL105" s="23">
        <f t="shared" si="64"/>
        <v>821.1</v>
      </c>
      <c r="BM105" s="23">
        <f t="shared" si="65"/>
        <v>0</v>
      </c>
      <c r="BN105" s="23">
        <f t="shared" si="66"/>
        <v>0</v>
      </c>
      <c r="BO105" s="23">
        <f t="shared" si="67"/>
        <v>0</v>
      </c>
      <c r="BP105" s="23">
        <f t="shared" si="68"/>
        <v>0</v>
      </c>
      <c r="BQ105" s="23">
        <f t="shared" si="69"/>
        <v>0</v>
      </c>
      <c r="BR105" s="23">
        <f t="shared" si="70"/>
        <v>274.19</v>
      </c>
      <c r="BS105" s="23">
        <f t="shared" si="71"/>
        <v>1641.26</v>
      </c>
      <c r="BT105" s="23">
        <f t="shared" si="76"/>
        <v>792.47</v>
      </c>
      <c r="BU105" s="23">
        <f t="shared" si="76"/>
        <v>292.14999999999998</v>
      </c>
      <c r="BV105" s="23">
        <f t="shared" si="76"/>
        <v>8543.01</v>
      </c>
      <c r="BW105" s="23">
        <f t="shared" si="76"/>
        <v>20122.39</v>
      </c>
      <c r="BX105" s="23">
        <f t="shared" si="76"/>
        <v>20141.740000000002</v>
      </c>
      <c r="BY105" t="s">
        <v>271</v>
      </c>
      <c r="CB105" s="36"/>
      <c r="CD105" s="36">
        <v>0</v>
      </c>
      <c r="CE105" t="s">
        <v>267</v>
      </c>
      <c r="CF105" t="s">
        <v>267</v>
      </c>
      <c r="CG105" t="s">
        <v>267</v>
      </c>
      <c r="CH105" t="s">
        <v>267</v>
      </c>
      <c r="CI105" t="s">
        <v>267</v>
      </c>
      <c r="CJ105" t="s">
        <v>267</v>
      </c>
      <c r="CK105" t="s">
        <v>266</v>
      </c>
      <c r="CL105" t="s">
        <v>267</v>
      </c>
      <c r="CM105" t="s">
        <v>285</v>
      </c>
      <c r="CN105" t="s">
        <v>267</v>
      </c>
      <c r="CO105" t="s">
        <v>266</v>
      </c>
    </row>
    <row r="106" spans="1:93" x14ac:dyDescent="0.25">
      <c r="A106" s="2" t="s">
        <v>112</v>
      </c>
      <c r="B106" s="17">
        <v>31.3</v>
      </c>
      <c r="C106" s="17">
        <v>0</v>
      </c>
      <c r="D106" s="17">
        <v>0</v>
      </c>
      <c r="E106" s="17">
        <v>16.7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2.8</v>
      </c>
      <c r="M106" s="17">
        <v>0</v>
      </c>
      <c r="N106" s="17">
        <v>0</v>
      </c>
      <c r="O106" s="17">
        <v>72</v>
      </c>
      <c r="P106" s="17">
        <v>7.7</v>
      </c>
      <c r="Q106" s="17">
        <v>0</v>
      </c>
      <c r="R106" s="17">
        <v>22.699999999999989</v>
      </c>
      <c r="S106" s="17">
        <v>0</v>
      </c>
      <c r="T106" s="17">
        <v>76.800000000000011</v>
      </c>
      <c r="U106" s="17">
        <v>0</v>
      </c>
      <c r="V106" s="17">
        <f t="shared" si="73"/>
        <v>230</v>
      </c>
      <c r="W106" s="18">
        <v>149.5</v>
      </c>
      <c r="X106" s="19">
        <v>209.25</v>
      </c>
      <c r="Y106" s="19">
        <v>36.75</v>
      </c>
      <c r="Z106" s="19">
        <v>66.449999999999989</v>
      </c>
      <c r="AA106" s="17">
        <v>0</v>
      </c>
      <c r="AB106" s="17">
        <v>0</v>
      </c>
      <c r="AC106" s="17">
        <v>0</v>
      </c>
      <c r="AD106" s="17">
        <v>0</v>
      </c>
      <c r="AE106" s="17">
        <v>0</v>
      </c>
      <c r="AF106" s="19">
        <v>24.8</v>
      </c>
      <c r="AG106" s="24">
        <v>154.75</v>
      </c>
      <c r="AH106" s="17">
        <f t="shared" si="74"/>
        <v>80.5</v>
      </c>
      <c r="AI106" s="20">
        <v>17.028068039796352</v>
      </c>
      <c r="AJ106" s="21">
        <v>796.7</v>
      </c>
      <c r="AK106" s="22">
        <v>1891.5877891309819</v>
      </c>
      <c r="AL106" s="22">
        <v>1926.6004347774106</v>
      </c>
      <c r="AM106" s="16">
        <v>9.3000000000000007</v>
      </c>
      <c r="AN106" s="23">
        <f t="shared" si="40"/>
        <v>336.56</v>
      </c>
      <c r="AO106" s="23">
        <f t="shared" si="41"/>
        <v>0</v>
      </c>
      <c r="AP106" s="23">
        <f t="shared" si="42"/>
        <v>0</v>
      </c>
      <c r="AQ106" s="23">
        <f t="shared" si="43"/>
        <v>179.57</v>
      </c>
      <c r="AR106" s="23">
        <f t="shared" si="44"/>
        <v>0</v>
      </c>
      <c r="AS106" s="23">
        <f t="shared" si="45"/>
        <v>0</v>
      </c>
      <c r="AT106" s="23">
        <f t="shared" si="46"/>
        <v>0</v>
      </c>
      <c r="AU106" s="23">
        <f t="shared" si="47"/>
        <v>0</v>
      </c>
      <c r="AV106" s="23">
        <f t="shared" si="48"/>
        <v>0</v>
      </c>
      <c r="AW106" s="23">
        <f t="shared" si="49"/>
        <v>0</v>
      </c>
      <c r="AX106" s="23">
        <f t="shared" si="50"/>
        <v>30.11</v>
      </c>
      <c r="AY106" s="23">
        <f t="shared" si="51"/>
        <v>0</v>
      </c>
      <c r="AZ106" s="23">
        <f t="shared" si="52"/>
        <v>0</v>
      </c>
      <c r="BA106" s="23">
        <f t="shared" si="53"/>
        <v>774.19</v>
      </c>
      <c r="BB106" s="23">
        <f t="shared" si="54"/>
        <v>82.8</v>
      </c>
      <c r="BC106" s="23">
        <f t="shared" si="55"/>
        <v>0</v>
      </c>
      <c r="BD106" s="23">
        <f t="shared" si="56"/>
        <v>244.09</v>
      </c>
      <c r="BE106" s="23">
        <f t="shared" si="57"/>
        <v>0</v>
      </c>
      <c r="BF106" s="23">
        <f t="shared" si="58"/>
        <v>825.81</v>
      </c>
      <c r="BG106" s="23">
        <f t="shared" si="59"/>
        <v>0</v>
      </c>
      <c r="BH106" s="23">
        <f t="shared" si="60"/>
        <v>2473.12</v>
      </c>
      <c r="BI106" s="23">
        <f t="shared" si="61"/>
        <v>1607.53</v>
      </c>
      <c r="BJ106" s="23">
        <f t="shared" si="62"/>
        <v>2250</v>
      </c>
      <c r="BK106" s="23">
        <f t="shared" si="63"/>
        <v>395.16</v>
      </c>
      <c r="BL106" s="23">
        <f t="shared" si="64"/>
        <v>714.52</v>
      </c>
      <c r="BM106" s="23">
        <f t="shared" si="65"/>
        <v>0</v>
      </c>
      <c r="BN106" s="23">
        <f t="shared" si="66"/>
        <v>0</v>
      </c>
      <c r="BO106" s="23">
        <f t="shared" si="67"/>
        <v>0</v>
      </c>
      <c r="BP106" s="23">
        <f t="shared" si="68"/>
        <v>0</v>
      </c>
      <c r="BQ106" s="23">
        <f t="shared" si="69"/>
        <v>0</v>
      </c>
      <c r="BR106" s="23">
        <f t="shared" si="70"/>
        <v>266.67</v>
      </c>
      <c r="BS106" s="23">
        <f t="shared" si="71"/>
        <v>1663.98</v>
      </c>
      <c r="BT106" s="23">
        <f t="shared" si="76"/>
        <v>865.59</v>
      </c>
      <c r="BU106" s="23">
        <f t="shared" si="76"/>
        <v>183.1</v>
      </c>
      <c r="BV106" s="23">
        <f t="shared" si="76"/>
        <v>8566.67</v>
      </c>
      <c r="BW106" s="23">
        <f t="shared" si="76"/>
        <v>20339.650000000001</v>
      </c>
      <c r="BX106" s="23">
        <f t="shared" si="76"/>
        <v>20716.13</v>
      </c>
      <c r="BY106" t="s">
        <v>271</v>
      </c>
      <c r="CB106" s="36"/>
      <c r="CD106" s="36">
        <v>0</v>
      </c>
      <c r="CE106" t="s">
        <v>267</v>
      </c>
      <c r="CF106" t="s">
        <v>267</v>
      </c>
      <c r="CG106" t="s">
        <v>267</v>
      </c>
      <c r="CH106" t="s">
        <v>267</v>
      </c>
      <c r="CI106" t="s">
        <v>267</v>
      </c>
      <c r="CJ106" t="s">
        <v>267</v>
      </c>
      <c r="CK106" t="s">
        <v>266</v>
      </c>
      <c r="CL106" t="s">
        <v>267</v>
      </c>
      <c r="CM106" t="s">
        <v>285</v>
      </c>
      <c r="CN106" t="s">
        <v>267</v>
      </c>
      <c r="CO106" t="s">
        <v>266</v>
      </c>
    </row>
    <row r="107" spans="1:93" x14ac:dyDescent="0.25">
      <c r="A107" s="2" t="s">
        <v>113</v>
      </c>
      <c r="B107" s="17">
        <v>31.4</v>
      </c>
      <c r="C107" s="17">
        <v>0</v>
      </c>
      <c r="D107" s="17">
        <v>0</v>
      </c>
      <c r="E107" s="17">
        <v>17.3</v>
      </c>
      <c r="F107" s="17">
        <v>0</v>
      </c>
      <c r="G107" s="17">
        <v>0</v>
      </c>
      <c r="H107" s="17">
        <v>0</v>
      </c>
      <c r="I107" s="17">
        <v>0</v>
      </c>
      <c r="J107" s="17">
        <v>0</v>
      </c>
      <c r="K107" s="17">
        <v>0</v>
      </c>
      <c r="L107" s="17">
        <v>2.7</v>
      </c>
      <c r="M107" s="17">
        <v>0</v>
      </c>
      <c r="N107" s="17">
        <v>0</v>
      </c>
      <c r="O107" s="17">
        <v>71</v>
      </c>
      <c r="P107" s="17">
        <v>8.1999999999999993</v>
      </c>
      <c r="Q107" s="17">
        <v>0</v>
      </c>
      <c r="R107" s="17">
        <v>23.299999999999983</v>
      </c>
      <c r="S107" s="17">
        <v>0</v>
      </c>
      <c r="T107" s="17">
        <v>80.099999999999994</v>
      </c>
      <c r="U107" s="17">
        <v>0</v>
      </c>
      <c r="V107" s="17">
        <f t="shared" si="73"/>
        <v>233.99999999999997</v>
      </c>
      <c r="W107" s="18">
        <v>147</v>
      </c>
      <c r="X107" s="19">
        <v>210</v>
      </c>
      <c r="Y107" s="19">
        <v>32</v>
      </c>
      <c r="Z107" s="19">
        <v>62.349999999999994</v>
      </c>
      <c r="AA107" s="17">
        <v>0</v>
      </c>
      <c r="AB107" s="17">
        <v>0</v>
      </c>
      <c r="AC107" s="17">
        <v>0</v>
      </c>
      <c r="AD107" s="17">
        <v>0</v>
      </c>
      <c r="AE107" s="17">
        <v>0</v>
      </c>
      <c r="AF107" s="19">
        <v>24.6</v>
      </c>
      <c r="AG107" s="24">
        <v>155.04999999999998</v>
      </c>
      <c r="AH107" s="17">
        <f t="shared" si="74"/>
        <v>86.999999999999972</v>
      </c>
      <c r="AI107" s="20">
        <v>8.4898641978799727</v>
      </c>
      <c r="AJ107" s="21">
        <v>789</v>
      </c>
      <c r="AK107" s="22">
        <v>1963.4740792299137</v>
      </c>
      <c r="AL107" s="22">
        <v>2002.2087224884908</v>
      </c>
      <c r="AM107" s="16">
        <v>9.3000000000000007</v>
      </c>
      <c r="AN107" s="23">
        <f t="shared" si="40"/>
        <v>337.63</v>
      </c>
      <c r="AO107" s="23">
        <f t="shared" si="41"/>
        <v>0</v>
      </c>
      <c r="AP107" s="23">
        <f t="shared" si="42"/>
        <v>0</v>
      </c>
      <c r="AQ107" s="23">
        <f t="shared" si="43"/>
        <v>186.02</v>
      </c>
      <c r="AR107" s="23">
        <f t="shared" si="44"/>
        <v>0</v>
      </c>
      <c r="AS107" s="23">
        <f t="shared" si="45"/>
        <v>0</v>
      </c>
      <c r="AT107" s="23">
        <f t="shared" si="46"/>
        <v>0</v>
      </c>
      <c r="AU107" s="23">
        <f t="shared" si="47"/>
        <v>0</v>
      </c>
      <c r="AV107" s="23">
        <f t="shared" si="48"/>
        <v>0</v>
      </c>
      <c r="AW107" s="23">
        <f t="shared" si="49"/>
        <v>0</v>
      </c>
      <c r="AX107" s="23">
        <f t="shared" si="50"/>
        <v>29.03</v>
      </c>
      <c r="AY107" s="23">
        <f t="shared" si="51"/>
        <v>0</v>
      </c>
      <c r="AZ107" s="23">
        <f t="shared" si="52"/>
        <v>0</v>
      </c>
      <c r="BA107" s="23">
        <f t="shared" si="53"/>
        <v>763.44</v>
      </c>
      <c r="BB107" s="23">
        <f t="shared" si="54"/>
        <v>88.17</v>
      </c>
      <c r="BC107" s="23">
        <f t="shared" si="55"/>
        <v>0</v>
      </c>
      <c r="BD107" s="23">
        <f t="shared" si="56"/>
        <v>250.54</v>
      </c>
      <c r="BE107" s="23">
        <f t="shared" si="57"/>
        <v>0</v>
      </c>
      <c r="BF107" s="23">
        <f t="shared" si="58"/>
        <v>861.29</v>
      </c>
      <c r="BG107" s="23">
        <f t="shared" si="59"/>
        <v>0</v>
      </c>
      <c r="BH107" s="23">
        <f t="shared" si="60"/>
        <v>2516.13</v>
      </c>
      <c r="BI107" s="23">
        <f t="shared" si="61"/>
        <v>1580.65</v>
      </c>
      <c r="BJ107" s="23">
        <f t="shared" si="62"/>
        <v>2258.06</v>
      </c>
      <c r="BK107" s="23">
        <f t="shared" si="63"/>
        <v>344.09</v>
      </c>
      <c r="BL107" s="23">
        <f t="shared" si="64"/>
        <v>670.43</v>
      </c>
      <c r="BM107" s="23">
        <f t="shared" si="65"/>
        <v>0</v>
      </c>
      <c r="BN107" s="23">
        <f t="shared" si="66"/>
        <v>0</v>
      </c>
      <c r="BO107" s="23">
        <f t="shared" si="67"/>
        <v>0</v>
      </c>
      <c r="BP107" s="23">
        <f t="shared" si="68"/>
        <v>0</v>
      </c>
      <c r="BQ107" s="23">
        <f t="shared" si="69"/>
        <v>0</v>
      </c>
      <c r="BR107" s="23">
        <f t="shared" si="70"/>
        <v>264.52</v>
      </c>
      <c r="BS107" s="23">
        <f t="shared" si="71"/>
        <v>1667.2</v>
      </c>
      <c r="BT107" s="23">
        <f t="shared" si="76"/>
        <v>935.48</v>
      </c>
      <c r="BU107" s="23">
        <f t="shared" si="76"/>
        <v>91.29</v>
      </c>
      <c r="BV107" s="23">
        <f t="shared" si="76"/>
        <v>8483.8700000000008</v>
      </c>
      <c r="BW107" s="23">
        <f t="shared" si="76"/>
        <v>21112.62</v>
      </c>
      <c r="BX107" s="23">
        <f t="shared" si="76"/>
        <v>21529.13</v>
      </c>
      <c r="BY107" t="s">
        <v>271</v>
      </c>
      <c r="CB107" s="36"/>
      <c r="CD107" s="36">
        <v>0</v>
      </c>
      <c r="CE107" t="s">
        <v>267</v>
      </c>
      <c r="CF107" t="s">
        <v>267</v>
      </c>
      <c r="CG107" t="s">
        <v>267</v>
      </c>
      <c r="CH107" t="s">
        <v>267</v>
      </c>
      <c r="CI107" t="s">
        <v>267</v>
      </c>
      <c r="CJ107" t="s">
        <v>267</v>
      </c>
      <c r="CK107" t="s">
        <v>266</v>
      </c>
      <c r="CL107" t="s">
        <v>267</v>
      </c>
      <c r="CM107" t="s">
        <v>285</v>
      </c>
      <c r="CN107" t="s">
        <v>267</v>
      </c>
      <c r="CO107" t="s">
        <v>266</v>
      </c>
    </row>
    <row r="108" spans="1:93" x14ac:dyDescent="0.25">
      <c r="A108" s="2" t="s">
        <v>114</v>
      </c>
      <c r="B108" s="17">
        <v>31.6</v>
      </c>
      <c r="C108" s="17">
        <v>0</v>
      </c>
      <c r="D108" s="17">
        <v>0</v>
      </c>
      <c r="E108" s="17">
        <v>19.100000000000001</v>
      </c>
      <c r="F108" s="17">
        <v>0</v>
      </c>
      <c r="G108" s="17">
        <v>0</v>
      </c>
      <c r="H108" s="17">
        <v>0</v>
      </c>
      <c r="I108" s="17">
        <v>0</v>
      </c>
      <c r="J108" s="17">
        <v>0</v>
      </c>
      <c r="K108" s="17">
        <v>0</v>
      </c>
      <c r="L108" s="17">
        <v>2.6</v>
      </c>
      <c r="M108" s="17">
        <v>0</v>
      </c>
      <c r="N108" s="17">
        <v>0</v>
      </c>
      <c r="O108" s="17">
        <v>69</v>
      </c>
      <c r="P108" s="17">
        <v>8</v>
      </c>
      <c r="Q108" s="17">
        <v>0</v>
      </c>
      <c r="R108" s="17">
        <v>24.699999999999989</v>
      </c>
      <c r="S108" s="17">
        <v>0</v>
      </c>
      <c r="T108" s="17">
        <v>83.25</v>
      </c>
      <c r="U108" s="17">
        <v>0</v>
      </c>
      <c r="V108" s="17">
        <f t="shared" si="73"/>
        <v>238.25</v>
      </c>
      <c r="W108" s="18">
        <v>143.69999999999999</v>
      </c>
      <c r="X108" s="19">
        <v>209.87499999999997</v>
      </c>
      <c r="Y108" s="19">
        <v>28.375</v>
      </c>
      <c r="Z108" s="19">
        <v>59.575000000000003</v>
      </c>
      <c r="AA108" s="17">
        <v>0</v>
      </c>
      <c r="AB108" s="17">
        <v>0</v>
      </c>
      <c r="AC108" s="17">
        <v>0</v>
      </c>
      <c r="AD108" s="17">
        <v>0</v>
      </c>
      <c r="AE108" s="17">
        <v>0</v>
      </c>
      <c r="AF108" s="19">
        <v>22.5</v>
      </c>
      <c r="AG108" s="24">
        <v>156.17499999999998</v>
      </c>
      <c r="AH108" s="17">
        <f t="shared" si="74"/>
        <v>94.550000000000011</v>
      </c>
      <c r="AI108" s="20">
        <v>0</v>
      </c>
      <c r="AJ108" s="21">
        <v>779.2</v>
      </c>
      <c r="AK108" s="22">
        <v>2039.8026815012058</v>
      </c>
      <c r="AL108" s="22">
        <v>2076.2559562680576</v>
      </c>
      <c r="AM108" s="16">
        <v>9.3000000000000007</v>
      </c>
      <c r="AN108" s="23">
        <f t="shared" si="40"/>
        <v>339.78</v>
      </c>
      <c r="AO108" s="23">
        <f t="shared" si="41"/>
        <v>0</v>
      </c>
      <c r="AP108" s="23">
        <f t="shared" si="42"/>
        <v>0</v>
      </c>
      <c r="AQ108" s="23">
        <f t="shared" si="43"/>
        <v>205.38</v>
      </c>
      <c r="AR108" s="23">
        <f t="shared" si="44"/>
        <v>0</v>
      </c>
      <c r="AS108" s="23">
        <f t="shared" si="45"/>
        <v>0</v>
      </c>
      <c r="AT108" s="23">
        <f t="shared" si="46"/>
        <v>0</v>
      </c>
      <c r="AU108" s="23">
        <f t="shared" si="47"/>
        <v>0</v>
      </c>
      <c r="AV108" s="23">
        <f t="shared" si="48"/>
        <v>0</v>
      </c>
      <c r="AW108" s="23">
        <f t="shared" si="49"/>
        <v>0</v>
      </c>
      <c r="AX108" s="23">
        <f t="shared" si="50"/>
        <v>27.96</v>
      </c>
      <c r="AY108" s="23">
        <f t="shared" si="51"/>
        <v>0</v>
      </c>
      <c r="AZ108" s="23">
        <f t="shared" si="52"/>
        <v>0</v>
      </c>
      <c r="BA108" s="23">
        <f t="shared" si="53"/>
        <v>741.94</v>
      </c>
      <c r="BB108" s="23">
        <f t="shared" si="54"/>
        <v>86.02</v>
      </c>
      <c r="BC108" s="23">
        <f t="shared" si="55"/>
        <v>0</v>
      </c>
      <c r="BD108" s="23">
        <f t="shared" si="56"/>
        <v>265.58999999999997</v>
      </c>
      <c r="BE108" s="23">
        <f t="shared" si="57"/>
        <v>0</v>
      </c>
      <c r="BF108" s="23">
        <f t="shared" si="58"/>
        <v>895.16</v>
      </c>
      <c r="BG108" s="23">
        <f t="shared" si="59"/>
        <v>0</v>
      </c>
      <c r="BH108" s="23">
        <f t="shared" si="60"/>
        <v>2561.83</v>
      </c>
      <c r="BI108" s="23">
        <f t="shared" si="61"/>
        <v>1545.16</v>
      </c>
      <c r="BJ108" s="23">
        <f t="shared" si="62"/>
        <v>2256.7199999999998</v>
      </c>
      <c r="BK108" s="23">
        <f t="shared" si="63"/>
        <v>305.11</v>
      </c>
      <c r="BL108" s="23">
        <f t="shared" si="64"/>
        <v>640.59</v>
      </c>
      <c r="BM108" s="23">
        <f t="shared" si="65"/>
        <v>0</v>
      </c>
      <c r="BN108" s="23">
        <f t="shared" si="66"/>
        <v>0</v>
      </c>
      <c r="BO108" s="23">
        <f t="shared" si="67"/>
        <v>0</v>
      </c>
      <c r="BP108" s="23">
        <f t="shared" si="68"/>
        <v>0</v>
      </c>
      <c r="BQ108" s="23">
        <f t="shared" si="69"/>
        <v>0</v>
      </c>
      <c r="BR108" s="23">
        <f t="shared" si="70"/>
        <v>241.94</v>
      </c>
      <c r="BS108" s="23">
        <f t="shared" si="71"/>
        <v>1679.3</v>
      </c>
      <c r="BT108" s="23">
        <f t="shared" si="76"/>
        <v>1016.67</v>
      </c>
      <c r="BU108" s="23">
        <f t="shared" si="76"/>
        <v>0</v>
      </c>
      <c r="BV108" s="23">
        <f t="shared" si="76"/>
        <v>8378.49</v>
      </c>
      <c r="BW108" s="23">
        <f t="shared" si="76"/>
        <v>21933.360000000001</v>
      </c>
      <c r="BX108" s="23">
        <f t="shared" si="76"/>
        <v>22325.33</v>
      </c>
      <c r="BY108" t="s">
        <v>271</v>
      </c>
      <c r="CB108" s="36"/>
      <c r="CD108" s="36">
        <v>0</v>
      </c>
      <c r="CE108" t="s">
        <v>267</v>
      </c>
      <c r="CF108" t="s">
        <v>267</v>
      </c>
      <c r="CG108" t="s">
        <v>267</v>
      </c>
      <c r="CH108" t="s">
        <v>267</v>
      </c>
      <c r="CI108" t="s">
        <v>267</v>
      </c>
      <c r="CJ108" t="s">
        <v>267</v>
      </c>
      <c r="CK108" t="s">
        <v>266</v>
      </c>
      <c r="CL108" t="s">
        <v>267</v>
      </c>
      <c r="CM108" t="s">
        <v>285</v>
      </c>
      <c r="CN108" t="s">
        <v>267</v>
      </c>
      <c r="CO108" t="s">
        <v>266</v>
      </c>
    </row>
    <row r="109" spans="1:93" x14ac:dyDescent="0.25">
      <c r="A109" s="2" t="s">
        <v>115</v>
      </c>
      <c r="B109" s="17">
        <v>32.4</v>
      </c>
      <c r="C109" s="17">
        <v>0</v>
      </c>
      <c r="D109" s="17">
        <v>0</v>
      </c>
      <c r="E109" s="17">
        <v>19.100000000000001</v>
      </c>
      <c r="F109" s="17">
        <v>0</v>
      </c>
      <c r="G109" s="17">
        <v>0</v>
      </c>
      <c r="H109" s="17">
        <v>0</v>
      </c>
      <c r="I109" s="17">
        <v>0</v>
      </c>
      <c r="J109" s="17">
        <v>0</v>
      </c>
      <c r="K109" s="17">
        <v>0</v>
      </c>
      <c r="L109" s="17">
        <v>2.7</v>
      </c>
      <c r="M109" s="17">
        <v>0</v>
      </c>
      <c r="N109" s="17">
        <v>0</v>
      </c>
      <c r="O109" s="17">
        <v>68</v>
      </c>
      <c r="P109" s="17">
        <v>8</v>
      </c>
      <c r="Q109" s="17">
        <v>0</v>
      </c>
      <c r="R109" s="17">
        <v>26.300000000000011</v>
      </c>
      <c r="S109" s="17">
        <v>0</v>
      </c>
      <c r="T109" s="17">
        <v>84.75</v>
      </c>
      <c r="U109" s="17">
        <v>0</v>
      </c>
      <c r="V109" s="17">
        <f t="shared" si="73"/>
        <v>241.25</v>
      </c>
      <c r="W109" s="18">
        <v>143.4</v>
      </c>
      <c r="X109" s="19">
        <v>210.5</v>
      </c>
      <c r="Y109" s="19">
        <v>26</v>
      </c>
      <c r="Z109" s="19">
        <v>58.537500000000009</v>
      </c>
      <c r="AA109" s="17">
        <v>0</v>
      </c>
      <c r="AB109" s="17">
        <v>0</v>
      </c>
      <c r="AC109" s="17">
        <v>0</v>
      </c>
      <c r="AD109" s="17">
        <v>0</v>
      </c>
      <c r="AE109" s="17">
        <v>0</v>
      </c>
      <c r="AF109" s="19">
        <v>21.1</v>
      </c>
      <c r="AG109" s="24">
        <v>156.86249999999995</v>
      </c>
      <c r="AH109" s="17">
        <f t="shared" si="74"/>
        <v>97.85</v>
      </c>
      <c r="AI109" s="20">
        <v>5.0425138073973201</v>
      </c>
      <c r="AJ109" s="21">
        <v>762.3</v>
      </c>
      <c r="AK109" s="22">
        <v>2069.1004158674164</v>
      </c>
      <c r="AL109" s="22">
        <v>2018.3360602992811</v>
      </c>
      <c r="AM109" s="16">
        <v>9.4</v>
      </c>
      <c r="AN109" s="23">
        <f t="shared" si="40"/>
        <v>344.68</v>
      </c>
      <c r="AO109" s="23">
        <f t="shared" si="41"/>
        <v>0</v>
      </c>
      <c r="AP109" s="23">
        <f t="shared" si="42"/>
        <v>0</v>
      </c>
      <c r="AQ109" s="23">
        <f t="shared" si="43"/>
        <v>203.19</v>
      </c>
      <c r="AR109" s="23">
        <f t="shared" si="44"/>
        <v>0</v>
      </c>
      <c r="AS109" s="23">
        <f t="shared" si="45"/>
        <v>0</v>
      </c>
      <c r="AT109" s="23">
        <f t="shared" si="46"/>
        <v>0</v>
      </c>
      <c r="AU109" s="23">
        <f t="shared" si="47"/>
        <v>0</v>
      </c>
      <c r="AV109" s="23">
        <f t="shared" si="48"/>
        <v>0</v>
      </c>
      <c r="AW109" s="23">
        <f t="shared" si="49"/>
        <v>0</v>
      </c>
      <c r="AX109" s="23">
        <f t="shared" si="50"/>
        <v>28.72</v>
      </c>
      <c r="AY109" s="23">
        <f t="shared" si="51"/>
        <v>0</v>
      </c>
      <c r="AZ109" s="23">
        <f t="shared" si="52"/>
        <v>0</v>
      </c>
      <c r="BA109" s="23">
        <f t="shared" si="53"/>
        <v>723.4</v>
      </c>
      <c r="BB109" s="23">
        <f t="shared" si="54"/>
        <v>85.11</v>
      </c>
      <c r="BC109" s="23">
        <f t="shared" si="55"/>
        <v>0</v>
      </c>
      <c r="BD109" s="23">
        <f t="shared" si="56"/>
        <v>279.79000000000002</v>
      </c>
      <c r="BE109" s="23">
        <f t="shared" si="57"/>
        <v>0</v>
      </c>
      <c r="BF109" s="23">
        <f t="shared" si="58"/>
        <v>901.6</v>
      </c>
      <c r="BG109" s="23">
        <f t="shared" si="59"/>
        <v>0</v>
      </c>
      <c r="BH109" s="23">
        <f t="shared" si="60"/>
        <v>2566.4899999999998</v>
      </c>
      <c r="BI109" s="23">
        <f t="shared" si="61"/>
        <v>1525.53</v>
      </c>
      <c r="BJ109" s="23">
        <f t="shared" si="62"/>
        <v>2239.36</v>
      </c>
      <c r="BK109" s="23">
        <f t="shared" si="63"/>
        <v>276.60000000000002</v>
      </c>
      <c r="BL109" s="23">
        <f t="shared" si="64"/>
        <v>622.74</v>
      </c>
      <c r="BM109" s="23">
        <f t="shared" si="65"/>
        <v>0</v>
      </c>
      <c r="BN109" s="23">
        <f t="shared" si="66"/>
        <v>0</v>
      </c>
      <c r="BO109" s="23">
        <f t="shared" si="67"/>
        <v>0</v>
      </c>
      <c r="BP109" s="23">
        <f t="shared" si="68"/>
        <v>0</v>
      </c>
      <c r="BQ109" s="23">
        <f t="shared" si="69"/>
        <v>0</v>
      </c>
      <c r="BR109" s="23">
        <f t="shared" si="70"/>
        <v>224.47</v>
      </c>
      <c r="BS109" s="23">
        <f t="shared" si="71"/>
        <v>1668.75</v>
      </c>
      <c r="BT109" s="23">
        <f t="shared" si="76"/>
        <v>1040.96</v>
      </c>
      <c r="BU109" s="23">
        <f t="shared" si="76"/>
        <v>53.64</v>
      </c>
      <c r="BV109" s="23">
        <f t="shared" si="76"/>
        <v>8109.57</v>
      </c>
      <c r="BW109" s="23">
        <f t="shared" si="76"/>
        <v>22011.71</v>
      </c>
      <c r="BX109" s="23">
        <f t="shared" si="76"/>
        <v>21471.66</v>
      </c>
      <c r="BY109" t="s">
        <v>271</v>
      </c>
      <c r="CB109" s="36"/>
      <c r="CD109" s="36">
        <v>0</v>
      </c>
      <c r="CE109" t="s">
        <v>267</v>
      </c>
      <c r="CF109" t="s">
        <v>267</v>
      </c>
      <c r="CG109" t="s">
        <v>267</v>
      </c>
      <c r="CH109" t="s">
        <v>267</v>
      </c>
      <c r="CI109" t="s">
        <v>267</v>
      </c>
      <c r="CJ109" t="s">
        <v>267</v>
      </c>
      <c r="CK109" t="s">
        <v>266</v>
      </c>
      <c r="CL109" t="s">
        <v>267</v>
      </c>
      <c r="CM109" t="s">
        <v>285</v>
      </c>
      <c r="CN109" t="s">
        <v>267</v>
      </c>
      <c r="CO109" t="s">
        <v>266</v>
      </c>
    </row>
    <row r="110" spans="1:93" x14ac:dyDescent="0.25">
      <c r="A110" s="2" t="s">
        <v>116</v>
      </c>
      <c r="B110" s="17">
        <v>33.9</v>
      </c>
      <c r="C110" s="17">
        <v>0</v>
      </c>
      <c r="D110" s="17">
        <v>0</v>
      </c>
      <c r="E110" s="17">
        <v>18.399999999999999</v>
      </c>
      <c r="F110" s="17">
        <v>0</v>
      </c>
      <c r="G110" s="17">
        <v>0</v>
      </c>
      <c r="H110" s="17">
        <v>0</v>
      </c>
      <c r="I110" s="17">
        <v>0</v>
      </c>
      <c r="J110" s="17">
        <v>0</v>
      </c>
      <c r="K110" s="17">
        <v>0</v>
      </c>
      <c r="L110" s="17">
        <v>2.6</v>
      </c>
      <c r="M110" s="17">
        <v>0</v>
      </c>
      <c r="N110" s="17">
        <v>0</v>
      </c>
      <c r="O110" s="17">
        <v>63</v>
      </c>
      <c r="P110" s="17">
        <v>7.8</v>
      </c>
      <c r="Q110" s="17">
        <v>0</v>
      </c>
      <c r="R110" s="17">
        <v>25.900000000000006</v>
      </c>
      <c r="S110" s="17">
        <v>0</v>
      </c>
      <c r="T110" s="17">
        <v>88.65</v>
      </c>
      <c r="U110" s="17">
        <v>0</v>
      </c>
      <c r="V110" s="17">
        <f t="shared" si="73"/>
        <v>240.25000000000003</v>
      </c>
      <c r="W110" s="18">
        <v>144.80000000000001</v>
      </c>
      <c r="X110" s="19">
        <v>217.12499999999997</v>
      </c>
      <c r="Y110" s="19">
        <v>24.375</v>
      </c>
      <c r="Z110" s="19">
        <v>59.599999999999994</v>
      </c>
      <c r="AA110" s="17">
        <v>0</v>
      </c>
      <c r="AB110" s="17">
        <v>0</v>
      </c>
      <c r="AC110" s="17">
        <v>0</v>
      </c>
      <c r="AD110" s="17">
        <v>0</v>
      </c>
      <c r="AE110" s="17">
        <v>0</v>
      </c>
      <c r="AF110" s="19">
        <v>21.5</v>
      </c>
      <c r="AG110" s="24">
        <v>160.4</v>
      </c>
      <c r="AH110" s="17">
        <f t="shared" si="74"/>
        <v>95.450000000000017</v>
      </c>
      <c r="AI110" s="20">
        <v>1.3312917644728393</v>
      </c>
      <c r="AJ110" s="21">
        <v>754.1</v>
      </c>
      <c r="AK110" s="22">
        <v>2003.4937031196482</v>
      </c>
      <c r="AL110" s="22">
        <v>2024.5733443285176</v>
      </c>
      <c r="AM110" s="16">
        <v>9.4</v>
      </c>
      <c r="AN110" s="23">
        <f t="shared" si="40"/>
        <v>360.64</v>
      </c>
      <c r="AO110" s="23">
        <f t="shared" si="41"/>
        <v>0</v>
      </c>
      <c r="AP110" s="23">
        <f t="shared" si="42"/>
        <v>0</v>
      </c>
      <c r="AQ110" s="23">
        <f t="shared" si="43"/>
        <v>195.74</v>
      </c>
      <c r="AR110" s="23">
        <f t="shared" si="44"/>
        <v>0</v>
      </c>
      <c r="AS110" s="23">
        <f t="shared" si="45"/>
        <v>0</v>
      </c>
      <c r="AT110" s="23">
        <f t="shared" si="46"/>
        <v>0</v>
      </c>
      <c r="AU110" s="23">
        <f t="shared" si="47"/>
        <v>0</v>
      </c>
      <c r="AV110" s="23">
        <f t="shared" si="48"/>
        <v>0</v>
      </c>
      <c r="AW110" s="23">
        <f t="shared" si="49"/>
        <v>0</v>
      </c>
      <c r="AX110" s="23">
        <f t="shared" si="50"/>
        <v>27.66</v>
      </c>
      <c r="AY110" s="23">
        <f t="shared" si="51"/>
        <v>0</v>
      </c>
      <c r="AZ110" s="23">
        <f t="shared" si="52"/>
        <v>0</v>
      </c>
      <c r="BA110" s="23">
        <f t="shared" si="53"/>
        <v>670.21</v>
      </c>
      <c r="BB110" s="23">
        <f t="shared" si="54"/>
        <v>82.98</v>
      </c>
      <c r="BC110" s="23">
        <f t="shared" si="55"/>
        <v>0</v>
      </c>
      <c r="BD110" s="23">
        <f t="shared" si="56"/>
        <v>275.52999999999997</v>
      </c>
      <c r="BE110" s="23">
        <f t="shared" si="57"/>
        <v>0</v>
      </c>
      <c r="BF110" s="23">
        <f t="shared" si="58"/>
        <v>943.09</v>
      </c>
      <c r="BG110" s="23">
        <f t="shared" si="59"/>
        <v>0</v>
      </c>
      <c r="BH110" s="23">
        <f t="shared" si="60"/>
        <v>2555.85</v>
      </c>
      <c r="BI110" s="23">
        <f t="shared" si="61"/>
        <v>1540.43</v>
      </c>
      <c r="BJ110" s="23">
        <f t="shared" si="62"/>
        <v>2309.84</v>
      </c>
      <c r="BK110" s="23">
        <f t="shared" si="63"/>
        <v>259.31</v>
      </c>
      <c r="BL110" s="23">
        <f t="shared" si="64"/>
        <v>634.04</v>
      </c>
      <c r="BM110" s="23">
        <f t="shared" si="65"/>
        <v>0</v>
      </c>
      <c r="BN110" s="23">
        <f t="shared" si="66"/>
        <v>0</v>
      </c>
      <c r="BO110" s="23">
        <f t="shared" si="67"/>
        <v>0</v>
      </c>
      <c r="BP110" s="23">
        <f t="shared" si="68"/>
        <v>0</v>
      </c>
      <c r="BQ110" s="23">
        <f t="shared" si="69"/>
        <v>0</v>
      </c>
      <c r="BR110" s="23">
        <f t="shared" si="70"/>
        <v>228.72</v>
      </c>
      <c r="BS110" s="23">
        <f t="shared" si="71"/>
        <v>1706.38</v>
      </c>
      <c r="BT110" s="23">
        <f t="shared" si="76"/>
        <v>1015.43</v>
      </c>
      <c r="BU110" s="23">
        <f t="shared" si="76"/>
        <v>14.16</v>
      </c>
      <c r="BV110" s="23">
        <f t="shared" si="76"/>
        <v>8022.34</v>
      </c>
      <c r="BW110" s="23">
        <f t="shared" si="76"/>
        <v>21313.759999999998</v>
      </c>
      <c r="BX110" s="23">
        <f t="shared" si="76"/>
        <v>21538.01</v>
      </c>
      <c r="BY110" t="s">
        <v>271</v>
      </c>
      <c r="CB110" s="36"/>
      <c r="CD110" s="36">
        <v>0</v>
      </c>
      <c r="CE110" t="s">
        <v>267</v>
      </c>
      <c r="CF110" t="s">
        <v>267</v>
      </c>
      <c r="CG110" t="s">
        <v>267</v>
      </c>
      <c r="CH110" t="s">
        <v>267</v>
      </c>
      <c r="CI110" t="s">
        <v>267</v>
      </c>
      <c r="CJ110" t="s">
        <v>267</v>
      </c>
      <c r="CK110" t="s">
        <v>266</v>
      </c>
      <c r="CL110" t="s">
        <v>267</v>
      </c>
      <c r="CM110" t="s">
        <v>285</v>
      </c>
      <c r="CN110" t="s">
        <v>267</v>
      </c>
      <c r="CO110" t="s">
        <v>266</v>
      </c>
    </row>
    <row r="111" spans="1:93" x14ac:dyDescent="0.25">
      <c r="A111" s="2" t="s">
        <v>117</v>
      </c>
      <c r="B111" s="17">
        <v>13.3</v>
      </c>
      <c r="C111" s="17">
        <v>0</v>
      </c>
      <c r="D111" s="17">
        <v>0</v>
      </c>
      <c r="E111" s="17">
        <v>21.8</v>
      </c>
      <c r="F111" s="17">
        <v>0</v>
      </c>
      <c r="G111" s="17">
        <v>0</v>
      </c>
      <c r="H111" s="17">
        <v>0</v>
      </c>
      <c r="I111" s="17">
        <v>0</v>
      </c>
      <c r="J111" s="17">
        <v>0</v>
      </c>
      <c r="K111" s="17">
        <v>0</v>
      </c>
      <c r="L111" s="17">
        <v>0.7</v>
      </c>
      <c r="M111" s="17">
        <v>0</v>
      </c>
      <c r="N111" s="17">
        <v>0</v>
      </c>
      <c r="O111" s="17">
        <v>60.999999999999993</v>
      </c>
      <c r="P111" s="17">
        <v>8.1</v>
      </c>
      <c r="Q111" s="17">
        <v>0</v>
      </c>
      <c r="R111" s="17">
        <v>26.799999999999983</v>
      </c>
      <c r="S111" s="17">
        <v>0</v>
      </c>
      <c r="T111" s="17">
        <v>118.30000000000001</v>
      </c>
      <c r="U111" s="17">
        <v>0</v>
      </c>
      <c r="V111" s="17">
        <f t="shared" si="73"/>
        <v>250</v>
      </c>
      <c r="W111" s="18">
        <v>156.9</v>
      </c>
      <c r="X111" s="19">
        <v>230.5</v>
      </c>
      <c r="Y111" s="19">
        <v>24</v>
      </c>
      <c r="Z111" s="19">
        <v>63.15</v>
      </c>
      <c r="AA111" s="17">
        <v>0</v>
      </c>
      <c r="AB111" s="17">
        <v>0</v>
      </c>
      <c r="AC111" s="17">
        <v>0</v>
      </c>
      <c r="AD111" s="17">
        <v>0</v>
      </c>
      <c r="AE111" s="17">
        <v>0</v>
      </c>
      <c r="AF111" s="19">
        <v>20.8</v>
      </c>
      <c r="AG111" s="24">
        <v>170.55000000000004</v>
      </c>
      <c r="AH111" s="17">
        <f t="shared" si="74"/>
        <v>93.1</v>
      </c>
      <c r="AI111" s="20">
        <v>4.7818437158315392</v>
      </c>
      <c r="AJ111" s="21">
        <v>762.5</v>
      </c>
      <c r="AK111" s="22">
        <v>2056.8199665214788</v>
      </c>
      <c r="AL111" s="22">
        <v>2100.2335696985315</v>
      </c>
      <c r="AM111" s="16">
        <v>9.5</v>
      </c>
      <c r="AN111" s="23">
        <f t="shared" si="40"/>
        <v>140</v>
      </c>
      <c r="AO111" s="23">
        <f t="shared" si="41"/>
        <v>0</v>
      </c>
      <c r="AP111" s="23">
        <f t="shared" si="42"/>
        <v>0</v>
      </c>
      <c r="AQ111" s="23">
        <f t="shared" si="43"/>
        <v>229.47</v>
      </c>
      <c r="AR111" s="23">
        <f t="shared" si="44"/>
        <v>0</v>
      </c>
      <c r="AS111" s="23">
        <f t="shared" si="45"/>
        <v>0</v>
      </c>
      <c r="AT111" s="23">
        <f t="shared" si="46"/>
        <v>0</v>
      </c>
      <c r="AU111" s="23">
        <f t="shared" si="47"/>
        <v>0</v>
      </c>
      <c r="AV111" s="23">
        <f t="shared" si="48"/>
        <v>0</v>
      </c>
      <c r="AW111" s="23">
        <f t="shared" si="49"/>
        <v>0</v>
      </c>
      <c r="AX111" s="23">
        <f t="shared" si="50"/>
        <v>7.37</v>
      </c>
      <c r="AY111" s="23">
        <f t="shared" si="51"/>
        <v>0</v>
      </c>
      <c r="AZ111" s="23">
        <f t="shared" si="52"/>
        <v>0</v>
      </c>
      <c r="BA111" s="23">
        <f t="shared" si="53"/>
        <v>642.11</v>
      </c>
      <c r="BB111" s="23">
        <f t="shared" si="54"/>
        <v>85.26</v>
      </c>
      <c r="BC111" s="23">
        <f t="shared" si="55"/>
        <v>0</v>
      </c>
      <c r="BD111" s="23">
        <f t="shared" si="56"/>
        <v>282.11</v>
      </c>
      <c r="BE111" s="23">
        <f t="shared" si="57"/>
        <v>0</v>
      </c>
      <c r="BF111" s="23">
        <f t="shared" si="58"/>
        <v>1245.26</v>
      </c>
      <c r="BG111" s="23">
        <f t="shared" si="59"/>
        <v>0</v>
      </c>
      <c r="BH111" s="23">
        <f t="shared" si="60"/>
        <v>2631.58</v>
      </c>
      <c r="BI111" s="23">
        <f t="shared" si="61"/>
        <v>1651.58</v>
      </c>
      <c r="BJ111" s="23">
        <f t="shared" si="62"/>
        <v>2426.3200000000002</v>
      </c>
      <c r="BK111" s="23">
        <f t="shared" si="63"/>
        <v>252.63</v>
      </c>
      <c r="BL111" s="23">
        <f t="shared" si="64"/>
        <v>664.74</v>
      </c>
      <c r="BM111" s="23">
        <f t="shared" si="65"/>
        <v>0</v>
      </c>
      <c r="BN111" s="23">
        <f t="shared" si="66"/>
        <v>0</v>
      </c>
      <c r="BO111" s="23">
        <f t="shared" si="67"/>
        <v>0</v>
      </c>
      <c r="BP111" s="23">
        <f t="shared" si="68"/>
        <v>0</v>
      </c>
      <c r="BQ111" s="23">
        <f t="shared" si="69"/>
        <v>0</v>
      </c>
      <c r="BR111" s="23">
        <f t="shared" si="70"/>
        <v>218.95</v>
      </c>
      <c r="BS111" s="23">
        <f t="shared" si="71"/>
        <v>1795.26</v>
      </c>
      <c r="BT111" s="23">
        <f t="shared" si="76"/>
        <v>980</v>
      </c>
      <c r="BU111" s="23">
        <f t="shared" si="76"/>
        <v>50.34</v>
      </c>
      <c r="BV111" s="23">
        <f t="shared" si="76"/>
        <v>8026.32</v>
      </c>
      <c r="BW111" s="23">
        <f t="shared" si="76"/>
        <v>21650.74</v>
      </c>
      <c r="BX111" s="23">
        <f t="shared" si="76"/>
        <v>22107.72</v>
      </c>
      <c r="BY111" t="s">
        <v>271</v>
      </c>
      <c r="CB111" s="36"/>
      <c r="CD111" s="36">
        <v>0</v>
      </c>
      <c r="CE111" t="s">
        <v>267</v>
      </c>
      <c r="CF111" t="s">
        <v>267</v>
      </c>
      <c r="CG111" t="s">
        <v>267</v>
      </c>
      <c r="CH111" t="s">
        <v>267</v>
      </c>
      <c r="CI111" t="s">
        <v>267</v>
      </c>
      <c r="CJ111" t="s">
        <v>267</v>
      </c>
      <c r="CK111" t="s">
        <v>266</v>
      </c>
      <c r="CL111" t="s">
        <v>267</v>
      </c>
      <c r="CM111" t="s">
        <v>285</v>
      </c>
      <c r="CN111" t="s">
        <v>267</v>
      </c>
      <c r="CO111" t="s">
        <v>266</v>
      </c>
    </row>
    <row r="112" spans="1:93" x14ac:dyDescent="0.25">
      <c r="A112" s="2" t="s">
        <v>118</v>
      </c>
      <c r="B112" s="17">
        <v>61.9</v>
      </c>
      <c r="C112" s="17">
        <v>0</v>
      </c>
      <c r="D112" s="17">
        <v>0</v>
      </c>
      <c r="E112" s="17">
        <v>25.5</v>
      </c>
      <c r="F112" s="17">
        <v>0</v>
      </c>
      <c r="G112" s="17">
        <v>0</v>
      </c>
      <c r="H112" s="17">
        <v>0</v>
      </c>
      <c r="I112" s="17">
        <v>0</v>
      </c>
      <c r="J112" s="17">
        <v>0</v>
      </c>
      <c r="K112" s="17">
        <v>0</v>
      </c>
      <c r="L112" s="17">
        <v>4.3</v>
      </c>
      <c r="M112" s="17">
        <v>0</v>
      </c>
      <c r="N112" s="17">
        <v>0</v>
      </c>
      <c r="O112" s="17">
        <v>73</v>
      </c>
      <c r="P112" s="17">
        <v>9.8000000000000007</v>
      </c>
      <c r="Q112" s="17">
        <v>0</v>
      </c>
      <c r="R112" s="17">
        <v>29.400000000000006</v>
      </c>
      <c r="S112" s="17">
        <v>0</v>
      </c>
      <c r="T112" s="17">
        <v>66.099999999999994</v>
      </c>
      <c r="U112" s="17">
        <v>0</v>
      </c>
      <c r="V112" s="17">
        <f t="shared" si="73"/>
        <v>270</v>
      </c>
      <c r="W112" s="18">
        <v>167.9</v>
      </c>
      <c r="X112" s="19">
        <v>240</v>
      </c>
      <c r="Y112" s="19">
        <v>23.75</v>
      </c>
      <c r="Z112" s="19">
        <v>67.40625</v>
      </c>
      <c r="AA112" s="17">
        <v>0</v>
      </c>
      <c r="AB112" s="17">
        <v>0</v>
      </c>
      <c r="AC112" s="17">
        <v>0</v>
      </c>
      <c r="AD112" s="17">
        <v>0</v>
      </c>
      <c r="AE112" s="17">
        <v>0</v>
      </c>
      <c r="AF112" s="19">
        <v>20.399999999999999</v>
      </c>
      <c r="AG112" s="24">
        <v>175.94374999999999</v>
      </c>
      <c r="AH112" s="17">
        <f t="shared" si="74"/>
        <v>102.1</v>
      </c>
      <c r="AI112" s="20">
        <v>6.6256479801115704</v>
      </c>
      <c r="AJ112" s="21">
        <v>733.1</v>
      </c>
      <c r="AK112" s="22">
        <v>2143.568269387164</v>
      </c>
      <c r="AL112" s="22">
        <v>2186.8240655873765</v>
      </c>
      <c r="AM112" s="16">
        <v>9.6</v>
      </c>
      <c r="AN112" s="23">
        <f t="shared" si="40"/>
        <v>644.79</v>
      </c>
      <c r="AO112" s="23">
        <f t="shared" si="41"/>
        <v>0</v>
      </c>
      <c r="AP112" s="23">
        <f t="shared" si="42"/>
        <v>0</v>
      </c>
      <c r="AQ112" s="23">
        <f t="shared" si="43"/>
        <v>265.63</v>
      </c>
      <c r="AR112" s="23">
        <f t="shared" si="44"/>
        <v>0</v>
      </c>
      <c r="AS112" s="23">
        <f t="shared" si="45"/>
        <v>0</v>
      </c>
      <c r="AT112" s="23">
        <f t="shared" si="46"/>
        <v>0</v>
      </c>
      <c r="AU112" s="23">
        <f t="shared" si="47"/>
        <v>0</v>
      </c>
      <c r="AV112" s="23">
        <f t="shared" si="48"/>
        <v>0</v>
      </c>
      <c r="AW112" s="23">
        <f t="shared" si="49"/>
        <v>0</v>
      </c>
      <c r="AX112" s="23">
        <f t="shared" si="50"/>
        <v>44.79</v>
      </c>
      <c r="AY112" s="23">
        <f t="shared" si="51"/>
        <v>0</v>
      </c>
      <c r="AZ112" s="23">
        <f t="shared" si="52"/>
        <v>0</v>
      </c>
      <c r="BA112" s="23">
        <f t="shared" si="53"/>
        <v>760.42</v>
      </c>
      <c r="BB112" s="23">
        <f t="shared" si="54"/>
        <v>102.08</v>
      </c>
      <c r="BC112" s="23">
        <f t="shared" si="55"/>
        <v>0</v>
      </c>
      <c r="BD112" s="23">
        <f t="shared" si="56"/>
        <v>306.25</v>
      </c>
      <c r="BE112" s="23">
        <f t="shared" si="57"/>
        <v>0</v>
      </c>
      <c r="BF112" s="23">
        <f t="shared" si="58"/>
        <v>688.54</v>
      </c>
      <c r="BG112" s="23">
        <f t="shared" si="59"/>
        <v>0</v>
      </c>
      <c r="BH112" s="23">
        <f t="shared" si="60"/>
        <v>2812.5</v>
      </c>
      <c r="BI112" s="23">
        <f t="shared" si="61"/>
        <v>1748.96</v>
      </c>
      <c r="BJ112" s="23">
        <f t="shared" si="62"/>
        <v>2500</v>
      </c>
      <c r="BK112" s="23">
        <f t="shared" si="63"/>
        <v>247.4</v>
      </c>
      <c r="BL112" s="23">
        <f t="shared" si="64"/>
        <v>702.15</v>
      </c>
      <c r="BM112" s="23">
        <f t="shared" si="65"/>
        <v>0</v>
      </c>
      <c r="BN112" s="23">
        <f t="shared" si="66"/>
        <v>0</v>
      </c>
      <c r="BO112" s="23">
        <f t="shared" si="67"/>
        <v>0</v>
      </c>
      <c r="BP112" s="23">
        <f t="shared" si="68"/>
        <v>0</v>
      </c>
      <c r="BQ112" s="23">
        <f t="shared" si="69"/>
        <v>0</v>
      </c>
      <c r="BR112" s="23">
        <f t="shared" si="70"/>
        <v>212.5</v>
      </c>
      <c r="BS112" s="23">
        <f t="shared" si="71"/>
        <v>1832.75</v>
      </c>
      <c r="BT112" s="23">
        <f t="shared" si="76"/>
        <v>1063.54</v>
      </c>
      <c r="BU112" s="23">
        <f t="shared" si="76"/>
        <v>69.02</v>
      </c>
      <c r="BV112" s="23">
        <f t="shared" si="76"/>
        <v>7636.46</v>
      </c>
      <c r="BW112" s="23">
        <f t="shared" si="76"/>
        <v>22328.84</v>
      </c>
      <c r="BX112" s="23">
        <f t="shared" si="76"/>
        <v>22779.42</v>
      </c>
      <c r="BY112" t="s">
        <v>271</v>
      </c>
      <c r="CB112" s="36"/>
      <c r="CD112" s="36">
        <v>0</v>
      </c>
      <c r="CE112" t="s">
        <v>267</v>
      </c>
      <c r="CF112" t="s">
        <v>267</v>
      </c>
      <c r="CG112" t="s">
        <v>267</v>
      </c>
      <c r="CH112" t="s">
        <v>267</v>
      </c>
      <c r="CI112" t="s">
        <v>267</v>
      </c>
      <c r="CJ112" t="s">
        <v>267</v>
      </c>
      <c r="CK112" t="s">
        <v>266</v>
      </c>
      <c r="CL112" t="s">
        <v>267</v>
      </c>
      <c r="CM112" t="s">
        <v>285</v>
      </c>
      <c r="CN112" t="s">
        <v>267</v>
      </c>
      <c r="CO112" t="s">
        <v>266</v>
      </c>
    </row>
    <row r="113" spans="1:93" x14ac:dyDescent="0.25">
      <c r="A113" s="2" t="s">
        <v>119</v>
      </c>
      <c r="B113" s="17">
        <v>44.8</v>
      </c>
      <c r="C113" s="17">
        <v>2.5</v>
      </c>
      <c r="D113" s="17">
        <v>0</v>
      </c>
      <c r="E113" s="17">
        <v>25.4</v>
      </c>
      <c r="F113" s="17">
        <v>0</v>
      </c>
      <c r="G113" s="17">
        <v>0</v>
      </c>
      <c r="H113" s="17">
        <v>0</v>
      </c>
      <c r="I113" s="17">
        <v>0</v>
      </c>
      <c r="J113" s="17">
        <v>0</v>
      </c>
      <c r="K113" s="17">
        <v>0</v>
      </c>
      <c r="L113" s="17">
        <v>2.9</v>
      </c>
      <c r="M113" s="17">
        <v>0</v>
      </c>
      <c r="N113" s="17">
        <v>0</v>
      </c>
      <c r="O113" s="17">
        <v>72</v>
      </c>
      <c r="P113" s="17">
        <v>9.5</v>
      </c>
      <c r="Q113" s="17">
        <v>0</v>
      </c>
      <c r="R113" s="17">
        <v>28</v>
      </c>
      <c r="S113" s="17">
        <v>0</v>
      </c>
      <c r="T113" s="17">
        <v>96.15</v>
      </c>
      <c r="U113" s="17">
        <v>0</v>
      </c>
      <c r="V113" s="17">
        <f t="shared" si="73"/>
        <v>281.25</v>
      </c>
      <c r="W113" s="18">
        <v>174.1</v>
      </c>
      <c r="X113" s="19">
        <v>249.125</v>
      </c>
      <c r="Y113" s="19">
        <v>23.375</v>
      </c>
      <c r="Z113" s="19">
        <v>70.368750000000006</v>
      </c>
      <c r="AA113" s="17">
        <v>0</v>
      </c>
      <c r="AB113" s="17">
        <v>0</v>
      </c>
      <c r="AC113" s="17">
        <v>0</v>
      </c>
      <c r="AD113" s="17">
        <v>0</v>
      </c>
      <c r="AE113" s="17">
        <v>0</v>
      </c>
      <c r="AF113" s="19">
        <v>20.100000000000001</v>
      </c>
      <c r="AG113" s="24">
        <v>182.03125</v>
      </c>
      <c r="AH113" s="17">
        <f t="shared" si="74"/>
        <v>107.15</v>
      </c>
      <c r="AI113" s="20">
        <v>9.2633699543006092</v>
      </c>
      <c r="AJ113" s="21">
        <v>718.4</v>
      </c>
      <c r="AK113" s="22">
        <v>2232.2460532447058</v>
      </c>
      <c r="AL113" s="22">
        <v>2279.834232359151</v>
      </c>
      <c r="AM113" s="16">
        <v>9.6</v>
      </c>
      <c r="AN113" s="23">
        <f t="shared" si="40"/>
        <v>466.67</v>
      </c>
      <c r="AO113" s="23">
        <f t="shared" si="41"/>
        <v>26.04</v>
      </c>
      <c r="AP113" s="23">
        <f t="shared" si="42"/>
        <v>0</v>
      </c>
      <c r="AQ113" s="23">
        <f t="shared" si="43"/>
        <v>264.58</v>
      </c>
      <c r="AR113" s="23">
        <f t="shared" si="44"/>
        <v>0</v>
      </c>
      <c r="AS113" s="23">
        <f t="shared" si="45"/>
        <v>0</v>
      </c>
      <c r="AT113" s="23">
        <f t="shared" si="46"/>
        <v>0</v>
      </c>
      <c r="AU113" s="23">
        <f t="shared" si="47"/>
        <v>0</v>
      </c>
      <c r="AV113" s="23">
        <f t="shared" si="48"/>
        <v>0</v>
      </c>
      <c r="AW113" s="23">
        <f t="shared" si="49"/>
        <v>0</v>
      </c>
      <c r="AX113" s="23">
        <f t="shared" si="50"/>
        <v>30.21</v>
      </c>
      <c r="AY113" s="23">
        <f t="shared" si="51"/>
        <v>0</v>
      </c>
      <c r="AZ113" s="23">
        <f t="shared" si="52"/>
        <v>0</v>
      </c>
      <c r="BA113" s="23">
        <f t="shared" si="53"/>
        <v>750</v>
      </c>
      <c r="BB113" s="23">
        <f t="shared" si="54"/>
        <v>98.96</v>
      </c>
      <c r="BC113" s="23">
        <f t="shared" si="55"/>
        <v>0</v>
      </c>
      <c r="BD113" s="23">
        <f t="shared" si="56"/>
        <v>291.67</v>
      </c>
      <c r="BE113" s="23">
        <f t="shared" si="57"/>
        <v>0</v>
      </c>
      <c r="BF113" s="23">
        <f t="shared" si="58"/>
        <v>1001.56</v>
      </c>
      <c r="BG113" s="23">
        <f t="shared" si="59"/>
        <v>0</v>
      </c>
      <c r="BH113" s="23">
        <f t="shared" si="60"/>
        <v>2929.69</v>
      </c>
      <c r="BI113" s="23">
        <f t="shared" si="61"/>
        <v>1813.54</v>
      </c>
      <c r="BJ113" s="23">
        <f t="shared" si="62"/>
        <v>2595.0500000000002</v>
      </c>
      <c r="BK113" s="23">
        <f t="shared" si="63"/>
        <v>243.49</v>
      </c>
      <c r="BL113" s="23">
        <f t="shared" si="64"/>
        <v>733.01</v>
      </c>
      <c r="BM113" s="23">
        <f t="shared" si="65"/>
        <v>0</v>
      </c>
      <c r="BN113" s="23">
        <f t="shared" si="66"/>
        <v>0</v>
      </c>
      <c r="BO113" s="23">
        <f t="shared" si="67"/>
        <v>0</v>
      </c>
      <c r="BP113" s="23">
        <f t="shared" si="68"/>
        <v>0</v>
      </c>
      <c r="BQ113" s="23">
        <f t="shared" si="69"/>
        <v>0</v>
      </c>
      <c r="BR113" s="23">
        <f t="shared" si="70"/>
        <v>209.38</v>
      </c>
      <c r="BS113" s="23">
        <f t="shared" si="71"/>
        <v>1896.16</v>
      </c>
      <c r="BT113" s="23">
        <f t="shared" si="76"/>
        <v>1116.1500000000001</v>
      </c>
      <c r="BU113" s="23">
        <f t="shared" si="76"/>
        <v>96.49</v>
      </c>
      <c r="BV113" s="23">
        <f t="shared" si="76"/>
        <v>7483.33</v>
      </c>
      <c r="BW113" s="23">
        <f t="shared" si="76"/>
        <v>23252.560000000001</v>
      </c>
      <c r="BX113" s="23">
        <f t="shared" si="76"/>
        <v>23748.27</v>
      </c>
      <c r="BY113" t="s">
        <v>271</v>
      </c>
      <c r="CB113" s="36"/>
      <c r="CD113" s="36">
        <v>0</v>
      </c>
      <c r="CE113" t="s">
        <v>267</v>
      </c>
      <c r="CF113" t="s">
        <v>267</v>
      </c>
      <c r="CG113" t="s">
        <v>267</v>
      </c>
      <c r="CH113" t="s">
        <v>267</v>
      </c>
      <c r="CI113" t="s">
        <v>267</v>
      </c>
      <c r="CJ113" t="s">
        <v>267</v>
      </c>
      <c r="CK113" t="s">
        <v>266</v>
      </c>
      <c r="CL113" t="s">
        <v>267</v>
      </c>
      <c r="CM113" t="s">
        <v>285</v>
      </c>
      <c r="CN113" t="s">
        <v>267</v>
      </c>
      <c r="CO113" t="s">
        <v>266</v>
      </c>
    </row>
    <row r="114" spans="1:93" x14ac:dyDescent="0.25">
      <c r="A114" s="2" t="s">
        <v>120</v>
      </c>
      <c r="B114" s="17">
        <v>44.8</v>
      </c>
      <c r="C114" s="17">
        <v>12.25</v>
      </c>
      <c r="D114" s="17">
        <v>0</v>
      </c>
      <c r="E114" s="17">
        <v>25.2</v>
      </c>
      <c r="F114" s="17">
        <v>0</v>
      </c>
      <c r="G114" s="17">
        <v>0</v>
      </c>
      <c r="H114" s="17">
        <v>0</v>
      </c>
      <c r="I114" s="17">
        <v>0</v>
      </c>
      <c r="J114" s="17">
        <v>0</v>
      </c>
      <c r="K114" s="17">
        <v>0</v>
      </c>
      <c r="L114" s="17">
        <v>2.7</v>
      </c>
      <c r="M114" s="17">
        <v>0</v>
      </c>
      <c r="N114" s="17">
        <v>0</v>
      </c>
      <c r="O114" s="17">
        <v>71</v>
      </c>
      <c r="P114" s="17">
        <v>10.1</v>
      </c>
      <c r="Q114" s="17">
        <v>0</v>
      </c>
      <c r="R114" s="17">
        <v>22.75</v>
      </c>
      <c r="S114" s="17">
        <v>0</v>
      </c>
      <c r="T114" s="17">
        <v>111.69999999999999</v>
      </c>
      <c r="U114" s="17">
        <v>0</v>
      </c>
      <c r="V114" s="17">
        <f t="shared" si="73"/>
        <v>300.5</v>
      </c>
      <c r="W114" s="18">
        <v>184</v>
      </c>
      <c r="X114" s="19">
        <v>261.375</v>
      </c>
      <c r="Y114" s="19">
        <v>25.875</v>
      </c>
      <c r="Z114" s="19">
        <v>72.987499999999997</v>
      </c>
      <c r="AA114" s="17">
        <v>0</v>
      </c>
      <c r="AB114" s="17">
        <v>0</v>
      </c>
      <c r="AC114" s="17">
        <v>0</v>
      </c>
      <c r="AD114" s="17">
        <v>0</v>
      </c>
      <c r="AE114" s="17">
        <v>0</v>
      </c>
      <c r="AF114" s="19">
        <v>19.899999999999999</v>
      </c>
      <c r="AG114" s="24">
        <v>194.36250000000001</v>
      </c>
      <c r="AH114" s="17">
        <f t="shared" si="74"/>
        <v>116.5</v>
      </c>
      <c r="AI114" s="20">
        <v>13.993800511207899</v>
      </c>
      <c r="AJ114" s="21">
        <v>711.3</v>
      </c>
      <c r="AK114" s="22">
        <v>2328.8555928410888</v>
      </c>
      <c r="AL114" s="22">
        <v>2379.3101346905191</v>
      </c>
      <c r="AM114" s="16">
        <v>9.9</v>
      </c>
      <c r="AN114" s="23">
        <f t="shared" si="40"/>
        <v>452.53</v>
      </c>
      <c r="AO114" s="23">
        <f t="shared" si="41"/>
        <v>123.74</v>
      </c>
      <c r="AP114" s="23">
        <f t="shared" si="42"/>
        <v>0</v>
      </c>
      <c r="AQ114" s="23">
        <f t="shared" si="43"/>
        <v>254.55</v>
      </c>
      <c r="AR114" s="23">
        <f t="shared" si="44"/>
        <v>0</v>
      </c>
      <c r="AS114" s="23">
        <f t="shared" si="45"/>
        <v>0</v>
      </c>
      <c r="AT114" s="23">
        <f t="shared" si="46"/>
        <v>0</v>
      </c>
      <c r="AU114" s="23">
        <f t="shared" si="47"/>
        <v>0</v>
      </c>
      <c r="AV114" s="23">
        <f t="shared" si="48"/>
        <v>0</v>
      </c>
      <c r="AW114" s="23">
        <f t="shared" si="49"/>
        <v>0</v>
      </c>
      <c r="AX114" s="23">
        <f t="shared" si="50"/>
        <v>27.27</v>
      </c>
      <c r="AY114" s="23">
        <f t="shared" si="51"/>
        <v>0</v>
      </c>
      <c r="AZ114" s="23">
        <f t="shared" si="52"/>
        <v>0</v>
      </c>
      <c r="BA114" s="23">
        <f t="shared" si="53"/>
        <v>717.17</v>
      </c>
      <c r="BB114" s="23">
        <f t="shared" si="54"/>
        <v>102.02</v>
      </c>
      <c r="BC114" s="23">
        <f t="shared" si="55"/>
        <v>0</v>
      </c>
      <c r="BD114" s="23">
        <f t="shared" si="56"/>
        <v>229.8</v>
      </c>
      <c r="BE114" s="23">
        <f t="shared" si="57"/>
        <v>0</v>
      </c>
      <c r="BF114" s="23">
        <f t="shared" si="58"/>
        <v>1128.28</v>
      </c>
      <c r="BG114" s="23">
        <f t="shared" si="59"/>
        <v>0</v>
      </c>
      <c r="BH114" s="23">
        <f t="shared" si="60"/>
        <v>3035.35</v>
      </c>
      <c r="BI114" s="23">
        <f t="shared" si="61"/>
        <v>1858.59</v>
      </c>
      <c r="BJ114" s="23">
        <f t="shared" si="62"/>
        <v>2640.15</v>
      </c>
      <c r="BK114" s="23">
        <f t="shared" si="63"/>
        <v>261.36</v>
      </c>
      <c r="BL114" s="23">
        <f t="shared" si="64"/>
        <v>737.25</v>
      </c>
      <c r="BM114" s="23">
        <f t="shared" si="65"/>
        <v>0</v>
      </c>
      <c r="BN114" s="23">
        <f t="shared" si="66"/>
        <v>0</v>
      </c>
      <c r="BO114" s="23">
        <f t="shared" si="67"/>
        <v>0</v>
      </c>
      <c r="BP114" s="23">
        <f t="shared" si="68"/>
        <v>0</v>
      </c>
      <c r="BQ114" s="23">
        <f t="shared" si="69"/>
        <v>0</v>
      </c>
      <c r="BR114" s="23">
        <f t="shared" si="70"/>
        <v>201.01</v>
      </c>
      <c r="BS114" s="23">
        <f t="shared" si="71"/>
        <v>1963.26</v>
      </c>
      <c r="BT114" s="23">
        <f t="shared" ref="BT114:BX129" si="77">_xlfn.SINGLE(ROUND((AH114/$AM114)*100,2))</f>
        <v>1176.77</v>
      </c>
      <c r="BU114" s="23">
        <f t="shared" si="77"/>
        <v>141.35</v>
      </c>
      <c r="BV114" s="23">
        <f t="shared" si="77"/>
        <v>7184.85</v>
      </c>
      <c r="BW114" s="23">
        <f t="shared" si="77"/>
        <v>23523.79</v>
      </c>
      <c r="BX114" s="23">
        <f t="shared" si="77"/>
        <v>24033.439999999999</v>
      </c>
      <c r="BY114" t="s">
        <v>271</v>
      </c>
      <c r="CB114" s="36"/>
      <c r="CD114" s="36">
        <v>0</v>
      </c>
      <c r="CE114" t="s">
        <v>267</v>
      </c>
      <c r="CF114" t="s">
        <v>267</v>
      </c>
      <c r="CG114" t="s">
        <v>267</v>
      </c>
      <c r="CH114" t="s">
        <v>267</v>
      </c>
      <c r="CI114" t="s">
        <v>267</v>
      </c>
      <c r="CJ114" t="s">
        <v>267</v>
      </c>
      <c r="CK114" t="s">
        <v>266</v>
      </c>
      <c r="CL114" t="s">
        <v>267</v>
      </c>
      <c r="CM114" t="s">
        <v>285</v>
      </c>
      <c r="CN114" t="s">
        <v>267</v>
      </c>
      <c r="CO114" t="s">
        <v>266</v>
      </c>
    </row>
    <row r="115" spans="1:93" x14ac:dyDescent="0.25">
      <c r="A115" s="2" t="s">
        <v>121</v>
      </c>
      <c r="B115" s="17">
        <v>47.2</v>
      </c>
      <c r="C115" s="17">
        <v>19.25</v>
      </c>
      <c r="D115" s="17">
        <v>0</v>
      </c>
      <c r="E115" s="17">
        <v>27.4</v>
      </c>
      <c r="F115" s="17">
        <v>0</v>
      </c>
      <c r="G115" s="17">
        <v>0</v>
      </c>
      <c r="H115" s="17">
        <v>0</v>
      </c>
      <c r="I115" s="17">
        <v>0</v>
      </c>
      <c r="J115" s="17">
        <v>0</v>
      </c>
      <c r="K115" s="17">
        <v>0</v>
      </c>
      <c r="L115" s="17">
        <v>2.7</v>
      </c>
      <c r="M115" s="17">
        <v>0</v>
      </c>
      <c r="N115" s="17">
        <v>0</v>
      </c>
      <c r="O115" s="17">
        <v>73</v>
      </c>
      <c r="P115" s="17">
        <v>10</v>
      </c>
      <c r="Q115" s="17">
        <v>0</v>
      </c>
      <c r="R115" s="17">
        <v>18.649999999999977</v>
      </c>
      <c r="S115" s="17">
        <v>0</v>
      </c>
      <c r="T115" s="17">
        <v>114.80000000000001</v>
      </c>
      <c r="U115" s="17">
        <v>0</v>
      </c>
      <c r="V115" s="17">
        <f t="shared" si="73"/>
        <v>313</v>
      </c>
      <c r="W115" s="18">
        <v>192.3</v>
      </c>
      <c r="X115" s="19">
        <v>303.5</v>
      </c>
      <c r="Y115" s="19">
        <v>30</v>
      </c>
      <c r="Z115" s="19">
        <v>143.8125</v>
      </c>
      <c r="AA115" s="17">
        <v>0</v>
      </c>
      <c r="AB115" s="17">
        <v>0</v>
      </c>
      <c r="AC115" s="17">
        <v>0</v>
      </c>
      <c r="AD115" s="17">
        <v>0</v>
      </c>
      <c r="AE115" s="17">
        <v>0</v>
      </c>
      <c r="AF115" s="19">
        <v>19.3</v>
      </c>
      <c r="AG115" s="24">
        <v>170.38749999999999</v>
      </c>
      <c r="AH115" s="17">
        <f t="shared" si="74"/>
        <v>120.69999999999999</v>
      </c>
      <c r="AI115" s="20">
        <v>21.588727836049959</v>
      </c>
      <c r="AJ115" s="21">
        <v>706.2</v>
      </c>
      <c r="AK115" s="22">
        <v>2411.8662199620899</v>
      </c>
      <c r="AL115" s="22">
        <v>2426.523848655801</v>
      </c>
      <c r="AM115" s="16">
        <v>9.8000000000000007</v>
      </c>
      <c r="AN115" s="23">
        <f t="shared" si="40"/>
        <v>481.63</v>
      </c>
      <c r="AO115" s="23">
        <f t="shared" si="41"/>
        <v>196.43</v>
      </c>
      <c r="AP115" s="23">
        <f t="shared" si="42"/>
        <v>0</v>
      </c>
      <c r="AQ115" s="23">
        <f t="shared" si="43"/>
        <v>279.58999999999997</v>
      </c>
      <c r="AR115" s="23">
        <f t="shared" si="44"/>
        <v>0</v>
      </c>
      <c r="AS115" s="23">
        <f t="shared" si="45"/>
        <v>0</v>
      </c>
      <c r="AT115" s="23">
        <f t="shared" si="46"/>
        <v>0</v>
      </c>
      <c r="AU115" s="23">
        <f t="shared" si="47"/>
        <v>0</v>
      </c>
      <c r="AV115" s="23">
        <f t="shared" si="48"/>
        <v>0</v>
      </c>
      <c r="AW115" s="23">
        <f t="shared" si="49"/>
        <v>0</v>
      </c>
      <c r="AX115" s="23">
        <f t="shared" si="50"/>
        <v>27.55</v>
      </c>
      <c r="AY115" s="23">
        <f t="shared" si="51"/>
        <v>0</v>
      </c>
      <c r="AZ115" s="23">
        <f t="shared" si="52"/>
        <v>0</v>
      </c>
      <c r="BA115" s="23">
        <f t="shared" si="53"/>
        <v>744.9</v>
      </c>
      <c r="BB115" s="23">
        <f t="shared" si="54"/>
        <v>102.04</v>
      </c>
      <c r="BC115" s="23">
        <f t="shared" si="55"/>
        <v>0</v>
      </c>
      <c r="BD115" s="23">
        <f t="shared" si="56"/>
        <v>190.31</v>
      </c>
      <c r="BE115" s="23">
        <f t="shared" si="57"/>
        <v>0</v>
      </c>
      <c r="BF115" s="23">
        <f t="shared" si="58"/>
        <v>1171.43</v>
      </c>
      <c r="BG115" s="23">
        <f t="shared" si="59"/>
        <v>0</v>
      </c>
      <c r="BH115" s="23">
        <f t="shared" si="60"/>
        <v>3193.88</v>
      </c>
      <c r="BI115" s="23">
        <f t="shared" si="61"/>
        <v>1962.24</v>
      </c>
      <c r="BJ115" s="23">
        <f t="shared" si="62"/>
        <v>3096.94</v>
      </c>
      <c r="BK115" s="23">
        <f t="shared" si="63"/>
        <v>306.12</v>
      </c>
      <c r="BL115" s="23">
        <f t="shared" si="64"/>
        <v>1467.47</v>
      </c>
      <c r="BM115" s="23">
        <f t="shared" si="65"/>
        <v>0</v>
      </c>
      <c r="BN115" s="23">
        <f t="shared" si="66"/>
        <v>0</v>
      </c>
      <c r="BO115" s="23">
        <f t="shared" si="67"/>
        <v>0</v>
      </c>
      <c r="BP115" s="23">
        <f t="shared" si="68"/>
        <v>0</v>
      </c>
      <c r="BQ115" s="23">
        <f t="shared" si="69"/>
        <v>0</v>
      </c>
      <c r="BR115" s="23">
        <f t="shared" si="70"/>
        <v>196.94</v>
      </c>
      <c r="BS115" s="23">
        <f t="shared" si="71"/>
        <v>1738.65</v>
      </c>
      <c r="BT115" s="23">
        <f t="shared" si="77"/>
        <v>1231.6300000000001</v>
      </c>
      <c r="BU115" s="23">
        <f t="shared" si="77"/>
        <v>220.29</v>
      </c>
      <c r="BV115" s="23">
        <f t="shared" si="77"/>
        <v>7206.12</v>
      </c>
      <c r="BW115" s="23">
        <f t="shared" si="77"/>
        <v>24610.880000000001</v>
      </c>
      <c r="BX115" s="23">
        <f t="shared" si="77"/>
        <v>24760.45</v>
      </c>
      <c r="BY115" t="s">
        <v>271</v>
      </c>
      <c r="BZ115" t="s">
        <v>318</v>
      </c>
      <c r="CB115" s="36"/>
      <c r="CD115" s="36">
        <v>0</v>
      </c>
      <c r="CE115" t="s">
        <v>267</v>
      </c>
      <c r="CF115" t="s">
        <v>267</v>
      </c>
      <c r="CG115" t="s">
        <v>267</v>
      </c>
      <c r="CH115" t="s">
        <v>267</v>
      </c>
      <c r="CI115" t="s">
        <v>267</v>
      </c>
      <c r="CJ115" t="s">
        <v>267</v>
      </c>
      <c r="CK115" t="s">
        <v>266</v>
      </c>
      <c r="CL115" t="s">
        <v>267</v>
      </c>
      <c r="CM115" t="s">
        <v>285</v>
      </c>
      <c r="CN115" t="s">
        <v>267</v>
      </c>
      <c r="CO115" t="s">
        <v>266</v>
      </c>
    </row>
    <row r="116" spans="1:93" x14ac:dyDescent="0.25">
      <c r="A116" s="2" t="s">
        <v>122</v>
      </c>
      <c r="B116" s="17">
        <v>69.400000000000006</v>
      </c>
      <c r="C116" s="17">
        <v>20.25</v>
      </c>
      <c r="D116" s="17">
        <v>0</v>
      </c>
      <c r="E116" s="17">
        <v>28.4</v>
      </c>
      <c r="F116" s="17">
        <v>0</v>
      </c>
      <c r="G116" s="17">
        <v>0</v>
      </c>
      <c r="H116" s="17">
        <v>0</v>
      </c>
      <c r="I116" s="17">
        <v>0</v>
      </c>
      <c r="J116" s="17">
        <v>0</v>
      </c>
      <c r="K116" s="17">
        <v>0</v>
      </c>
      <c r="L116" s="17">
        <v>2.6</v>
      </c>
      <c r="M116" s="17">
        <v>0</v>
      </c>
      <c r="N116" s="17">
        <v>0</v>
      </c>
      <c r="O116" s="17">
        <v>81</v>
      </c>
      <c r="P116" s="17">
        <v>7.6</v>
      </c>
      <c r="Q116" s="17">
        <v>0</v>
      </c>
      <c r="R116" s="17">
        <v>17.449999999999989</v>
      </c>
      <c r="S116" s="17">
        <v>0</v>
      </c>
      <c r="T116" s="17">
        <v>112.80000000000001</v>
      </c>
      <c r="U116" s="17">
        <v>0</v>
      </c>
      <c r="V116" s="17">
        <f t="shared" si="73"/>
        <v>339.5</v>
      </c>
      <c r="W116" s="18">
        <v>559.5</v>
      </c>
      <c r="X116" s="19">
        <v>592</v>
      </c>
      <c r="Y116" s="19">
        <v>26.75</v>
      </c>
      <c r="Z116" s="19">
        <v>550.33749999999998</v>
      </c>
      <c r="AA116" s="17">
        <v>0</v>
      </c>
      <c r="AB116" s="17">
        <v>0</v>
      </c>
      <c r="AC116" s="17">
        <v>0</v>
      </c>
      <c r="AD116" s="17">
        <v>0</v>
      </c>
      <c r="AE116" s="17">
        <v>0</v>
      </c>
      <c r="AF116" s="19">
        <v>21.7</v>
      </c>
      <c r="AG116" s="24">
        <v>46.712500000000098</v>
      </c>
      <c r="AH116" s="17">
        <f t="shared" si="74"/>
        <v>-220</v>
      </c>
      <c r="AI116" s="20">
        <v>293.98618130235252</v>
      </c>
      <c r="AJ116" s="21">
        <v>1162</v>
      </c>
      <c r="AK116" s="22">
        <v>2554.5036345354956</v>
      </c>
      <c r="AL116" s="22">
        <v>2795.8055776011743</v>
      </c>
      <c r="AM116" s="16">
        <v>9.8000000000000007</v>
      </c>
      <c r="AN116" s="23">
        <f t="shared" si="40"/>
        <v>708.16</v>
      </c>
      <c r="AO116" s="23">
        <f t="shared" si="41"/>
        <v>206.63</v>
      </c>
      <c r="AP116" s="23">
        <f t="shared" si="42"/>
        <v>0</v>
      </c>
      <c r="AQ116" s="23">
        <f t="shared" si="43"/>
        <v>289.8</v>
      </c>
      <c r="AR116" s="23">
        <f t="shared" si="44"/>
        <v>0</v>
      </c>
      <c r="AS116" s="23">
        <f t="shared" si="45"/>
        <v>0</v>
      </c>
      <c r="AT116" s="23">
        <f t="shared" si="46"/>
        <v>0</v>
      </c>
      <c r="AU116" s="23">
        <f t="shared" si="47"/>
        <v>0</v>
      </c>
      <c r="AV116" s="23">
        <f t="shared" si="48"/>
        <v>0</v>
      </c>
      <c r="AW116" s="23">
        <f t="shared" si="49"/>
        <v>0</v>
      </c>
      <c r="AX116" s="23">
        <f t="shared" si="50"/>
        <v>26.53</v>
      </c>
      <c r="AY116" s="23">
        <f t="shared" si="51"/>
        <v>0</v>
      </c>
      <c r="AZ116" s="23">
        <f t="shared" si="52"/>
        <v>0</v>
      </c>
      <c r="BA116" s="23">
        <f t="shared" si="53"/>
        <v>826.53</v>
      </c>
      <c r="BB116" s="23">
        <f t="shared" si="54"/>
        <v>77.55</v>
      </c>
      <c r="BC116" s="23">
        <f t="shared" si="55"/>
        <v>0</v>
      </c>
      <c r="BD116" s="23">
        <f t="shared" si="56"/>
        <v>178.06</v>
      </c>
      <c r="BE116" s="23">
        <f t="shared" si="57"/>
        <v>0</v>
      </c>
      <c r="BF116" s="23">
        <f t="shared" si="58"/>
        <v>1151.02</v>
      </c>
      <c r="BG116" s="23">
        <f t="shared" si="59"/>
        <v>0</v>
      </c>
      <c r="BH116" s="23">
        <f t="shared" si="60"/>
        <v>3464.29</v>
      </c>
      <c r="BI116" s="23">
        <f t="shared" si="61"/>
        <v>5709.18</v>
      </c>
      <c r="BJ116" s="23">
        <f t="shared" si="62"/>
        <v>6040.82</v>
      </c>
      <c r="BK116" s="23">
        <f t="shared" si="63"/>
        <v>272.95999999999998</v>
      </c>
      <c r="BL116" s="23">
        <f t="shared" si="64"/>
        <v>5615.69</v>
      </c>
      <c r="BM116" s="23">
        <f t="shared" si="65"/>
        <v>0</v>
      </c>
      <c r="BN116" s="23">
        <f t="shared" si="66"/>
        <v>0</v>
      </c>
      <c r="BO116" s="23">
        <f t="shared" si="67"/>
        <v>0</v>
      </c>
      <c r="BP116" s="23">
        <f t="shared" si="68"/>
        <v>0</v>
      </c>
      <c r="BQ116" s="23">
        <f t="shared" si="69"/>
        <v>0</v>
      </c>
      <c r="BR116" s="23">
        <f t="shared" si="70"/>
        <v>221.43</v>
      </c>
      <c r="BS116" s="23">
        <f t="shared" si="71"/>
        <v>476.66</v>
      </c>
      <c r="BT116" s="23">
        <f t="shared" si="77"/>
        <v>-2244.9</v>
      </c>
      <c r="BU116" s="23">
        <f t="shared" si="77"/>
        <v>2999.86</v>
      </c>
      <c r="BV116" s="23">
        <f t="shared" si="77"/>
        <v>11857.14</v>
      </c>
      <c r="BW116" s="23">
        <f t="shared" si="77"/>
        <v>26066.36</v>
      </c>
      <c r="BX116" s="23">
        <f t="shared" si="77"/>
        <v>28528.63</v>
      </c>
      <c r="BY116" t="s">
        <v>271</v>
      </c>
      <c r="BZ116" t="s">
        <v>318</v>
      </c>
      <c r="CB116" s="36"/>
      <c r="CD116" s="36">
        <v>0</v>
      </c>
      <c r="CE116" t="s">
        <v>267</v>
      </c>
      <c r="CF116" t="s">
        <v>267</v>
      </c>
      <c r="CG116" t="s">
        <v>267</v>
      </c>
      <c r="CH116" t="s">
        <v>267</v>
      </c>
      <c r="CI116" t="s">
        <v>267</v>
      </c>
      <c r="CJ116" t="s">
        <v>267</v>
      </c>
      <c r="CK116" t="s">
        <v>266</v>
      </c>
      <c r="CL116" t="s">
        <v>267</v>
      </c>
      <c r="CM116" t="s">
        <v>285</v>
      </c>
      <c r="CN116" t="s">
        <v>267</v>
      </c>
      <c r="CO116" t="s">
        <v>266</v>
      </c>
    </row>
    <row r="117" spans="1:93" x14ac:dyDescent="0.25">
      <c r="A117" s="2" t="s">
        <v>123</v>
      </c>
      <c r="B117" s="17">
        <v>128.30000000000001</v>
      </c>
      <c r="C117" s="17">
        <v>21</v>
      </c>
      <c r="D117" s="17">
        <v>0</v>
      </c>
      <c r="E117" s="17">
        <v>31</v>
      </c>
      <c r="F117" s="17">
        <v>0</v>
      </c>
      <c r="G117" s="17">
        <v>0</v>
      </c>
      <c r="H117" s="17">
        <v>0</v>
      </c>
      <c r="I117" s="17">
        <v>0</v>
      </c>
      <c r="J117" s="17">
        <v>0</v>
      </c>
      <c r="K117" s="17">
        <v>0</v>
      </c>
      <c r="L117" s="17">
        <v>2.7</v>
      </c>
      <c r="M117" s="17">
        <v>0</v>
      </c>
      <c r="N117" s="17">
        <v>0</v>
      </c>
      <c r="O117" s="17">
        <v>121</v>
      </c>
      <c r="P117" s="17">
        <v>6.8</v>
      </c>
      <c r="Q117" s="17">
        <v>0</v>
      </c>
      <c r="R117" s="17">
        <v>26</v>
      </c>
      <c r="S117" s="17">
        <v>0</v>
      </c>
      <c r="T117" s="17">
        <v>110.44999999999999</v>
      </c>
      <c r="U117" s="17">
        <v>0</v>
      </c>
      <c r="V117" s="17">
        <f t="shared" si="73"/>
        <v>447.25</v>
      </c>
      <c r="W117" s="18">
        <v>1559.2</v>
      </c>
      <c r="X117" s="19">
        <v>1544.2000000000003</v>
      </c>
      <c r="Y117" s="19">
        <v>15</v>
      </c>
      <c r="Z117" s="19">
        <v>1326.9125000000001</v>
      </c>
      <c r="AA117" s="17">
        <v>0</v>
      </c>
      <c r="AB117" s="17">
        <v>0</v>
      </c>
      <c r="AC117" s="17">
        <v>0</v>
      </c>
      <c r="AD117" s="17">
        <v>0</v>
      </c>
      <c r="AE117" s="17">
        <v>0</v>
      </c>
      <c r="AF117" s="19">
        <v>60.2</v>
      </c>
      <c r="AG117" s="24">
        <v>172.08749999999998</v>
      </c>
      <c r="AH117" s="17">
        <f t="shared" si="74"/>
        <v>-1111.95</v>
      </c>
      <c r="AI117" s="20">
        <v>853.79636126785829</v>
      </c>
      <c r="AJ117" s="21">
        <v>2189.8000000000002</v>
      </c>
      <c r="AK117" s="22">
        <v>3032.6073305003429</v>
      </c>
      <c r="AL117" s="22">
        <v>3264.9088932330023</v>
      </c>
      <c r="AM117" s="16">
        <v>11</v>
      </c>
      <c r="AN117" s="23">
        <f t="shared" si="40"/>
        <v>1166.3599999999999</v>
      </c>
      <c r="AO117" s="23">
        <f t="shared" si="41"/>
        <v>190.91</v>
      </c>
      <c r="AP117" s="23">
        <f t="shared" si="42"/>
        <v>0</v>
      </c>
      <c r="AQ117" s="23">
        <f t="shared" si="43"/>
        <v>281.82</v>
      </c>
      <c r="AR117" s="23">
        <f t="shared" si="44"/>
        <v>0</v>
      </c>
      <c r="AS117" s="23">
        <f t="shared" si="45"/>
        <v>0</v>
      </c>
      <c r="AT117" s="23">
        <f t="shared" si="46"/>
        <v>0</v>
      </c>
      <c r="AU117" s="23">
        <f t="shared" si="47"/>
        <v>0</v>
      </c>
      <c r="AV117" s="23">
        <f t="shared" si="48"/>
        <v>0</v>
      </c>
      <c r="AW117" s="23">
        <f t="shared" si="49"/>
        <v>0</v>
      </c>
      <c r="AX117" s="23">
        <f t="shared" si="50"/>
        <v>24.55</v>
      </c>
      <c r="AY117" s="23">
        <f t="shared" si="51"/>
        <v>0</v>
      </c>
      <c r="AZ117" s="23">
        <f t="shared" si="52"/>
        <v>0</v>
      </c>
      <c r="BA117" s="23">
        <f t="shared" si="53"/>
        <v>1100</v>
      </c>
      <c r="BB117" s="23">
        <f t="shared" si="54"/>
        <v>61.82</v>
      </c>
      <c r="BC117" s="23">
        <f t="shared" si="55"/>
        <v>0</v>
      </c>
      <c r="BD117" s="23">
        <f t="shared" si="56"/>
        <v>236.36</v>
      </c>
      <c r="BE117" s="23">
        <f t="shared" si="57"/>
        <v>0</v>
      </c>
      <c r="BF117" s="23">
        <f t="shared" si="58"/>
        <v>1004.09</v>
      </c>
      <c r="BG117" s="23">
        <f t="shared" si="59"/>
        <v>0</v>
      </c>
      <c r="BH117" s="23">
        <f t="shared" si="60"/>
        <v>4065.91</v>
      </c>
      <c r="BI117" s="23">
        <f t="shared" si="61"/>
        <v>14174.55</v>
      </c>
      <c r="BJ117" s="23">
        <f t="shared" si="62"/>
        <v>14038.18</v>
      </c>
      <c r="BK117" s="23">
        <f t="shared" si="63"/>
        <v>136.36000000000001</v>
      </c>
      <c r="BL117" s="23">
        <f t="shared" si="64"/>
        <v>12062.84</v>
      </c>
      <c r="BM117" s="23">
        <f t="shared" si="65"/>
        <v>0</v>
      </c>
      <c r="BN117" s="23">
        <f t="shared" si="66"/>
        <v>0</v>
      </c>
      <c r="BO117" s="23">
        <f t="shared" si="67"/>
        <v>0</v>
      </c>
      <c r="BP117" s="23">
        <f t="shared" si="68"/>
        <v>0</v>
      </c>
      <c r="BQ117" s="23">
        <f t="shared" si="69"/>
        <v>0</v>
      </c>
      <c r="BR117" s="23">
        <f t="shared" si="70"/>
        <v>547.27</v>
      </c>
      <c r="BS117" s="23">
        <f t="shared" si="71"/>
        <v>1564.43</v>
      </c>
      <c r="BT117" s="23">
        <f t="shared" si="77"/>
        <v>-10108.64</v>
      </c>
      <c r="BU117" s="23">
        <f t="shared" si="77"/>
        <v>7761.79</v>
      </c>
      <c r="BV117" s="23">
        <f t="shared" si="77"/>
        <v>19907.27</v>
      </c>
      <c r="BW117" s="23">
        <f t="shared" si="77"/>
        <v>27569.16</v>
      </c>
      <c r="BX117" s="23">
        <f t="shared" si="77"/>
        <v>29680.99</v>
      </c>
      <c r="BY117" t="s">
        <v>271</v>
      </c>
      <c r="BZ117" t="s">
        <v>318</v>
      </c>
      <c r="CB117" s="36"/>
      <c r="CD117" s="36">
        <v>0</v>
      </c>
      <c r="CE117" t="s">
        <v>267</v>
      </c>
      <c r="CF117" t="s">
        <v>267</v>
      </c>
      <c r="CG117" t="s">
        <v>267</v>
      </c>
      <c r="CH117" t="s">
        <v>267</v>
      </c>
      <c r="CI117" t="s">
        <v>267</v>
      </c>
      <c r="CJ117" t="s">
        <v>267</v>
      </c>
      <c r="CK117" t="s">
        <v>266</v>
      </c>
      <c r="CL117" t="s">
        <v>267</v>
      </c>
      <c r="CM117" t="s">
        <v>285</v>
      </c>
      <c r="CN117" t="s">
        <v>267</v>
      </c>
      <c r="CO117" t="s">
        <v>266</v>
      </c>
    </row>
    <row r="118" spans="1:93" x14ac:dyDescent="0.25">
      <c r="A118" s="2" t="s">
        <v>124</v>
      </c>
      <c r="B118" s="17">
        <v>205</v>
      </c>
      <c r="C118" s="17">
        <v>21.25</v>
      </c>
      <c r="D118" s="17">
        <v>0</v>
      </c>
      <c r="E118" s="17">
        <v>31.2</v>
      </c>
      <c r="F118" s="17">
        <v>0</v>
      </c>
      <c r="G118" s="17">
        <v>139.9</v>
      </c>
      <c r="H118" s="17">
        <v>0</v>
      </c>
      <c r="I118" s="17">
        <v>0</v>
      </c>
      <c r="J118" s="17">
        <v>0</v>
      </c>
      <c r="K118" s="17">
        <v>0</v>
      </c>
      <c r="L118" s="17">
        <v>2.6</v>
      </c>
      <c r="M118" s="17">
        <v>0</v>
      </c>
      <c r="N118" s="17">
        <v>0</v>
      </c>
      <c r="O118" s="17">
        <v>127</v>
      </c>
      <c r="P118" s="17">
        <v>7.9</v>
      </c>
      <c r="Q118" s="17">
        <v>0</v>
      </c>
      <c r="R118" s="17">
        <v>38.549999999999955</v>
      </c>
      <c r="S118" s="17">
        <v>0</v>
      </c>
      <c r="T118" s="17">
        <v>70.850000000000023</v>
      </c>
      <c r="U118" s="17">
        <v>0</v>
      </c>
      <c r="V118" s="17">
        <f t="shared" si="73"/>
        <v>644.25</v>
      </c>
      <c r="W118" s="18">
        <v>2198.1</v>
      </c>
      <c r="X118" s="19">
        <v>2189.85</v>
      </c>
      <c r="Y118" s="19">
        <v>8.25</v>
      </c>
      <c r="Z118" s="19">
        <v>1946.53125</v>
      </c>
      <c r="AA118" s="17">
        <v>0</v>
      </c>
      <c r="AB118" s="17">
        <v>0</v>
      </c>
      <c r="AC118" s="17">
        <v>0</v>
      </c>
      <c r="AD118" s="17">
        <v>0</v>
      </c>
      <c r="AE118" s="17">
        <v>0</v>
      </c>
      <c r="AF118" s="19">
        <v>127.3</v>
      </c>
      <c r="AG118" s="24">
        <v>124.26874999999968</v>
      </c>
      <c r="AH118" s="17">
        <f t="shared" si="74"/>
        <v>-1553.85</v>
      </c>
      <c r="AI118" s="20">
        <v>1033.7016977858302</v>
      </c>
      <c r="AJ118" s="21">
        <v>4063.6</v>
      </c>
      <c r="AK118" s="22">
        <v>3581.8950219721078</v>
      </c>
      <c r="AL118" s="22">
        <v>3983.5657167176587</v>
      </c>
      <c r="AM118" s="16">
        <v>13</v>
      </c>
      <c r="AN118" s="23">
        <f t="shared" si="40"/>
        <v>1576.92</v>
      </c>
      <c r="AO118" s="23">
        <f t="shared" si="41"/>
        <v>163.46</v>
      </c>
      <c r="AP118" s="23">
        <f t="shared" si="42"/>
        <v>0</v>
      </c>
      <c r="AQ118" s="23">
        <f t="shared" si="43"/>
        <v>240</v>
      </c>
      <c r="AR118" s="23">
        <f t="shared" si="44"/>
        <v>0</v>
      </c>
      <c r="AS118" s="23">
        <f t="shared" si="45"/>
        <v>1076.1500000000001</v>
      </c>
      <c r="AT118" s="23">
        <f t="shared" si="46"/>
        <v>0</v>
      </c>
      <c r="AU118" s="23">
        <f t="shared" si="47"/>
        <v>0</v>
      </c>
      <c r="AV118" s="23">
        <f t="shared" si="48"/>
        <v>0</v>
      </c>
      <c r="AW118" s="23">
        <f t="shared" si="49"/>
        <v>0</v>
      </c>
      <c r="AX118" s="23">
        <f t="shared" si="50"/>
        <v>20</v>
      </c>
      <c r="AY118" s="23">
        <f t="shared" si="51"/>
        <v>0</v>
      </c>
      <c r="AZ118" s="23">
        <f t="shared" si="52"/>
        <v>0</v>
      </c>
      <c r="BA118" s="23">
        <f t="shared" si="53"/>
        <v>976.92</v>
      </c>
      <c r="BB118" s="23">
        <f t="shared" si="54"/>
        <v>60.77</v>
      </c>
      <c r="BC118" s="23">
        <f t="shared" si="55"/>
        <v>0</v>
      </c>
      <c r="BD118" s="23">
        <f t="shared" si="56"/>
        <v>296.54000000000002</v>
      </c>
      <c r="BE118" s="23">
        <f t="shared" si="57"/>
        <v>0</v>
      </c>
      <c r="BF118" s="23">
        <f t="shared" si="58"/>
        <v>545</v>
      </c>
      <c r="BG118" s="23">
        <f t="shared" si="59"/>
        <v>0</v>
      </c>
      <c r="BH118" s="23">
        <f t="shared" si="60"/>
        <v>4955.7700000000004</v>
      </c>
      <c r="BI118" s="23">
        <f t="shared" si="61"/>
        <v>16908.46</v>
      </c>
      <c r="BJ118" s="23">
        <f t="shared" si="62"/>
        <v>16845</v>
      </c>
      <c r="BK118" s="23">
        <f t="shared" si="63"/>
        <v>63.46</v>
      </c>
      <c r="BL118" s="23">
        <f t="shared" si="64"/>
        <v>14973.32</v>
      </c>
      <c r="BM118" s="23">
        <f t="shared" si="65"/>
        <v>0</v>
      </c>
      <c r="BN118" s="23">
        <f t="shared" si="66"/>
        <v>0</v>
      </c>
      <c r="BO118" s="23">
        <f t="shared" si="67"/>
        <v>0</v>
      </c>
      <c r="BP118" s="23">
        <f t="shared" si="68"/>
        <v>0</v>
      </c>
      <c r="BQ118" s="23">
        <f t="shared" si="69"/>
        <v>0</v>
      </c>
      <c r="BR118" s="23">
        <f t="shared" si="70"/>
        <v>979.23</v>
      </c>
      <c r="BS118" s="23">
        <f t="shared" si="71"/>
        <v>955.91</v>
      </c>
      <c r="BT118" s="23">
        <f t="shared" si="77"/>
        <v>-11952.69</v>
      </c>
      <c r="BU118" s="23">
        <f t="shared" si="77"/>
        <v>7951.55</v>
      </c>
      <c r="BV118" s="23">
        <f t="shared" si="77"/>
        <v>31258.46</v>
      </c>
      <c r="BW118" s="23">
        <f t="shared" si="77"/>
        <v>27553.040000000001</v>
      </c>
      <c r="BX118" s="23">
        <f t="shared" si="77"/>
        <v>30642.81</v>
      </c>
      <c r="BY118" t="s">
        <v>271</v>
      </c>
      <c r="BZ118" t="s">
        <v>318</v>
      </c>
      <c r="CB118" s="36"/>
      <c r="CD118" s="36">
        <v>0</v>
      </c>
      <c r="CE118" t="s">
        <v>267</v>
      </c>
      <c r="CF118" t="s">
        <v>267</v>
      </c>
      <c r="CG118" t="s">
        <v>267</v>
      </c>
      <c r="CH118" t="s">
        <v>267</v>
      </c>
      <c r="CI118" t="s">
        <v>267</v>
      </c>
      <c r="CJ118" t="s">
        <v>267</v>
      </c>
      <c r="CK118" t="s">
        <v>266</v>
      </c>
      <c r="CL118" t="s">
        <v>267</v>
      </c>
      <c r="CM118" t="s">
        <v>285</v>
      </c>
      <c r="CN118" t="s">
        <v>267</v>
      </c>
      <c r="CO118" t="s">
        <v>266</v>
      </c>
    </row>
    <row r="119" spans="1:93" x14ac:dyDescent="0.25">
      <c r="A119" s="2" t="s">
        <v>125</v>
      </c>
      <c r="B119" s="17">
        <v>239.5</v>
      </c>
      <c r="C119" s="17">
        <v>22</v>
      </c>
      <c r="D119" s="17">
        <v>0</v>
      </c>
      <c r="E119" s="17">
        <v>31.7</v>
      </c>
      <c r="F119" s="17">
        <v>0</v>
      </c>
      <c r="G119" s="17">
        <v>220.2</v>
      </c>
      <c r="H119" s="17">
        <v>0</v>
      </c>
      <c r="I119" s="17">
        <v>0</v>
      </c>
      <c r="J119" s="17">
        <v>0</v>
      </c>
      <c r="K119" s="17">
        <v>0</v>
      </c>
      <c r="L119" s="17">
        <v>2.6</v>
      </c>
      <c r="M119" s="17">
        <v>0</v>
      </c>
      <c r="N119" s="17">
        <v>0</v>
      </c>
      <c r="O119" s="17">
        <v>110</v>
      </c>
      <c r="P119" s="17">
        <v>8.3000000000000007</v>
      </c>
      <c r="Q119" s="17">
        <v>0</v>
      </c>
      <c r="R119" s="17">
        <v>72.900000000000091</v>
      </c>
      <c r="S119" s="17">
        <v>0</v>
      </c>
      <c r="T119" s="17">
        <v>156.79999999999995</v>
      </c>
      <c r="U119" s="17">
        <v>0</v>
      </c>
      <c r="V119" s="17">
        <f t="shared" si="73"/>
        <v>864</v>
      </c>
      <c r="W119" s="18">
        <v>2696.2</v>
      </c>
      <c r="X119" s="19">
        <v>2689.7</v>
      </c>
      <c r="Y119" s="19">
        <v>6.5</v>
      </c>
      <c r="Z119" s="19">
        <v>2283.9437500000004</v>
      </c>
      <c r="AA119" s="17">
        <v>0</v>
      </c>
      <c r="AB119" s="17">
        <v>0</v>
      </c>
      <c r="AC119" s="17">
        <v>0</v>
      </c>
      <c r="AD119" s="17">
        <v>0</v>
      </c>
      <c r="AE119" s="17">
        <v>0</v>
      </c>
      <c r="AF119" s="19">
        <v>189.9</v>
      </c>
      <c r="AG119" s="24">
        <v>222.35624999999953</v>
      </c>
      <c r="AH119" s="17">
        <f t="shared" si="74"/>
        <v>-1832.1999999999998</v>
      </c>
      <c r="AI119" s="20">
        <v>1240.3222018926078</v>
      </c>
      <c r="AJ119" s="21">
        <v>5921.1</v>
      </c>
      <c r="AK119" s="22">
        <v>4380.3601951093651</v>
      </c>
      <c r="AL119" s="22">
        <v>4772.2784571472257</v>
      </c>
      <c r="AM119" s="16">
        <v>16.3</v>
      </c>
      <c r="AN119" s="23">
        <f t="shared" si="40"/>
        <v>1469.33</v>
      </c>
      <c r="AO119" s="23">
        <f t="shared" si="41"/>
        <v>134.97</v>
      </c>
      <c r="AP119" s="23">
        <f t="shared" si="42"/>
        <v>0</v>
      </c>
      <c r="AQ119" s="23">
        <f t="shared" si="43"/>
        <v>194.48</v>
      </c>
      <c r="AR119" s="23">
        <f t="shared" si="44"/>
        <v>0</v>
      </c>
      <c r="AS119" s="23">
        <f t="shared" si="45"/>
        <v>1350.92</v>
      </c>
      <c r="AT119" s="23">
        <f t="shared" si="46"/>
        <v>0</v>
      </c>
      <c r="AU119" s="23">
        <f t="shared" si="47"/>
        <v>0</v>
      </c>
      <c r="AV119" s="23">
        <f t="shared" si="48"/>
        <v>0</v>
      </c>
      <c r="AW119" s="23">
        <f t="shared" si="49"/>
        <v>0</v>
      </c>
      <c r="AX119" s="23">
        <f t="shared" si="50"/>
        <v>15.95</v>
      </c>
      <c r="AY119" s="23">
        <f t="shared" si="51"/>
        <v>0</v>
      </c>
      <c r="AZ119" s="23">
        <f t="shared" si="52"/>
        <v>0</v>
      </c>
      <c r="BA119" s="23">
        <f t="shared" si="53"/>
        <v>674.85</v>
      </c>
      <c r="BB119" s="23">
        <f t="shared" si="54"/>
        <v>50.92</v>
      </c>
      <c r="BC119" s="23">
        <f t="shared" si="55"/>
        <v>0</v>
      </c>
      <c r="BD119" s="23">
        <f t="shared" si="56"/>
        <v>447.24</v>
      </c>
      <c r="BE119" s="23">
        <f t="shared" si="57"/>
        <v>0</v>
      </c>
      <c r="BF119" s="23">
        <f t="shared" si="58"/>
        <v>961.96</v>
      </c>
      <c r="BG119" s="23">
        <f t="shared" si="59"/>
        <v>0</v>
      </c>
      <c r="BH119" s="23">
        <f t="shared" si="60"/>
        <v>5300.61</v>
      </c>
      <c r="BI119" s="23">
        <f t="shared" si="61"/>
        <v>16541.099999999999</v>
      </c>
      <c r="BJ119" s="23">
        <f t="shared" si="62"/>
        <v>16501.23</v>
      </c>
      <c r="BK119" s="23">
        <f t="shared" si="63"/>
        <v>39.880000000000003</v>
      </c>
      <c r="BL119" s="23">
        <f t="shared" si="64"/>
        <v>14011.92</v>
      </c>
      <c r="BM119" s="23">
        <f t="shared" si="65"/>
        <v>0</v>
      </c>
      <c r="BN119" s="23">
        <f t="shared" si="66"/>
        <v>0</v>
      </c>
      <c r="BO119" s="23">
        <f t="shared" si="67"/>
        <v>0</v>
      </c>
      <c r="BP119" s="23">
        <f t="shared" si="68"/>
        <v>0</v>
      </c>
      <c r="BQ119" s="23">
        <f t="shared" si="69"/>
        <v>0</v>
      </c>
      <c r="BR119" s="23">
        <f t="shared" si="70"/>
        <v>1165.03</v>
      </c>
      <c r="BS119" s="23">
        <f t="shared" si="71"/>
        <v>1364.15</v>
      </c>
      <c r="BT119" s="23">
        <f t="shared" si="77"/>
        <v>-11240.49</v>
      </c>
      <c r="BU119" s="23">
        <f t="shared" si="77"/>
        <v>7609.34</v>
      </c>
      <c r="BV119" s="23">
        <f t="shared" si="77"/>
        <v>36325.769999999997</v>
      </c>
      <c r="BW119" s="23">
        <f t="shared" si="77"/>
        <v>26873.38</v>
      </c>
      <c r="BX119" s="23">
        <f t="shared" si="77"/>
        <v>29277.78</v>
      </c>
      <c r="BY119" t="s">
        <v>271</v>
      </c>
      <c r="BZ119" t="s">
        <v>318</v>
      </c>
      <c r="CA119">
        <v>8000000</v>
      </c>
      <c r="CB119" s="36">
        <v>0.57999999999999996</v>
      </c>
      <c r="CD119" s="36">
        <v>0</v>
      </c>
      <c r="CE119" t="s">
        <v>267</v>
      </c>
      <c r="CF119" t="s">
        <v>266</v>
      </c>
      <c r="CG119" t="s">
        <v>266</v>
      </c>
      <c r="CH119" t="s">
        <v>266</v>
      </c>
      <c r="CI119" t="s">
        <v>266</v>
      </c>
      <c r="CJ119" t="s">
        <v>267</v>
      </c>
      <c r="CK119" t="s">
        <v>266</v>
      </c>
      <c r="CL119" t="s">
        <v>267</v>
      </c>
      <c r="CM119" t="s">
        <v>267</v>
      </c>
      <c r="CN119" t="s">
        <v>267</v>
      </c>
      <c r="CO119" t="s">
        <v>266</v>
      </c>
    </row>
    <row r="120" spans="1:93" x14ac:dyDescent="0.25">
      <c r="A120" s="2" t="s">
        <v>126</v>
      </c>
      <c r="B120" s="17">
        <v>291.2</v>
      </c>
      <c r="C120" s="17">
        <v>22</v>
      </c>
      <c r="D120" s="17">
        <v>0</v>
      </c>
      <c r="E120" s="17">
        <v>30.3</v>
      </c>
      <c r="F120" s="17">
        <v>0</v>
      </c>
      <c r="G120" s="17">
        <v>285</v>
      </c>
      <c r="H120" s="17">
        <v>0</v>
      </c>
      <c r="I120" s="17">
        <v>0</v>
      </c>
      <c r="J120" s="17">
        <v>0</v>
      </c>
      <c r="K120" s="17">
        <v>0</v>
      </c>
      <c r="L120" s="17">
        <v>2.5</v>
      </c>
      <c r="M120" s="17">
        <v>0</v>
      </c>
      <c r="N120" s="17">
        <v>0</v>
      </c>
      <c r="O120" s="17">
        <v>162</v>
      </c>
      <c r="P120" s="17">
        <v>12.4</v>
      </c>
      <c r="Q120" s="17">
        <v>0</v>
      </c>
      <c r="R120" s="17">
        <v>83.600000000000023</v>
      </c>
      <c r="S120" s="17">
        <v>0</v>
      </c>
      <c r="T120" s="17">
        <v>155.25</v>
      </c>
      <c r="U120" s="17">
        <v>0</v>
      </c>
      <c r="V120" s="17">
        <f t="shared" si="73"/>
        <v>1044.25</v>
      </c>
      <c r="W120" s="18">
        <v>2579.3000000000002</v>
      </c>
      <c r="X120" s="19">
        <v>2565.0500000000002</v>
      </c>
      <c r="Y120" s="19">
        <v>14.25</v>
      </c>
      <c r="Z120" s="19">
        <v>1824.2749999999999</v>
      </c>
      <c r="AA120" s="17">
        <v>0</v>
      </c>
      <c r="AB120" s="17">
        <v>0</v>
      </c>
      <c r="AC120" s="17">
        <v>0</v>
      </c>
      <c r="AD120" s="17">
        <v>0</v>
      </c>
      <c r="AE120" s="17">
        <v>0</v>
      </c>
      <c r="AF120" s="19">
        <v>270</v>
      </c>
      <c r="AG120" s="24">
        <v>485.02500000000049</v>
      </c>
      <c r="AH120" s="17">
        <f t="shared" si="74"/>
        <v>-1535.0500000000002</v>
      </c>
      <c r="AI120" s="20">
        <v>1123.7564443910946</v>
      </c>
      <c r="AJ120" s="21">
        <v>7481.1</v>
      </c>
      <c r="AK120" s="22">
        <v>5060.4799598886357</v>
      </c>
      <c r="AL120" s="22">
        <v>5244.9647033335941</v>
      </c>
      <c r="AM120" s="16">
        <v>19.899999999999999</v>
      </c>
      <c r="AN120" s="23">
        <f t="shared" si="40"/>
        <v>1463.32</v>
      </c>
      <c r="AO120" s="23">
        <f t="shared" si="41"/>
        <v>110.55</v>
      </c>
      <c r="AP120" s="23">
        <f t="shared" si="42"/>
        <v>0</v>
      </c>
      <c r="AQ120" s="23">
        <f t="shared" si="43"/>
        <v>152.26</v>
      </c>
      <c r="AR120" s="23">
        <f t="shared" si="44"/>
        <v>0</v>
      </c>
      <c r="AS120" s="23">
        <f t="shared" si="45"/>
        <v>1432.16</v>
      </c>
      <c r="AT120" s="23">
        <f t="shared" si="46"/>
        <v>0</v>
      </c>
      <c r="AU120" s="23">
        <f t="shared" si="47"/>
        <v>0</v>
      </c>
      <c r="AV120" s="23">
        <f t="shared" si="48"/>
        <v>0</v>
      </c>
      <c r="AW120" s="23">
        <f t="shared" si="49"/>
        <v>0</v>
      </c>
      <c r="AX120" s="23">
        <f t="shared" si="50"/>
        <v>12.56</v>
      </c>
      <c r="AY120" s="23">
        <f t="shared" si="51"/>
        <v>0</v>
      </c>
      <c r="AZ120" s="23">
        <f t="shared" si="52"/>
        <v>0</v>
      </c>
      <c r="BA120" s="23">
        <f t="shared" si="53"/>
        <v>814.07</v>
      </c>
      <c r="BB120" s="23">
        <f t="shared" si="54"/>
        <v>62.31</v>
      </c>
      <c r="BC120" s="23">
        <f t="shared" si="55"/>
        <v>0</v>
      </c>
      <c r="BD120" s="23">
        <f t="shared" si="56"/>
        <v>420.1</v>
      </c>
      <c r="BE120" s="23">
        <f t="shared" si="57"/>
        <v>0</v>
      </c>
      <c r="BF120" s="23">
        <f t="shared" si="58"/>
        <v>780.15</v>
      </c>
      <c r="BG120" s="23">
        <f t="shared" si="59"/>
        <v>0</v>
      </c>
      <c r="BH120" s="23">
        <f t="shared" si="60"/>
        <v>5247.49</v>
      </c>
      <c r="BI120" s="23">
        <f t="shared" si="61"/>
        <v>12961.31</v>
      </c>
      <c r="BJ120" s="23">
        <f t="shared" si="62"/>
        <v>12889.7</v>
      </c>
      <c r="BK120" s="23">
        <f t="shared" si="63"/>
        <v>71.61</v>
      </c>
      <c r="BL120" s="23">
        <f t="shared" si="64"/>
        <v>9167.2099999999991</v>
      </c>
      <c r="BM120" s="23">
        <f t="shared" si="65"/>
        <v>0</v>
      </c>
      <c r="BN120" s="23">
        <f t="shared" si="66"/>
        <v>0</v>
      </c>
      <c r="BO120" s="23">
        <f t="shared" si="67"/>
        <v>0</v>
      </c>
      <c r="BP120" s="23">
        <f t="shared" si="68"/>
        <v>0</v>
      </c>
      <c r="BQ120" s="23">
        <f t="shared" si="69"/>
        <v>0</v>
      </c>
      <c r="BR120" s="23">
        <f t="shared" si="70"/>
        <v>1356.78</v>
      </c>
      <c r="BS120" s="23">
        <f t="shared" si="71"/>
        <v>2437.31</v>
      </c>
      <c r="BT120" s="23">
        <f t="shared" si="77"/>
        <v>-7713.82</v>
      </c>
      <c r="BU120" s="23">
        <f t="shared" si="77"/>
        <v>5647.02</v>
      </c>
      <c r="BV120" s="23">
        <f t="shared" si="77"/>
        <v>37593.47</v>
      </c>
      <c r="BW120" s="23">
        <f t="shared" si="77"/>
        <v>25429.55</v>
      </c>
      <c r="BX120" s="23">
        <f t="shared" si="77"/>
        <v>26356.61</v>
      </c>
      <c r="BY120" t="s">
        <v>270</v>
      </c>
      <c r="BZ120" t="s">
        <v>318</v>
      </c>
      <c r="CA120">
        <v>21000000</v>
      </c>
      <c r="CC120" s="36">
        <v>0.4</v>
      </c>
      <c r="CE120" t="s">
        <v>267</v>
      </c>
      <c r="CF120" t="s">
        <v>266</v>
      </c>
      <c r="CG120" t="s">
        <v>266</v>
      </c>
      <c r="CH120" t="s">
        <v>266</v>
      </c>
      <c r="CI120" t="s">
        <v>266</v>
      </c>
      <c r="CJ120" t="s">
        <v>267</v>
      </c>
      <c r="CK120" t="s">
        <v>266</v>
      </c>
      <c r="CL120" t="s">
        <v>267</v>
      </c>
      <c r="CM120" t="s">
        <v>267</v>
      </c>
      <c r="CN120" t="s">
        <v>267</v>
      </c>
      <c r="CO120" t="s">
        <v>266</v>
      </c>
    </row>
    <row r="121" spans="1:93" x14ac:dyDescent="0.25">
      <c r="A121" s="2" t="s">
        <v>127</v>
      </c>
      <c r="B121" s="17">
        <v>359.1</v>
      </c>
      <c r="C121" s="17">
        <v>23.5</v>
      </c>
      <c r="D121" s="17">
        <v>0</v>
      </c>
      <c r="E121" s="17">
        <v>40.9</v>
      </c>
      <c r="F121" s="17">
        <v>0</v>
      </c>
      <c r="G121" s="17">
        <v>290</v>
      </c>
      <c r="H121" s="17">
        <v>0</v>
      </c>
      <c r="I121" s="17">
        <v>0</v>
      </c>
      <c r="J121" s="17">
        <v>0</v>
      </c>
      <c r="K121" s="17">
        <v>0</v>
      </c>
      <c r="L121" s="17">
        <v>2.6</v>
      </c>
      <c r="M121" s="17">
        <v>0</v>
      </c>
      <c r="N121" s="17">
        <v>0</v>
      </c>
      <c r="O121" s="17">
        <v>283</v>
      </c>
      <c r="P121" s="17">
        <v>22.6</v>
      </c>
      <c r="Q121" s="17">
        <v>0</v>
      </c>
      <c r="R121" s="17">
        <v>20.549999999999955</v>
      </c>
      <c r="S121" s="17">
        <v>0</v>
      </c>
      <c r="T121" s="17">
        <v>155.25</v>
      </c>
      <c r="U121" s="17">
        <v>0</v>
      </c>
      <c r="V121" s="17">
        <f t="shared" si="73"/>
        <v>1197.5</v>
      </c>
      <c r="W121" s="18">
        <v>1665.8</v>
      </c>
      <c r="X121" s="19">
        <v>1615.3</v>
      </c>
      <c r="Y121" s="19">
        <v>50.5</v>
      </c>
      <c r="Z121" s="19">
        <v>458.625</v>
      </c>
      <c r="AA121" s="17">
        <v>0</v>
      </c>
      <c r="AB121" s="17">
        <v>0</v>
      </c>
      <c r="AC121" s="17">
        <v>0</v>
      </c>
      <c r="AD121" s="17">
        <v>0</v>
      </c>
      <c r="AE121" s="17">
        <v>0</v>
      </c>
      <c r="AF121" s="19">
        <v>332</v>
      </c>
      <c r="AG121" s="24">
        <v>875.17499999999984</v>
      </c>
      <c r="AH121" s="17">
        <f t="shared" si="74"/>
        <v>-468.29999999999995</v>
      </c>
      <c r="AI121" s="20">
        <v>319.20877819971906</v>
      </c>
      <c r="AJ121" s="21">
        <v>7875.6</v>
      </c>
      <c r="AK121" s="22">
        <v>5463.5860519606667</v>
      </c>
      <c r="AL121" s="22">
        <v>5716.3440057698554</v>
      </c>
      <c r="AM121" s="16">
        <v>21.9</v>
      </c>
      <c r="AN121" s="23">
        <f t="shared" si="40"/>
        <v>1639.73</v>
      </c>
      <c r="AO121" s="23">
        <f t="shared" si="41"/>
        <v>107.31</v>
      </c>
      <c r="AP121" s="23">
        <f t="shared" si="42"/>
        <v>0</v>
      </c>
      <c r="AQ121" s="23">
        <f t="shared" si="43"/>
        <v>186.76</v>
      </c>
      <c r="AR121" s="23">
        <f t="shared" si="44"/>
        <v>0</v>
      </c>
      <c r="AS121" s="23">
        <f t="shared" si="45"/>
        <v>1324.2</v>
      </c>
      <c r="AT121" s="23">
        <f t="shared" si="46"/>
        <v>0</v>
      </c>
      <c r="AU121" s="23">
        <f t="shared" si="47"/>
        <v>0</v>
      </c>
      <c r="AV121" s="23">
        <f t="shared" si="48"/>
        <v>0</v>
      </c>
      <c r="AW121" s="23">
        <f t="shared" si="49"/>
        <v>0</v>
      </c>
      <c r="AX121" s="23">
        <f t="shared" si="50"/>
        <v>11.87</v>
      </c>
      <c r="AY121" s="23">
        <f t="shared" si="51"/>
        <v>0</v>
      </c>
      <c r="AZ121" s="23">
        <f t="shared" si="52"/>
        <v>0</v>
      </c>
      <c r="BA121" s="23">
        <f t="shared" si="53"/>
        <v>1292.24</v>
      </c>
      <c r="BB121" s="23">
        <f t="shared" si="54"/>
        <v>103.2</v>
      </c>
      <c r="BC121" s="23">
        <f t="shared" si="55"/>
        <v>0</v>
      </c>
      <c r="BD121" s="23">
        <f t="shared" si="56"/>
        <v>93.84</v>
      </c>
      <c r="BE121" s="23">
        <f t="shared" si="57"/>
        <v>0</v>
      </c>
      <c r="BF121" s="23">
        <f t="shared" si="58"/>
        <v>708.9</v>
      </c>
      <c r="BG121" s="23">
        <f t="shared" si="59"/>
        <v>0</v>
      </c>
      <c r="BH121" s="23">
        <f t="shared" si="60"/>
        <v>5468.04</v>
      </c>
      <c r="BI121" s="23">
        <f t="shared" si="61"/>
        <v>7606.39</v>
      </c>
      <c r="BJ121" s="23">
        <f t="shared" si="62"/>
        <v>7375.8</v>
      </c>
      <c r="BK121" s="23">
        <f t="shared" si="63"/>
        <v>230.59</v>
      </c>
      <c r="BL121" s="23">
        <f t="shared" si="64"/>
        <v>2094.1799999999998</v>
      </c>
      <c r="BM121" s="23">
        <f t="shared" si="65"/>
        <v>0</v>
      </c>
      <c r="BN121" s="23">
        <f t="shared" si="66"/>
        <v>0</v>
      </c>
      <c r="BO121" s="23">
        <f t="shared" si="67"/>
        <v>0</v>
      </c>
      <c r="BP121" s="23">
        <f t="shared" si="68"/>
        <v>0</v>
      </c>
      <c r="BQ121" s="23">
        <f t="shared" si="69"/>
        <v>0</v>
      </c>
      <c r="BR121" s="23">
        <f t="shared" si="70"/>
        <v>1515.98</v>
      </c>
      <c r="BS121" s="23">
        <f t="shared" si="71"/>
        <v>3996.23</v>
      </c>
      <c r="BT121" s="23">
        <f t="shared" si="77"/>
        <v>-2138.36</v>
      </c>
      <c r="BU121" s="23">
        <f t="shared" si="77"/>
        <v>1457.57</v>
      </c>
      <c r="BV121" s="23">
        <f t="shared" si="77"/>
        <v>35961.64</v>
      </c>
      <c r="BW121" s="23">
        <f t="shared" si="77"/>
        <v>24947.88</v>
      </c>
      <c r="BX121" s="23">
        <f t="shared" si="77"/>
        <v>26102.03</v>
      </c>
      <c r="BY121" t="s">
        <v>270</v>
      </c>
      <c r="CE121" t="s">
        <v>267</v>
      </c>
      <c r="CF121" t="s">
        <v>266</v>
      </c>
      <c r="CG121" t="s">
        <v>266</v>
      </c>
      <c r="CH121" t="s">
        <v>266</v>
      </c>
      <c r="CI121" t="s">
        <v>266</v>
      </c>
      <c r="CJ121" t="s">
        <v>267</v>
      </c>
      <c r="CK121" t="s">
        <v>266</v>
      </c>
      <c r="CL121" t="s">
        <v>267</v>
      </c>
      <c r="CM121" t="s">
        <v>267</v>
      </c>
      <c r="CN121" t="s">
        <v>267</v>
      </c>
      <c r="CO121" t="s">
        <v>266</v>
      </c>
    </row>
    <row r="122" spans="1:93" x14ac:dyDescent="0.25">
      <c r="A122" s="2" t="s">
        <v>128</v>
      </c>
      <c r="B122" s="17">
        <v>394.1</v>
      </c>
      <c r="C122" s="17">
        <v>32.75</v>
      </c>
      <c r="D122" s="17">
        <v>0</v>
      </c>
      <c r="E122" s="17">
        <v>47.7</v>
      </c>
      <c r="F122" s="17">
        <v>0</v>
      </c>
      <c r="G122" s="17">
        <v>219.2</v>
      </c>
      <c r="H122" s="17">
        <v>0</v>
      </c>
      <c r="I122" s="17">
        <v>0</v>
      </c>
      <c r="J122" s="17">
        <v>0</v>
      </c>
      <c r="K122" s="17">
        <v>0</v>
      </c>
      <c r="L122" s="17">
        <v>2.6</v>
      </c>
      <c r="M122" s="17">
        <v>0</v>
      </c>
      <c r="N122" s="17">
        <v>0</v>
      </c>
      <c r="O122" s="17">
        <v>334</v>
      </c>
      <c r="P122" s="17">
        <v>26.6</v>
      </c>
      <c r="Q122" s="17">
        <v>0</v>
      </c>
      <c r="R122" s="17">
        <v>38.549999999999955</v>
      </c>
      <c r="S122" s="17">
        <v>0</v>
      </c>
      <c r="T122" s="17">
        <v>155.25</v>
      </c>
      <c r="U122" s="17">
        <v>0</v>
      </c>
      <c r="V122" s="17">
        <f t="shared" si="73"/>
        <v>1250.7499999999998</v>
      </c>
      <c r="W122" s="18">
        <v>1188.0999999999999</v>
      </c>
      <c r="X122" s="19">
        <v>1135.75</v>
      </c>
      <c r="Y122" s="19">
        <v>117</v>
      </c>
      <c r="Z122" s="19">
        <v>181</v>
      </c>
      <c r="AA122" s="19">
        <v>39.735628105039005</v>
      </c>
      <c r="AB122" s="17">
        <v>0</v>
      </c>
      <c r="AC122" s="17">
        <v>0</v>
      </c>
      <c r="AD122" s="17">
        <v>0</v>
      </c>
      <c r="AE122" s="19">
        <v>119.5945945945946</v>
      </c>
      <c r="AF122" s="19">
        <v>342.3</v>
      </c>
      <c r="AG122" s="24">
        <v>570.11977730036631</v>
      </c>
      <c r="AH122" s="17">
        <f t="shared" si="74"/>
        <v>62.649999999999864</v>
      </c>
      <c r="AI122" s="20">
        <v>2.0988208283762004</v>
      </c>
      <c r="AJ122" s="21">
        <v>7623.1</v>
      </c>
      <c r="AK122" s="22">
        <v>5581.9189001627237</v>
      </c>
      <c r="AL122" s="22">
        <v>5060.3107351392719</v>
      </c>
      <c r="AM122" s="16">
        <v>25.3</v>
      </c>
      <c r="AN122" s="23">
        <f t="shared" si="40"/>
        <v>1557.71</v>
      </c>
      <c r="AO122" s="23">
        <f t="shared" si="41"/>
        <v>129.44999999999999</v>
      </c>
      <c r="AP122" s="23">
        <f t="shared" si="42"/>
        <v>0</v>
      </c>
      <c r="AQ122" s="23">
        <f t="shared" si="43"/>
        <v>188.54</v>
      </c>
      <c r="AR122" s="23">
        <f t="shared" si="44"/>
        <v>0</v>
      </c>
      <c r="AS122" s="23">
        <f t="shared" si="45"/>
        <v>866.4</v>
      </c>
      <c r="AT122" s="23">
        <f t="shared" si="46"/>
        <v>0</v>
      </c>
      <c r="AU122" s="23">
        <f t="shared" si="47"/>
        <v>0</v>
      </c>
      <c r="AV122" s="23">
        <f t="shared" si="48"/>
        <v>0</v>
      </c>
      <c r="AW122" s="23">
        <f t="shared" si="49"/>
        <v>0</v>
      </c>
      <c r="AX122" s="23">
        <f t="shared" si="50"/>
        <v>10.28</v>
      </c>
      <c r="AY122" s="23">
        <f t="shared" si="51"/>
        <v>0</v>
      </c>
      <c r="AZ122" s="23">
        <f t="shared" si="52"/>
        <v>0</v>
      </c>
      <c r="BA122" s="23">
        <f t="shared" si="53"/>
        <v>1320.16</v>
      </c>
      <c r="BB122" s="23">
        <f t="shared" si="54"/>
        <v>105.14</v>
      </c>
      <c r="BC122" s="23">
        <f t="shared" si="55"/>
        <v>0</v>
      </c>
      <c r="BD122" s="23">
        <f t="shared" si="56"/>
        <v>152.37</v>
      </c>
      <c r="BE122" s="23">
        <f t="shared" si="57"/>
        <v>0</v>
      </c>
      <c r="BF122" s="23">
        <f t="shared" si="58"/>
        <v>613.64</v>
      </c>
      <c r="BG122" s="23">
        <f t="shared" si="59"/>
        <v>0</v>
      </c>
      <c r="BH122" s="23">
        <f t="shared" si="60"/>
        <v>4943.68</v>
      </c>
      <c r="BI122" s="23">
        <f t="shared" si="61"/>
        <v>4696.05</v>
      </c>
      <c r="BJ122" s="23">
        <f t="shared" si="62"/>
        <v>4489.13</v>
      </c>
      <c r="BK122" s="23">
        <f t="shared" si="63"/>
        <v>462.45</v>
      </c>
      <c r="BL122" s="23">
        <f t="shared" si="64"/>
        <v>715.42</v>
      </c>
      <c r="BM122" s="23">
        <f t="shared" si="65"/>
        <v>157.06</v>
      </c>
      <c r="BN122" s="23">
        <f t="shared" si="66"/>
        <v>0</v>
      </c>
      <c r="BO122" s="23">
        <f t="shared" si="67"/>
        <v>0</v>
      </c>
      <c r="BP122" s="23">
        <f t="shared" si="68"/>
        <v>0</v>
      </c>
      <c r="BQ122" s="23">
        <f t="shared" si="69"/>
        <v>472.71</v>
      </c>
      <c r="BR122" s="23">
        <f t="shared" si="70"/>
        <v>1352.96</v>
      </c>
      <c r="BS122" s="23">
        <f t="shared" si="71"/>
        <v>2253.44</v>
      </c>
      <c r="BT122" s="23">
        <f t="shared" si="77"/>
        <v>247.63</v>
      </c>
      <c r="BU122" s="23">
        <f t="shared" si="77"/>
        <v>8.3000000000000007</v>
      </c>
      <c r="BV122" s="23">
        <f t="shared" si="77"/>
        <v>30130.83</v>
      </c>
      <c r="BW122" s="23">
        <f t="shared" si="77"/>
        <v>22062.92</v>
      </c>
      <c r="BX122" s="23">
        <f t="shared" si="77"/>
        <v>20001.23</v>
      </c>
      <c r="BY122" t="s">
        <v>270</v>
      </c>
      <c r="CE122" t="s">
        <v>267</v>
      </c>
      <c r="CF122" t="s">
        <v>266</v>
      </c>
      <c r="CG122" t="s">
        <v>266</v>
      </c>
      <c r="CH122" t="s">
        <v>266</v>
      </c>
      <c r="CI122" t="s">
        <v>266</v>
      </c>
      <c r="CJ122" t="s">
        <v>267</v>
      </c>
      <c r="CK122" t="s">
        <v>266</v>
      </c>
      <c r="CL122" t="s">
        <v>267</v>
      </c>
      <c r="CM122" t="s">
        <v>267</v>
      </c>
      <c r="CN122" t="s">
        <v>267</v>
      </c>
      <c r="CO122" t="s">
        <v>266</v>
      </c>
    </row>
    <row r="123" spans="1:93" x14ac:dyDescent="0.25">
      <c r="A123" s="2" t="s">
        <v>129</v>
      </c>
      <c r="B123" s="17">
        <v>398.8</v>
      </c>
      <c r="C123" s="17">
        <v>50</v>
      </c>
      <c r="D123" s="17">
        <v>0</v>
      </c>
      <c r="E123" s="17">
        <v>52.2</v>
      </c>
      <c r="F123" s="17">
        <v>0</v>
      </c>
      <c r="G123" s="17">
        <v>48.1</v>
      </c>
      <c r="H123" s="17">
        <v>0</v>
      </c>
      <c r="I123" s="17">
        <v>0</v>
      </c>
      <c r="J123" s="17">
        <v>0</v>
      </c>
      <c r="K123" s="17">
        <v>0</v>
      </c>
      <c r="L123" s="17">
        <v>2.6</v>
      </c>
      <c r="M123" s="17">
        <v>0</v>
      </c>
      <c r="N123" s="17">
        <v>0</v>
      </c>
      <c r="O123" s="17">
        <v>324</v>
      </c>
      <c r="P123" s="17">
        <v>19.600000000000001</v>
      </c>
      <c r="Q123" s="17">
        <v>0</v>
      </c>
      <c r="R123" s="17">
        <v>229.60000000000002</v>
      </c>
      <c r="S123" s="17">
        <v>0</v>
      </c>
      <c r="T123" s="17">
        <v>108.34999999999991</v>
      </c>
      <c r="U123" s="17">
        <v>0</v>
      </c>
      <c r="V123" s="17">
        <f t="shared" si="73"/>
        <v>1233.25</v>
      </c>
      <c r="W123" s="18">
        <v>1070.0999999999999</v>
      </c>
      <c r="X123" s="19">
        <v>1136.7500000000002</v>
      </c>
      <c r="Y123" s="19">
        <v>149.25</v>
      </c>
      <c r="Z123" s="19">
        <v>154.75</v>
      </c>
      <c r="AA123" s="19">
        <v>41.669428672817567</v>
      </c>
      <c r="AB123" s="17">
        <v>0</v>
      </c>
      <c r="AC123" s="17">
        <v>0</v>
      </c>
      <c r="AD123" s="17">
        <v>0</v>
      </c>
      <c r="AE123" s="19">
        <v>123.31081081081081</v>
      </c>
      <c r="AF123" s="19">
        <v>323.2</v>
      </c>
      <c r="AG123" s="24">
        <v>643.06976051637173</v>
      </c>
      <c r="AH123" s="17">
        <f t="shared" si="74"/>
        <v>163.15000000000009</v>
      </c>
      <c r="AI123" s="20">
        <v>53.372554028508652</v>
      </c>
      <c r="AJ123" s="21">
        <v>7720.5</v>
      </c>
      <c r="AK123" s="22">
        <v>4689.9983488082689</v>
      </c>
      <c r="AL123" s="22">
        <v>4470.9817411697122</v>
      </c>
      <c r="AM123" s="16">
        <v>23.1</v>
      </c>
      <c r="AN123" s="23">
        <f t="shared" si="40"/>
        <v>1726.41</v>
      </c>
      <c r="AO123" s="23">
        <f t="shared" si="41"/>
        <v>216.45</v>
      </c>
      <c r="AP123" s="23">
        <f t="shared" si="42"/>
        <v>0</v>
      </c>
      <c r="AQ123" s="23">
        <f t="shared" si="43"/>
        <v>225.97</v>
      </c>
      <c r="AR123" s="23">
        <f t="shared" si="44"/>
        <v>0</v>
      </c>
      <c r="AS123" s="23">
        <f t="shared" si="45"/>
        <v>208.23</v>
      </c>
      <c r="AT123" s="23">
        <f t="shared" si="46"/>
        <v>0</v>
      </c>
      <c r="AU123" s="23">
        <f t="shared" si="47"/>
        <v>0</v>
      </c>
      <c r="AV123" s="23">
        <f t="shared" si="48"/>
        <v>0</v>
      </c>
      <c r="AW123" s="23">
        <f t="shared" si="49"/>
        <v>0</v>
      </c>
      <c r="AX123" s="23">
        <f t="shared" si="50"/>
        <v>11.26</v>
      </c>
      <c r="AY123" s="23">
        <f t="shared" si="51"/>
        <v>0</v>
      </c>
      <c r="AZ123" s="23">
        <f t="shared" si="52"/>
        <v>0</v>
      </c>
      <c r="BA123" s="23">
        <f t="shared" si="53"/>
        <v>1402.6</v>
      </c>
      <c r="BB123" s="23">
        <f t="shared" si="54"/>
        <v>84.85</v>
      </c>
      <c r="BC123" s="23">
        <f t="shared" si="55"/>
        <v>0</v>
      </c>
      <c r="BD123" s="23">
        <f t="shared" si="56"/>
        <v>993.94</v>
      </c>
      <c r="BE123" s="23">
        <f t="shared" si="57"/>
        <v>0</v>
      </c>
      <c r="BF123" s="23">
        <f t="shared" si="58"/>
        <v>469.05</v>
      </c>
      <c r="BG123" s="23">
        <f t="shared" si="59"/>
        <v>0</v>
      </c>
      <c r="BH123" s="23">
        <f t="shared" si="60"/>
        <v>5338.74</v>
      </c>
      <c r="BI123" s="23">
        <f t="shared" si="61"/>
        <v>4632.47</v>
      </c>
      <c r="BJ123" s="23">
        <f t="shared" si="62"/>
        <v>4921</v>
      </c>
      <c r="BK123" s="23">
        <f t="shared" si="63"/>
        <v>646.1</v>
      </c>
      <c r="BL123" s="23">
        <f t="shared" si="64"/>
        <v>669.91</v>
      </c>
      <c r="BM123" s="23">
        <f t="shared" si="65"/>
        <v>180.39</v>
      </c>
      <c r="BN123" s="23">
        <f t="shared" si="66"/>
        <v>0</v>
      </c>
      <c r="BO123" s="23">
        <f t="shared" si="67"/>
        <v>0</v>
      </c>
      <c r="BP123" s="23">
        <f t="shared" si="68"/>
        <v>0</v>
      </c>
      <c r="BQ123" s="23">
        <f t="shared" si="69"/>
        <v>533.80999999999995</v>
      </c>
      <c r="BR123" s="23">
        <f t="shared" si="70"/>
        <v>1399.13</v>
      </c>
      <c r="BS123" s="23">
        <f t="shared" si="71"/>
        <v>2783.85</v>
      </c>
      <c r="BT123" s="23">
        <f t="shared" si="77"/>
        <v>706.28</v>
      </c>
      <c r="BU123" s="23">
        <f t="shared" si="77"/>
        <v>231.05</v>
      </c>
      <c r="BV123" s="23">
        <f t="shared" si="77"/>
        <v>33422.080000000002</v>
      </c>
      <c r="BW123" s="23">
        <f t="shared" si="77"/>
        <v>20303.02</v>
      </c>
      <c r="BX123" s="23">
        <f t="shared" si="77"/>
        <v>19354.900000000001</v>
      </c>
      <c r="BY123" t="s">
        <v>270</v>
      </c>
      <c r="CE123" t="s">
        <v>267</v>
      </c>
      <c r="CF123" t="s">
        <v>266</v>
      </c>
      <c r="CG123" t="s">
        <v>266</v>
      </c>
      <c r="CH123" t="s">
        <v>266</v>
      </c>
      <c r="CI123" t="s">
        <v>266</v>
      </c>
      <c r="CJ123" t="s">
        <v>267</v>
      </c>
      <c r="CK123" t="s">
        <v>266</v>
      </c>
      <c r="CL123" t="s">
        <v>267</v>
      </c>
      <c r="CM123" t="s">
        <v>267</v>
      </c>
      <c r="CN123" t="s">
        <v>267</v>
      </c>
      <c r="CO123" t="s">
        <v>266</v>
      </c>
    </row>
    <row r="124" spans="1:93" x14ac:dyDescent="0.25">
      <c r="A124" s="2" t="s">
        <v>130</v>
      </c>
      <c r="B124" s="17">
        <v>379</v>
      </c>
      <c r="C124" s="17">
        <v>59.75</v>
      </c>
      <c r="D124" s="17">
        <v>0</v>
      </c>
      <c r="E124" s="17">
        <v>56.9</v>
      </c>
      <c r="F124" s="17">
        <v>0</v>
      </c>
      <c r="G124" s="17">
        <v>19</v>
      </c>
      <c r="H124" s="17">
        <v>0</v>
      </c>
      <c r="I124" s="17">
        <v>0</v>
      </c>
      <c r="J124" s="17">
        <v>0</v>
      </c>
      <c r="K124" s="17">
        <v>0</v>
      </c>
      <c r="L124" s="17">
        <v>2.8</v>
      </c>
      <c r="M124" s="17">
        <v>0</v>
      </c>
      <c r="N124" s="17">
        <v>0</v>
      </c>
      <c r="O124" s="17">
        <v>280</v>
      </c>
      <c r="P124" s="17">
        <v>22.2</v>
      </c>
      <c r="Q124" s="17">
        <v>0</v>
      </c>
      <c r="R124" s="17">
        <v>94.350000000000136</v>
      </c>
      <c r="S124" s="17">
        <v>0</v>
      </c>
      <c r="T124" s="17">
        <v>239</v>
      </c>
      <c r="U124" s="17">
        <v>0</v>
      </c>
      <c r="V124" s="17">
        <f t="shared" si="73"/>
        <v>1153</v>
      </c>
      <c r="W124" s="18">
        <v>812.5</v>
      </c>
      <c r="X124" s="19">
        <v>1029</v>
      </c>
      <c r="Y124" s="19">
        <v>112</v>
      </c>
      <c r="Z124" s="19">
        <v>116.75</v>
      </c>
      <c r="AA124" s="19">
        <v>38.358126330730983</v>
      </c>
      <c r="AB124" s="17">
        <v>0</v>
      </c>
      <c r="AC124" s="17">
        <v>0</v>
      </c>
      <c r="AD124" s="17">
        <v>0</v>
      </c>
      <c r="AE124" s="19">
        <v>114.52702702702703</v>
      </c>
      <c r="AF124" s="19">
        <v>324</v>
      </c>
      <c r="AG124" s="24">
        <v>547.36484664224201</v>
      </c>
      <c r="AH124" s="17">
        <f t="shared" si="74"/>
        <v>340.5</v>
      </c>
      <c r="AI124" s="20">
        <v>12.141623665253301</v>
      </c>
      <c r="AJ124" s="21">
        <v>7812.6</v>
      </c>
      <c r="AK124" s="22">
        <v>4311.761175457068</v>
      </c>
      <c r="AL124" s="22">
        <v>4212.3366516703354</v>
      </c>
      <c r="AM124" s="16">
        <v>19.899999999999999</v>
      </c>
      <c r="AN124" s="23">
        <f t="shared" si="40"/>
        <v>1904.52</v>
      </c>
      <c r="AO124" s="23">
        <f t="shared" si="41"/>
        <v>300.25</v>
      </c>
      <c r="AP124" s="23">
        <f t="shared" si="42"/>
        <v>0</v>
      </c>
      <c r="AQ124" s="23">
        <f t="shared" si="43"/>
        <v>285.93</v>
      </c>
      <c r="AR124" s="23">
        <f t="shared" si="44"/>
        <v>0</v>
      </c>
      <c r="AS124" s="23">
        <f t="shared" si="45"/>
        <v>95.48</v>
      </c>
      <c r="AT124" s="23">
        <f t="shared" si="46"/>
        <v>0</v>
      </c>
      <c r="AU124" s="23">
        <f t="shared" si="47"/>
        <v>0</v>
      </c>
      <c r="AV124" s="23">
        <f t="shared" si="48"/>
        <v>0</v>
      </c>
      <c r="AW124" s="23">
        <f t="shared" si="49"/>
        <v>0</v>
      </c>
      <c r="AX124" s="23">
        <f t="shared" si="50"/>
        <v>14.07</v>
      </c>
      <c r="AY124" s="23">
        <f t="shared" si="51"/>
        <v>0</v>
      </c>
      <c r="AZ124" s="23">
        <f t="shared" si="52"/>
        <v>0</v>
      </c>
      <c r="BA124" s="23">
        <f t="shared" si="53"/>
        <v>1407.04</v>
      </c>
      <c r="BB124" s="23">
        <f t="shared" si="54"/>
        <v>111.56</v>
      </c>
      <c r="BC124" s="23">
        <f t="shared" si="55"/>
        <v>0</v>
      </c>
      <c r="BD124" s="23">
        <f t="shared" si="56"/>
        <v>474.12</v>
      </c>
      <c r="BE124" s="23">
        <f t="shared" si="57"/>
        <v>0</v>
      </c>
      <c r="BF124" s="23">
        <f t="shared" si="58"/>
        <v>1201.01</v>
      </c>
      <c r="BG124" s="23">
        <f t="shared" si="59"/>
        <v>0</v>
      </c>
      <c r="BH124" s="23">
        <f t="shared" si="60"/>
        <v>5793.97</v>
      </c>
      <c r="BI124" s="23">
        <f t="shared" si="61"/>
        <v>4082.91</v>
      </c>
      <c r="BJ124" s="23">
        <f t="shared" si="62"/>
        <v>5170.8500000000004</v>
      </c>
      <c r="BK124" s="23">
        <f t="shared" si="63"/>
        <v>562.80999999999995</v>
      </c>
      <c r="BL124" s="23">
        <f t="shared" si="64"/>
        <v>586.67999999999995</v>
      </c>
      <c r="BM124" s="23">
        <f t="shared" si="65"/>
        <v>192.75</v>
      </c>
      <c r="BN124" s="23">
        <f t="shared" si="66"/>
        <v>0</v>
      </c>
      <c r="BO124" s="23">
        <f t="shared" si="67"/>
        <v>0</v>
      </c>
      <c r="BP124" s="23">
        <f t="shared" si="68"/>
        <v>0</v>
      </c>
      <c r="BQ124" s="23">
        <f t="shared" si="69"/>
        <v>575.51</v>
      </c>
      <c r="BR124" s="23">
        <f t="shared" si="70"/>
        <v>1628.14</v>
      </c>
      <c r="BS124" s="23">
        <f t="shared" si="71"/>
        <v>2750.58</v>
      </c>
      <c r="BT124" s="23">
        <f t="shared" si="77"/>
        <v>1711.06</v>
      </c>
      <c r="BU124" s="23">
        <f t="shared" si="77"/>
        <v>61.01</v>
      </c>
      <c r="BV124" s="23">
        <f t="shared" si="77"/>
        <v>39259.300000000003</v>
      </c>
      <c r="BW124" s="23">
        <f t="shared" si="77"/>
        <v>21667.14</v>
      </c>
      <c r="BX124" s="23">
        <f t="shared" si="77"/>
        <v>21167.52</v>
      </c>
      <c r="BY124" t="s">
        <v>270</v>
      </c>
      <c r="CE124" t="s">
        <v>267</v>
      </c>
      <c r="CF124" t="s">
        <v>266</v>
      </c>
      <c r="CG124" t="s">
        <v>266</v>
      </c>
      <c r="CH124" t="s">
        <v>266</v>
      </c>
      <c r="CI124" t="s">
        <v>266</v>
      </c>
      <c r="CJ124" t="s">
        <v>267</v>
      </c>
      <c r="CK124" t="s">
        <v>266</v>
      </c>
      <c r="CL124" t="s">
        <v>267</v>
      </c>
      <c r="CM124" t="s">
        <v>267</v>
      </c>
      <c r="CN124" t="s">
        <v>267</v>
      </c>
      <c r="CO124" t="s">
        <v>266</v>
      </c>
    </row>
    <row r="125" spans="1:93" x14ac:dyDescent="0.25">
      <c r="A125" s="2" t="s">
        <v>131</v>
      </c>
      <c r="B125" s="17">
        <v>330</v>
      </c>
      <c r="C125" s="17">
        <v>62.5</v>
      </c>
      <c r="D125" s="17">
        <v>0</v>
      </c>
      <c r="E125" s="17">
        <v>57.8</v>
      </c>
      <c r="F125" s="17">
        <v>0</v>
      </c>
      <c r="G125" s="17">
        <v>23.3</v>
      </c>
      <c r="H125" s="17">
        <v>0</v>
      </c>
      <c r="I125" s="17">
        <v>0</v>
      </c>
      <c r="J125" s="17">
        <v>0</v>
      </c>
      <c r="K125" s="17">
        <v>0</v>
      </c>
      <c r="L125" s="17">
        <v>2.5</v>
      </c>
      <c r="M125" s="17">
        <v>0</v>
      </c>
      <c r="N125" s="17">
        <v>0</v>
      </c>
      <c r="O125" s="17">
        <v>268</v>
      </c>
      <c r="P125" s="17">
        <v>21.6</v>
      </c>
      <c r="Q125" s="17">
        <v>0</v>
      </c>
      <c r="R125" s="17">
        <v>71.5</v>
      </c>
      <c r="S125" s="17">
        <v>0</v>
      </c>
      <c r="T125" s="17">
        <v>237.29999999999995</v>
      </c>
      <c r="U125" s="17">
        <v>0</v>
      </c>
      <c r="V125" s="17">
        <f t="shared" si="73"/>
        <v>1074.5</v>
      </c>
      <c r="W125" s="18">
        <v>748.8</v>
      </c>
      <c r="X125" s="19">
        <v>956</v>
      </c>
      <c r="Y125" s="19">
        <v>90.25</v>
      </c>
      <c r="Z125" s="19">
        <v>104</v>
      </c>
      <c r="AA125" s="19">
        <v>36.848172462739498</v>
      </c>
      <c r="AB125" s="17">
        <v>0</v>
      </c>
      <c r="AC125" s="17">
        <v>0</v>
      </c>
      <c r="AD125" s="17">
        <v>0</v>
      </c>
      <c r="AE125" s="19">
        <v>109.79729729729728</v>
      </c>
      <c r="AF125" s="19">
        <v>307.3</v>
      </c>
      <c r="AG125" s="24">
        <v>488.30453023996313</v>
      </c>
      <c r="AH125" s="17">
        <f t="shared" si="74"/>
        <v>325.70000000000005</v>
      </c>
      <c r="AI125" s="20">
        <v>28.5834057119501</v>
      </c>
      <c r="AJ125" s="21">
        <v>7707.5</v>
      </c>
      <c r="AK125" s="22">
        <v>4189.8793433521569</v>
      </c>
      <c r="AL125" s="22">
        <v>4244.3892505025351</v>
      </c>
      <c r="AM125" s="16">
        <v>18.7</v>
      </c>
      <c r="AN125" s="23">
        <f t="shared" si="40"/>
        <v>1764.71</v>
      </c>
      <c r="AO125" s="23">
        <f t="shared" si="41"/>
        <v>334.22</v>
      </c>
      <c r="AP125" s="23">
        <f t="shared" si="42"/>
        <v>0</v>
      </c>
      <c r="AQ125" s="23">
        <f t="shared" si="43"/>
        <v>309.08999999999997</v>
      </c>
      <c r="AR125" s="23">
        <f t="shared" si="44"/>
        <v>0</v>
      </c>
      <c r="AS125" s="23">
        <f t="shared" si="45"/>
        <v>124.6</v>
      </c>
      <c r="AT125" s="23">
        <f t="shared" si="46"/>
        <v>0</v>
      </c>
      <c r="AU125" s="23">
        <f t="shared" si="47"/>
        <v>0</v>
      </c>
      <c r="AV125" s="23">
        <f t="shared" si="48"/>
        <v>0</v>
      </c>
      <c r="AW125" s="23">
        <f t="shared" si="49"/>
        <v>0</v>
      </c>
      <c r="AX125" s="23">
        <f t="shared" si="50"/>
        <v>13.37</v>
      </c>
      <c r="AY125" s="23">
        <f t="shared" si="51"/>
        <v>0</v>
      </c>
      <c r="AZ125" s="23">
        <f t="shared" si="52"/>
        <v>0</v>
      </c>
      <c r="BA125" s="23">
        <f t="shared" si="53"/>
        <v>1433.16</v>
      </c>
      <c r="BB125" s="23">
        <f t="shared" si="54"/>
        <v>115.51</v>
      </c>
      <c r="BC125" s="23">
        <f t="shared" si="55"/>
        <v>0</v>
      </c>
      <c r="BD125" s="23">
        <f t="shared" si="56"/>
        <v>382.35</v>
      </c>
      <c r="BE125" s="23">
        <f t="shared" si="57"/>
        <v>0</v>
      </c>
      <c r="BF125" s="23">
        <f t="shared" si="58"/>
        <v>1268.98</v>
      </c>
      <c r="BG125" s="23">
        <f t="shared" si="59"/>
        <v>0</v>
      </c>
      <c r="BH125" s="23">
        <f t="shared" si="60"/>
        <v>5745.99</v>
      </c>
      <c r="BI125" s="23">
        <f t="shared" si="61"/>
        <v>4004.28</v>
      </c>
      <c r="BJ125" s="23">
        <f t="shared" si="62"/>
        <v>5112.3</v>
      </c>
      <c r="BK125" s="23">
        <f t="shared" si="63"/>
        <v>482.62</v>
      </c>
      <c r="BL125" s="23">
        <f t="shared" si="64"/>
        <v>556.15</v>
      </c>
      <c r="BM125" s="23">
        <f t="shared" si="65"/>
        <v>197.05</v>
      </c>
      <c r="BN125" s="23">
        <f t="shared" si="66"/>
        <v>0</v>
      </c>
      <c r="BO125" s="23">
        <f t="shared" si="67"/>
        <v>0</v>
      </c>
      <c r="BP125" s="23">
        <f t="shared" si="68"/>
        <v>0</v>
      </c>
      <c r="BQ125" s="23">
        <f t="shared" si="69"/>
        <v>587.15</v>
      </c>
      <c r="BR125" s="23">
        <f t="shared" si="70"/>
        <v>1643.32</v>
      </c>
      <c r="BS125" s="23">
        <f t="shared" si="71"/>
        <v>2611.25</v>
      </c>
      <c r="BT125" s="23">
        <f t="shared" si="77"/>
        <v>1741.71</v>
      </c>
      <c r="BU125" s="23">
        <f t="shared" si="77"/>
        <v>152.85</v>
      </c>
      <c r="BV125" s="23">
        <f t="shared" si="77"/>
        <v>41216.58</v>
      </c>
      <c r="BW125" s="23">
        <f t="shared" si="77"/>
        <v>22405.77</v>
      </c>
      <c r="BX125" s="23">
        <f t="shared" si="77"/>
        <v>22697.27</v>
      </c>
      <c r="BY125" t="s">
        <v>270</v>
      </c>
      <c r="CE125" t="s">
        <v>267</v>
      </c>
      <c r="CF125" t="s">
        <v>266</v>
      </c>
      <c r="CG125" t="s">
        <v>266</v>
      </c>
      <c r="CH125" t="s">
        <v>266</v>
      </c>
      <c r="CI125" t="s">
        <v>266</v>
      </c>
      <c r="CJ125" t="s">
        <v>267</v>
      </c>
      <c r="CK125" t="s">
        <v>266</v>
      </c>
      <c r="CL125" t="s">
        <v>267</v>
      </c>
      <c r="CM125" t="s">
        <v>267</v>
      </c>
      <c r="CN125" t="s">
        <v>267</v>
      </c>
      <c r="CO125" t="s">
        <v>266</v>
      </c>
    </row>
    <row r="126" spans="1:93" x14ac:dyDescent="0.25">
      <c r="A126" s="2" t="s">
        <v>132</v>
      </c>
      <c r="B126" s="17">
        <v>336.5</v>
      </c>
      <c r="C126" s="17">
        <v>64.25</v>
      </c>
      <c r="D126" s="17">
        <v>0</v>
      </c>
      <c r="E126" s="17">
        <v>59.5</v>
      </c>
      <c r="F126" s="17">
        <v>0</v>
      </c>
      <c r="G126" s="17">
        <v>18.100000000000001</v>
      </c>
      <c r="H126" s="17">
        <v>0</v>
      </c>
      <c r="I126" s="17">
        <v>0</v>
      </c>
      <c r="J126" s="17">
        <v>0</v>
      </c>
      <c r="K126" s="17">
        <v>0</v>
      </c>
      <c r="L126" s="17">
        <v>1.2</v>
      </c>
      <c r="M126" s="17">
        <v>0</v>
      </c>
      <c r="N126" s="17">
        <v>0</v>
      </c>
      <c r="O126" s="17">
        <v>233.99999999999997</v>
      </c>
      <c r="P126" s="17">
        <v>22.9</v>
      </c>
      <c r="Q126" s="17">
        <v>0</v>
      </c>
      <c r="R126" s="17">
        <v>62.949999999999932</v>
      </c>
      <c r="S126" s="17">
        <v>0</v>
      </c>
      <c r="T126" s="17">
        <v>233.60000000000002</v>
      </c>
      <c r="U126" s="17">
        <v>0</v>
      </c>
      <c r="V126" s="17">
        <f t="shared" si="73"/>
        <v>1033</v>
      </c>
      <c r="W126" s="18">
        <v>750.8</v>
      </c>
      <c r="X126" s="19">
        <v>951.50000000000011</v>
      </c>
      <c r="Y126" s="19">
        <v>103.25</v>
      </c>
      <c r="Z126" s="19">
        <v>105.75</v>
      </c>
      <c r="AA126" s="19">
        <v>37.536923349893506</v>
      </c>
      <c r="AB126" s="17">
        <v>0</v>
      </c>
      <c r="AC126" s="17">
        <v>0</v>
      </c>
      <c r="AD126" s="17">
        <v>0</v>
      </c>
      <c r="AE126" s="19">
        <v>111.48648648648647</v>
      </c>
      <c r="AF126" s="19">
        <v>312.2</v>
      </c>
      <c r="AG126" s="24">
        <v>487.77659016362014</v>
      </c>
      <c r="AH126" s="17">
        <f t="shared" si="74"/>
        <v>282.20000000000005</v>
      </c>
      <c r="AI126" s="20">
        <v>22.006692893271381</v>
      </c>
      <c r="AJ126" s="21">
        <v>7665.9</v>
      </c>
      <c r="AK126" s="22">
        <v>4306.3847037426995</v>
      </c>
      <c r="AL126" s="22">
        <v>4375.8657030726508</v>
      </c>
      <c r="AM126" s="16">
        <v>18.600000000000001</v>
      </c>
      <c r="AN126" s="23">
        <f t="shared" si="40"/>
        <v>1809.14</v>
      </c>
      <c r="AO126" s="23">
        <f t="shared" si="41"/>
        <v>345.43</v>
      </c>
      <c r="AP126" s="23">
        <f t="shared" si="42"/>
        <v>0</v>
      </c>
      <c r="AQ126" s="23">
        <f t="shared" si="43"/>
        <v>319.89</v>
      </c>
      <c r="AR126" s="23">
        <f t="shared" si="44"/>
        <v>0</v>
      </c>
      <c r="AS126" s="23">
        <f t="shared" si="45"/>
        <v>97.31</v>
      </c>
      <c r="AT126" s="23">
        <f t="shared" si="46"/>
        <v>0</v>
      </c>
      <c r="AU126" s="23">
        <f t="shared" si="47"/>
        <v>0</v>
      </c>
      <c r="AV126" s="23">
        <f t="shared" si="48"/>
        <v>0</v>
      </c>
      <c r="AW126" s="23">
        <f t="shared" si="49"/>
        <v>0</v>
      </c>
      <c r="AX126" s="23">
        <f t="shared" si="50"/>
        <v>6.45</v>
      </c>
      <c r="AY126" s="23">
        <f t="shared" si="51"/>
        <v>0</v>
      </c>
      <c r="AZ126" s="23">
        <f t="shared" si="52"/>
        <v>0</v>
      </c>
      <c r="BA126" s="23">
        <f t="shared" si="53"/>
        <v>1258.06</v>
      </c>
      <c r="BB126" s="23">
        <f t="shared" si="54"/>
        <v>123.12</v>
      </c>
      <c r="BC126" s="23">
        <f t="shared" si="55"/>
        <v>0</v>
      </c>
      <c r="BD126" s="23">
        <f t="shared" si="56"/>
        <v>338.44</v>
      </c>
      <c r="BE126" s="23">
        <f t="shared" si="57"/>
        <v>0</v>
      </c>
      <c r="BF126" s="23">
        <f t="shared" si="58"/>
        <v>1255.9100000000001</v>
      </c>
      <c r="BG126" s="23">
        <f t="shared" si="59"/>
        <v>0</v>
      </c>
      <c r="BH126" s="23">
        <f t="shared" si="60"/>
        <v>5553.76</v>
      </c>
      <c r="BI126" s="23">
        <f t="shared" si="61"/>
        <v>4036.56</v>
      </c>
      <c r="BJ126" s="23">
        <f t="shared" si="62"/>
        <v>5115.59</v>
      </c>
      <c r="BK126" s="23">
        <f t="shared" si="63"/>
        <v>555.11</v>
      </c>
      <c r="BL126" s="23">
        <f t="shared" si="64"/>
        <v>568.54999999999995</v>
      </c>
      <c r="BM126" s="23">
        <f t="shared" si="65"/>
        <v>201.81</v>
      </c>
      <c r="BN126" s="23">
        <f t="shared" si="66"/>
        <v>0</v>
      </c>
      <c r="BO126" s="23">
        <f t="shared" si="67"/>
        <v>0</v>
      </c>
      <c r="BP126" s="23">
        <f t="shared" si="68"/>
        <v>0</v>
      </c>
      <c r="BQ126" s="23">
        <f t="shared" si="69"/>
        <v>599.39</v>
      </c>
      <c r="BR126" s="23">
        <f t="shared" si="70"/>
        <v>1678.49</v>
      </c>
      <c r="BS126" s="23">
        <f t="shared" si="71"/>
        <v>2622.45</v>
      </c>
      <c r="BT126" s="23">
        <f t="shared" si="77"/>
        <v>1517.2</v>
      </c>
      <c r="BU126" s="23">
        <f t="shared" si="77"/>
        <v>118.32</v>
      </c>
      <c r="BV126" s="23">
        <f t="shared" si="77"/>
        <v>41214.519999999997</v>
      </c>
      <c r="BW126" s="23">
        <f t="shared" si="77"/>
        <v>23152.61</v>
      </c>
      <c r="BX126" s="23">
        <f t="shared" si="77"/>
        <v>23526.16</v>
      </c>
      <c r="BY126" t="s">
        <v>270</v>
      </c>
      <c r="CE126" t="s">
        <v>267</v>
      </c>
      <c r="CF126" t="s">
        <v>266</v>
      </c>
      <c r="CG126" t="s">
        <v>266</v>
      </c>
      <c r="CH126" t="s">
        <v>266</v>
      </c>
      <c r="CI126" t="s">
        <v>266</v>
      </c>
      <c r="CJ126" t="s">
        <v>267</v>
      </c>
      <c r="CK126" t="s">
        <v>266</v>
      </c>
      <c r="CL126" t="s">
        <v>267</v>
      </c>
      <c r="CM126" t="s">
        <v>267</v>
      </c>
      <c r="CN126" t="s">
        <v>267</v>
      </c>
      <c r="CO126" t="s">
        <v>266</v>
      </c>
    </row>
    <row r="127" spans="1:93" x14ac:dyDescent="0.25">
      <c r="A127" s="2" t="s">
        <v>133</v>
      </c>
      <c r="B127" s="17">
        <v>327.9</v>
      </c>
      <c r="C127" s="17">
        <v>67.5</v>
      </c>
      <c r="D127" s="17">
        <v>0</v>
      </c>
      <c r="E127" s="17">
        <v>61.2</v>
      </c>
      <c r="F127" s="17">
        <v>0</v>
      </c>
      <c r="G127" s="17">
        <v>11.7</v>
      </c>
      <c r="H127" s="17">
        <v>0</v>
      </c>
      <c r="I127" s="17">
        <v>0</v>
      </c>
      <c r="J127" s="17">
        <v>0</v>
      </c>
      <c r="K127" s="17">
        <v>0</v>
      </c>
      <c r="L127" s="17">
        <v>0.7</v>
      </c>
      <c r="M127" s="17">
        <v>0</v>
      </c>
      <c r="N127" s="17">
        <v>0</v>
      </c>
      <c r="O127" s="17">
        <v>238</v>
      </c>
      <c r="P127" s="17">
        <v>24.7</v>
      </c>
      <c r="Q127" s="17">
        <v>0</v>
      </c>
      <c r="R127" s="17">
        <v>80.400000000000091</v>
      </c>
      <c r="S127" s="17">
        <v>0</v>
      </c>
      <c r="T127" s="17">
        <v>238.14999999999998</v>
      </c>
      <c r="U127" s="17">
        <v>0</v>
      </c>
      <c r="V127" s="17">
        <f t="shared" si="73"/>
        <v>1050.25</v>
      </c>
      <c r="W127" s="18">
        <v>776.1</v>
      </c>
      <c r="X127" s="19">
        <v>984.99999999999989</v>
      </c>
      <c r="Y127" s="19">
        <v>125.75</v>
      </c>
      <c r="Z127" s="19">
        <v>112.25</v>
      </c>
      <c r="AA127" s="19">
        <v>39.232310149041844</v>
      </c>
      <c r="AB127" s="17">
        <v>0</v>
      </c>
      <c r="AC127" s="17">
        <v>0</v>
      </c>
      <c r="AD127" s="17">
        <v>0</v>
      </c>
      <c r="AE127" s="19">
        <v>114.18918918918916</v>
      </c>
      <c r="AF127" s="19">
        <v>308.2</v>
      </c>
      <c r="AG127" s="24">
        <v>536.87850066176895</v>
      </c>
      <c r="AH127" s="17">
        <f t="shared" si="74"/>
        <v>274.14999999999998</v>
      </c>
      <c r="AI127" s="20">
        <v>61.214019312317888</v>
      </c>
      <c r="AJ127" s="21">
        <v>7633.7</v>
      </c>
      <c r="AK127" s="22">
        <v>4371.749401742125</v>
      </c>
      <c r="AL127" s="22">
        <v>4294.0357997511237</v>
      </c>
      <c r="AM127" s="16">
        <v>18.600000000000001</v>
      </c>
      <c r="AN127" s="23">
        <f t="shared" si="40"/>
        <v>1762.9</v>
      </c>
      <c r="AO127" s="23">
        <f t="shared" si="41"/>
        <v>362.9</v>
      </c>
      <c r="AP127" s="23">
        <f t="shared" si="42"/>
        <v>0</v>
      </c>
      <c r="AQ127" s="23">
        <f t="shared" si="43"/>
        <v>329.03</v>
      </c>
      <c r="AR127" s="23">
        <f t="shared" si="44"/>
        <v>0</v>
      </c>
      <c r="AS127" s="23">
        <f t="shared" si="45"/>
        <v>62.9</v>
      </c>
      <c r="AT127" s="23">
        <f t="shared" si="46"/>
        <v>0</v>
      </c>
      <c r="AU127" s="23">
        <f t="shared" si="47"/>
        <v>0</v>
      </c>
      <c r="AV127" s="23">
        <f t="shared" si="48"/>
        <v>0</v>
      </c>
      <c r="AW127" s="23">
        <f t="shared" si="49"/>
        <v>0</v>
      </c>
      <c r="AX127" s="23">
        <f t="shared" si="50"/>
        <v>3.76</v>
      </c>
      <c r="AY127" s="23">
        <f t="shared" si="51"/>
        <v>0</v>
      </c>
      <c r="AZ127" s="23">
        <f t="shared" si="52"/>
        <v>0</v>
      </c>
      <c r="BA127" s="23">
        <f t="shared" si="53"/>
        <v>1279.57</v>
      </c>
      <c r="BB127" s="23">
        <f t="shared" si="54"/>
        <v>132.80000000000001</v>
      </c>
      <c r="BC127" s="23">
        <f t="shared" si="55"/>
        <v>0</v>
      </c>
      <c r="BD127" s="23">
        <f t="shared" si="56"/>
        <v>432.26</v>
      </c>
      <c r="BE127" s="23">
        <f t="shared" si="57"/>
        <v>0</v>
      </c>
      <c r="BF127" s="23">
        <f t="shared" si="58"/>
        <v>1280.3800000000001</v>
      </c>
      <c r="BG127" s="23">
        <f t="shared" si="59"/>
        <v>0</v>
      </c>
      <c r="BH127" s="23">
        <f t="shared" si="60"/>
        <v>5646.51</v>
      </c>
      <c r="BI127" s="23">
        <f t="shared" si="61"/>
        <v>4172.58</v>
      </c>
      <c r="BJ127" s="23">
        <f t="shared" si="62"/>
        <v>5295.7</v>
      </c>
      <c r="BK127" s="23">
        <f t="shared" si="63"/>
        <v>676.08</v>
      </c>
      <c r="BL127" s="23">
        <f t="shared" si="64"/>
        <v>603.49</v>
      </c>
      <c r="BM127" s="23">
        <f t="shared" si="65"/>
        <v>210.93</v>
      </c>
      <c r="BN127" s="23">
        <f t="shared" si="66"/>
        <v>0</v>
      </c>
      <c r="BO127" s="23">
        <f t="shared" si="67"/>
        <v>0</v>
      </c>
      <c r="BP127" s="23">
        <f t="shared" si="68"/>
        <v>0</v>
      </c>
      <c r="BQ127" s="23">
        <f t="shared" si="69"/>
        <v>613.91999999999996</v>
      </c>
      <c r="BR127" s="23">
        <f t="shared" si="70"/>
        <v>1656.99</v>
      </c>
      <c r="BS127" s="23">
        <f t="shared" si="71"/>
        <v>2886.44</v>
      </c>
      <c r="BT127" s="23">
        <f t="shared" si="77"/>
        <v>1473.92</v>
      </c>
      <c r="BU127" s="23">
        <f t="shared" si="77"/>
        <v>329.11</v>
      </c>
      <c r="BV127" s="23">
        <f t="shared" si="77"/>
        <v>41041.4</v>
      </c>
      <c r="BW127" s="23">
        <f t="shared" si="77"/>
        <v>23504.03</v>
      </c>
      <c r="BX127" s="23">
        <f t="shared" si="77"/>
        <v>23086.21</v>
      </c>
      <c r="BY127" t="s">
        <v>270</v>
      </c>
      <c r="CE127" t="s">
        <v>267</v>
      </c>
      <c r="CF127" t="s">
        <v>266</v>
      </c>
      <c r="CG127" t="s">
        <v>266</v>
      </c>
      <c r="CH127" t="s">
        <v>266</v>
      </c>
      <c r="CI127" t="s">
        <v>266</v>
      </c>
      <c r="CJ127" t="s">
        <v>267</v>
      </c>
      <c r="CK127" t="s">
        <v>266</v>
      </c>
      <c r="CL127" t="s">
        <v>267</v>
      </c>
      <c r="CM127" t="s">
        <v>267</v>
      </c>
      <c r="CN127" t="s">
        <v>267</v>
      </c>
      <c r="CO127" t="s">
        <v>266</v>
      </c>
    </row>
    <row r="128" spans="1:93" x14ac:dyDescent="0.25">
      <c r="A128" s="2" t="s">
        <v>134</v>
      </c>
      <c r="B128" s="17">
        <v>300.60000000000002</v>
      </c>
      <c r="C128" s="17">
        <v>76.25</v>
      </c>
      <c r="D128" s="17">
        <v>0</v>
      </c>
      <c r="E128" s="17">
        <v>67.3</v>
      </c>
      <c r="F128" s="17">
        <v>0</v>
      </c>
      <c r="G128" s="17">
        <v>4</v>
      </c>
      <c r="H128" s="17">
        <v>0</v>
      </c>
      <c r="I128" s="17">
        <v>0</v>
      </c>
      <c r="J128" s="17">
        <v>0</v>
      </c>
      <c r="K128" s="17">
        <v>0</v>
      </c>
      <c r="L128" s="17">
        <v>0.7</v>
      </c>
      <c r="M128" s="17">
        <v>0</v>
      </c>
      <c r="N128" s="17">
        <v>0</v>
      </c>
      <c r="O128" s="17">
        <v>241</v>
      </c>
      <c r="P128" s="17">
        <v>24.8</v>
      </c>
      <c r="Q128" s="17">
        <v>0</v>
      </c>
      <c r="R128" s="17">
        <v>91.049999999999955</v>
      </c>
      <c r="S128" s="17">
        <v>0</v>
      </c>
      <c r="T128" s="17">
        <v>263.29999999999995</v>
      </c>
      <c r="U128" s="17">
        <v>0</v>
      </c>
      <c r="V128" s="17">
        <f t="shared" si="73"/>
        <v>1069</v>
      </c>
      <c r="W128" s="18">
        <v>782.4</v>
      </c>
      <c r="X128" s="19">
        <v>1010.75</v>
      </c>
      <c r="Y128" s="19">
        <v>138.5</v>
      </c>
      <c r="Z128" s="19">
        <v>115.5</v>
      </c>
      <c r="AA128" s="19">
        <v>40.636302342086552</v>
      </c>
      <c r="AB128" s="17">
        <v>0</v>
      </c>
      <c r="AC128" s="17">
        <v>0</v>
      </c>
      <c r="AD128" s="17">
        <v>0</v>
      </c>
      <c r="AE128" s="19">
        <v>116.55405405405402</v>
      </c>
      <c r="AF128" s="19">
        <v>318.60000000000002</v>
      </c>
      <c r="AG128" s="24">
        <v>557.95964360385938</v>
      </c>
      <c r="AH128" s="17">
        <f t="shared" si="74"/>
        <v>286.60000000000002</v>
      </c>
      <c r="AI128" s="20">
        <v>81.19710826138062</v>
      </c>
      <c r="AJ128" s="21">
        <v>7652.7</v>
      </c>
      <c r="AK128" s="22">
        <v>4316.3912606489885</v>
      </c>
      <c r="AL128" s="22">
        <v>4438.815784435722</v>
      </c>
      <c r="AM128" s="16">
        <v>18.5</v>
      </c>
      <c r="AN128" s="23">
        <f t="shared" si="40"/>
        <v>1624.86</v>
      </c>
      <c r="AO128" s="23">
        <f t="shared" si="41"/>
        <v>412.16</v>
      </c>
      <c r="AP128" s="23">
        <f t="shared" si="42"/>
        <v>0</v>
      </c>
      <c r="AQ128" s="23">
        <f t="shared" si="43"/>
        <v>363.78</v>
      </c>
      <c r="AR128" s="23">
        <f t="shared" si="44"/>
        <v>0</v>
      </c>
      <c r="AS128" s="23">
        <f t="shared" si="45"/>
        <v>21.62</v>
      </c>
      <c r="AT128" s="23">
        <f t="shared" si="46"/>
        <v>0</v>
      </c>
      <c r="AU128" s="23">
        <f t="shared" si="47"/>
        <v>0</v>
      </c>
      <c r="AV128" s="23">
        <f t="shared" si="48"/>
        <v>0</v>
      </c>
      <c r="AW128" s="23">
        <f t="shared" si="49"/>
        <v>0</v>
      </c>
      <c r="AX128" s="23">
        <f t="shared" si="50"/>
        <v>3.78</v>
      </c>
      <c r="AY128" s="23">
        <f t="shared" si="51"/>
        <v>0</v>
      </c>
      <c r="AZ128" s="23">
        <f t="shared" si="52"/>
        <v>0</v>
      </c>
      <c r="BA128" s="23">
        <f t="shared" si="53"/>
        <v>1302.7</v>
      </c>
      <c r="BB128" s="23">
        <f t="shared" si="54"/>
        <v>134.05000000000001</v>
      </c>
      <c r="BC128" s="23">
        <f t="shared" si="55"/>
        <v>0</v>
      </c>
      <c r="BD128" s="23">
        <f t="shared" si="56"/>
        <v>492.16</v>
      </c>
      <c r="BE128" s="23">
        <f t="shared" si="57"/>
        <v>0</v>
      </c>
      <c r="BF128" s="23">
        <f t="shared" si="58"/>
        <v>1423.24</v>
      </c>
      <c r="BG128" s="23">
        <f t="shared" si="59"/>
        <v>0</v>
      </c>
      <c r="BH128" s="23">
        <f t="shared" si="60"/>
        <v>5778.38</v>
      </c>
      <c r="BI128" s="23">
        <f t="shared" si="61"/>
        <v>4229.1899999999996</v>
      </c>
      <c r="BJ128" s="23">
        <f t="shared" si="62"/>
        <v>5463.51</v>
      </c>
      <c r="BK128" s="23">
        <f t="shared" si="63"/>
        <v>748.65</v>
      </c>
      <c r="BL128" s="23">
        <f t="shared" si="64"/>
        <v>624.32000000000005</v>
      </c>
      <c r="BM128" s="23">
        <f t="shared" si="65"/>
        <v>219.66</v>
      </c>
      <c r="BN128" s="23">
        <f t="shared" si="66"/>
        <v>0</v>
      </c>
      <c r="BO128" s="23">
        <f t="shared" si="67"/>
        <v>0</v>
      </c>
      <c r="BP128" s="23">
        <f t="shared" si="68"/>
        <v>0</v>
      </c>
      <c r="BQ128" s="23">
        <f t="shared" si="69"/>
        <v>630.02</v>
      </c>
      <c r="BR128" s="23">
        <f t="shared" si="70"/>
        <v>1722.16</v>
      </c>
      <c r="BS128" s="23">
        <f t="shared" si="71"/>
        <v>3016</v>
      </c>
      <c r="BT128" s="23">
        <f t="shared" si="77"/>
        <v>1549.19</v>
      </c>
      <c r="BU128" s="23">
        <f t="shared" si="77"/>
        <v>438.9</v>
      </c>
      <c r="BV128" s="23">
        <f t="shared" si="77"/>
        <v>41365.949999999997</v>
      </c>
      <c r="BW128" s="23">
        <f t="shared" si="77"/>
        <v>23331.84</v>
      </c>
      <c r="BX128" s="23">
        <f t="shared" si="77"/>
        <v>23993.599999999999</v>
      </c>
      <c r="BY128" t="s">
        <v>270</v>
      </c>
      <c r="CE128" t="s">
        <v>267</v>
      </c>
      <c r="CF128" t="s">
        <v>266</v>
      </c>
      <c r="CG128" t="s">
        <v>266</v>
      </c>
      <c r="CH128" t="s">
        <v>266</v>
      </c>
      <c r="CI128" t="s">
        <v>266</v>
      </c>
      <c r="CJ128" t="s">
        <v>267</v>
      </c>
      <c r="CK128" t="s">
        <v>266</v>
      </c>
      <c r="CL128" t="s">
        <v>267</v>
      </c>
      <c r="CM128" t="s">
        <v>267</v>
      </c>
      <c r="CN128" t="s">
        <v>267</v>
      </c>
      <c r="CO128" t="s">
        <v>266</v>
      </c>
    </row>
    <row r="129" spans="1:93" x14ac:dyDescent="0.25">
      <c r="A129" s="2" t="s">
        <v>135</v>
      </c>
      <c r="B129" s="17">
        <v>311.2</v>
      </c>
      <c r="C129" s="17">
        <v>80.5</v>
      </c>
      <c r="D129" s="17">
        <v>0</v>
      </c>
      <c r="E129" s="17">
        <v>77.3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0.6</v>
      </c>
      <c r="M129" s="17">
        <v>0</v>
      </c>
      <c r="N129" s="17">
        <v>0</v>
      </c>
      <c r="O129" s="17">
        <v>251</v>
      </c>
      <c r="P129" s="17">
        <v>27</v>
      </c>
      <c r="Q129" s="17">
        <v>0</v>
      </c>
      <c r="R129" s="17">
        <v>95.199999999999932</v>
      </c>
      <c r="S129" s="17">
        <v>0</v>
      </c>
      <c r="T129" s="17">
        <v>267.95000000000005</v>
      </c>
      <c r="U129" s="17">
        <v>0</v>
      </c>
      <c r="V129" s="17">
        <f t="shared" si="73"/>
        <v>1110.75</v>
      </c>
      <c r="W129" s="18">
        <v>773.6</v>
      </c>
      <c r="X129" s="19">
        <v>994</v>
      </c>
      <c r="Y129" s="19">
        <v>138.5</v>
      </c>
      <c r="Z129" s="19">
        <v>113.25</v>
      </c>
      <c r="AA129" s="19">
        <v>41.801880766501029</v>
      </c>
      <c r="AB129" s="17">
        <v>0</v>
      </c>
      <c r="AC129" s="17">
        <v>0</v>
      </c>
      <c r="AD129" s="17">
        <v>0</v>
      </c>
      <c r="AE129" s="19">
        <v>117.90540540540538</v>
      </c>
      <c r="AF129" s="19">
        <v>313.8</v>
      </c>
      <c r="AG129" s="24">
        <v>545.74271382809343</v>
      </c>
      <c r="AH129" s="17">
        <f t="shared" si="74"/>
        <v>337.15</v>
      </c>
      <c r="AI129" s="20">
        <v>22.006692893271619</v>
      </c>
      <c r="AJ129" s="21">
        <v>7631</v>
      </c>
      <c r="AK129" s="22">
        <v>4500.0786350148355</v>
      </c>
      <c r="AL129" s="22">
        <v>4500.1798123863291</v>
      </c>
      <c r="AM129" s="16">
        <v>18</v>
      </c>
      <c r="AN129" s="23">
        <f t="shared" si="40"/>
        <v>1728.89</v>
      </c>
      <c r="AO129" s="23">
        <f t="shared" si="41"/>
        <v>447.22</v>
      </c>
      <c r="AP129" s="23">
        <f t="shared" si="42"/>
        <v>0</v>
      </c>
      <c r="AQ129" s="23">
        <f t="shared" si="43"/>
        <v>429.44</v>
      </c>
      <c r="AR129" s="23">
        <f t="shared" si="44"/>
        <v>0</v>
      </c>
      <c r="AS129" s="23">
        <f t="shared" si="45"/>
        <v>0</v>
      </c>
      <c r="AT129" s="23">
        <f t="shared" si="46"/>
        <v>0</v>
      </c>
      <c r="AU129" s="23">
        <f t="shared" si="47"/>
        <v>0</v>
      </c>
      <c r="AV129" s="23">
        <f t="shared" si="48"/>
        <v>0</v>
      </c>
      <c r="AW129" s="23">
        <f t="shared" si="49"/>
        <v>0</v>
      </c>
      <c r="AX129" s="23">
        <f t="shared" si="50"/>
        <v>3.33</v>
      </c>
      <c r="AY129" s="23">
        <f t="shared" si="51"/>
        <v>0</v>
      </c>
      <c r="AZ129" s="23">
        <f t="shared" si="52"/>
        <v>0</v>
      </c>
      <c r="BA129" s="23">
        <f t="shared" si="53"/>
        <v>1394.44</v>
      </c>
      <c r="BB129" s="23">
        <f t="shared" si="54"/>
        <v>150</v>
      </c>
      <c r="BC129" s="23">
        <f t="shared" si="55"/>
        <v>0</v>
      </c>
      <c r="BD129" s="23">
        <f t="shared" si="56"/>
        <v>528.89</v>
      </c>
      <c r="BE129" s="23">
        <f t="shared" si="57"/>
        <v>0</v>
      </c>
      <c r="BF129" s="23">
        <f t="shared" si="58"/>
        <v>1488.61</v>
      </c>
      <c r="BG129" s="23">
        <f t="shared" si="59"/>
        <v>0</v>
      </c>
      <c r="BH129" s="23">
        <f t="shared" si="60"/>
        <v>6170.83</v>
      </c>
      <c r="BI129" s="23">
        <f t="shared" si="61"/>
        <v>4297.78</v>
      </c>
      <c r="BJ129" s="23">
        <f t="shared" si="62"/>
        <v>5522.22</v>
      </c>
      <c r="BK129" s="23">
        <f t="shared" si="63"/>
        <v>769.44</v>
      </c>
      <c r="BL129" s="23">
        <f t="shared" si="64"/>
        <v>629.16999999999996</v>
      </c>
      <c r="BM129" s="23">
        <f t="shared" si="65"/>
        <v>232.23</v>
      </c>
      <c r="BN129" s="23">
        <f t="shared" si="66"/>
        <v>0</v>
      </c>
      <c r="BO129" s="23">
        <f t="shared" si="67"/>
        <v>0</v>
      </c>
      <c r="BP129" s="23">
        <f t="shared" si="68"/>
        <v>0</v>
      </c>
      <c r="BQ129" s="23">
        <f t="shared" si="69"/>
        <v>655.03</v>
      </c>
      <c r="BR129" s="23">
        <f t="shared" si="70"/>
        <v>1743.33</v>
      </c>
      <c r="BS129" s="23">
        <f t="shared" si="71"/>
        <v>3031.9</v>
      </c>
      <c r="BT129" s="23">
        <f t="shared" si="77"/>
        <v>1873.06</v>
      </c>
      <c r="BU129" s="23">
        <f t="shared" si="77"/>
        <v>122.26</v>
      </c>
      <c r="BV129" s="23">
        <f t="shared" si="77"/>
        <v>42394.44</v>
      </c>
      <c r="BW129" s="23">
        <f t="shared" si="77"/>
        <v>25000.44</v>
      </c>
      <c r="BX129" s="23">
        <f t="shared" si="77"/>
        <v>25001</v>
      </c>
      <c r="BY129" t="s">
        <v>270</v>
      </c>
      <c r="CE129" t="s">
        <v>267</v>
      </c>
      <c r="CF129" t="s">
        <v>266</v>
      </c>
      <c r="CG129" t="s">
        <v>266</v>
      </c>
      <c r="CH129" t="s">
        <v>266</v>
      </c>
      <c r="CI129" t="s">
        <v>266</v>
      </c>
      <c r="CJ129" t="s">
        <v>267</v>
      </c>
      <c r="CK129" t="s">
        <v>267</v>
      </c>
      <c r="CL129" t="s">
        <v>267</v>
      </c>
      <c r="CM129" t="s">
        <v>267</v>
      </c>
      <c r="CN129" t="s">
        <v>267</v>
      </c>
      <c r="CO129" t="s">
        <v>266</v>
      </c>
    </row>
    <row r="130" spans="1:93" x14ac:dyDescent="0.25">
      <c r="A130" s="2" t="s">
        <v>136</v>
      </c>
      <c r="B130" s="17">
        <v>293.8</v>
      </c>
      <c r="C130" s="17">
        <v>82</v>
      </c>
      <c r="D130" s="17">
        <v>0</v>
      </c>
      <c r="E130" s="17">
        <v>80.599999999999994</v>
      </c>
      <c r="F130" s="17">
        <v>0</v>
      </c>
      <c r="G130" s="17">
        <v>0</v>
      </c>
      <c r="H130" s="17">
        <v>0</v>
      </c>
      <c r="I130" s="17">
        <v>0</v>
      </c>
      <c r="J130" s="17">
        <v>0</v>
      </c>
      <c r="K130" s="17">
        <v>0</v>
      </c>
      <c r="L130" s="17">
        <v>0.6</v>
      </c>
      <c r="M130" s="17">
        <v>0</v>
      </c>
      <c r="N130" s="17">
        <v>0</v>
      </c>
      <c r="O130" s="17">
        <v>253.00000000000003</v>
      </c>
      <c r="P130" s="17">
        <v>30.1</v>
      </c>
      <c r="Q130" s="17">
        <v>0</v>
      </c>
      <c r="R130" s="17">
        <v>96.299999999999955</v>
      </c>
      <c r="S130" s="17">
        <v>0</v>
      </c>
      <c r="T130" s="17">
        <v>291.35000000000002</v>
      </c>
      <c r="U130" s="17">
        <v>0</v>
      </c>
      <c r="V130" s="17">
        <f t="shared" si="73"/>
        <v>1127.75</v>
      </c>
      <c r="W130" s="18">
        <v>760.5</v>
      </c>
      <c r="X130" s="19">
        <v>1015.7499999999999</v>
      </c>
      <c r="Y130" s="19">
        <v>124.5</v>
      </c>
      <c r="Z130" s="19">
        <v>110.75</v>
      </c>
      <c r="AA130" s="19">
        <v>42.278708303761498</v>
      </c>
      <c r="AB130" s="17">
        <v>0</v>
      </c>
      <c r="AC130" s="17">
        <v>0</v>
      </c>
      <c r="AD130" s="17">
        <v>0</v>
      </c>
      <c r="AE130" s="19">
        <v>120.27027027027023</v>
      </c>
      <c r="AF130" s="19">
        <v>311.5</v>
      </c>
      <c r="AG130" s="24">
        <v>555.45102142596841</v>
      </c>
      <c r="AH130" s="17">
        <f t="shared" si="74"/>
        <v>367.25</v>
      </c>
      <c r="AI130" s="20">
        <v>12.647524651305254</v>
      </c>
      <c r="AJ130" s="21">
        <v>7620.9</v>
      </c>
      <c r="AK130" s="22">
        <v>4522.8365320187595</v>
      </c>
      <c r="AL130" s="22">
        <v>4568.0487939121267</v>
      </c>
      <c r="AM130" s="16">
        <v>18</v>
      </c>
      <c r="AN130" s="23">
        <f t="shared" ref="AN130:AN193" si="78">_xlfn.SINGLE(ROUND((B130/$AM130)*100,2))</f>
        <v>1632.22</v>
      </c>
      <c r="AO130" s="23">
        <f t="shared" ref="AO130:AO193" si="79">_xlfn.SINGLE(ROUND((C130/$AM130)*100,2))</f>
        <v>455.56</v>
      </c>
      <c r="AP130" s="23">
        <f t="shared" ref="AP130:AP193" si="80">_xlfn.SINGLE(ROUND((D130/$AM130)*100,2))</f>
        <v>0</v>
      </c>
      <c r="AQ130" s="23">
        <f t="shared" ref="AQ130:AQ193" si="81">_xlfn.SINGLE(ROUND((E130/$AM130)*100,2))</f>
        <v>447.78</v>
      </c>
      <c r="AR130" s="23">
        <f t="shared" ref="AR130:AR193" si="82">_xlfn.SINGLE(ROUND((F130/$AM130)*100,2))</f>
        <v>0</v>
      </c>
      <c r="AS130" s="23">
        <f t="shared" ref="AS130:AS193" si="83">_xlfn.SINGLE(ROUND((G130/$AM130)*100,2))</f>
        <v>0</v>
      </c>
      <c r="AT130" s="23">
        <f t="shared" ref="AT130:AT193" si="84">_xlfn.SINGLE(ROUND((H130/$AM130)*100,2))</f>
        <v>0</v>
      </c>
      <c r="AU130" s="23">
        <f t="shared" ref="AU130:AU193" si="85">_xlfn.SINGLE(ROUND((I130/$AM130)*100,2))</f>
        <v>0</v>
      </c>
      <c r="AV130" s="23">
        <f t="shared" ref="AV130:AV193" si="86">_xlfn.SINGLE(ROUND((J130/$AM130)*100,2))</f>
        <v>0</v>
      </c>
      <c r="AW130" s="23">
        <f t="shared" ref="AW130:AW193" si="87">_xlfn.SINGLE(ROUND((K130/$AM130)*100,2))</f>
        <v>0</v>
      </c>
      <c r="AX130" s="23">
        <f t="shared" ref="AX130:AX193" si="88">_xlfn.SINGLE(ROUND((L130/$AM130)*100,2))</f>
        <v>3.33</v>
      </c>
      <c r="AY130" s="23">
        <f t="shared" ref="AY130:AY193" si="89">_xlfn.SINGLE(ROUND((M130/$AM130)*100,2))</f>
        <v>0</v>
      </c>
      <c r="AZ130" s="23">
        <f t="shared" ref="AZ130:AZ193" si="90">_xlfn.SINGLE(ROUND((N130/$AM130)*100,2))</f>
        <v>0</v>
      </c>
      <c r="BA130" s="23">
        <f t="shared" ref="BA130:BA193" si="91">_xlfn.SINGLE(ROUND((O130/$AM130)*100,2))</f>
        <v>1405.56</v>
      </c>
      <c r="BB130" s="23">
        <f t="shared" ref="BB130:BB193" si="92">_xlfn.SINGLE(ROUND((P130/$AM130)*100,2))</f>
        <v>167.22</v>
      </c>
      <c r="BC130" s="23">
        <f t="shared" ref="BC130:BC193" si="93">_xlfn.SINGLE(ROUND((Q130/$AM130)*100,2))</f>
        <v>0</v>
      </c>
      <c r="BD130" s="23">
        <f t="shared" ref="BD130:BD193" si="94">_xlfn.SINGLE(ROUND((R130/$AM130)*100,2))</f>
        <v>535</v>
      </c>
      <c r="BE130" s="23">
        <f t="shared" ref="BE130:BE193" si="95">_xlfn.SINGLE(ROUND((S130/$AM130)*100,2))</f>
        <v>0</v>
      </c>
      <c r="BF130" s="23">
        <f t="shared" ref="BF130:BF193" si="96">_xlfn.SINGLE(ROUND((T130/$AM130)*100,2))</f>
        <v>1618.61</v>
      </c>
      <c r="BG130" s="23">
        <f t="shared" ref="BG130:BG193" si="97">_xlfn.SINGLE(ROUND((U130/$AM130)*100,2))</f>
        <v>0</v>
      </c>
      <c r="BH130" s="23">
        <f t="shared" ref="BH130:BH193" si="98">_xlfn.SINGLE(ROUND((V130/$AM130)*100,2))</f>
        <v>6265.28</v>
      </c>
      <c r="BI130" s="23">
        <f t="shared" ref="BI130:BI193" si="99">_xlfn.SINGLE(ROUND((W130/$AM130)*100,2))</f>
        <v>4225</v>
      </c>
      <c r="BJ130" s="23">
        <f t="shared" ref="BJ130:BJ193" si="100">_xlfn.SINGLE(ROUND((X130/$AM130)*100,2))</f>
        <v>5643.06</v>
      </c>
      <c r="BK130" s="23">
        <f t="shared" ref="BK130:BK193" si="101">_xlfn.SINGLE(ROUND((Y130/$AM130)*100,2))</f>
        <v>691.67</v>
      </c>
      <c r="BL130" s="23">
        <f t="shared" ref="BL130:BL193" si="102">_xlfn.SINGLE(ROUND((Z130/$AM130)*100,2))</f>
        <v>615.28</v>
      </c>
      <c r="BM130" s="23">
        <f t="shared" ref="BM130:BM193" si="103">_xlfn.SINGLE(ROUND((AA130/$AM130)*100,2))</f>
        <v>234.88</v>
      </c>
      <c r="BN130" s="23">
        <f t="shared" ref="BN130:BN193" si="104">_xlfn.SINGLE(ROUND((AB130/$AM130)*100,2))</f>
        <v>0</v>
      </c>
      <c r="BO130" s="23">
        <f t="shared" ref="BO130:BO193" si="105">_xlfn.SINGLE(ROUND((AC130/$AM130)*100,2))</f>
        <v>0</v>
      </c>
      <c r="BP130" s="23">
        <f t="shared" ref="BP130:BP193" si="106">_xlfn.SINGLE(ROUND((AD130/$AM130)*100,2))</f>
        <v>0</v>
      </c>
      <c r="BQ130" s="23">
        <f t="shared" ref="BQ130:BQ193" si="107">_xlfn.SINGLE(ROUND((AE130/$AM130)*100,2))</f>
        <v>668.17</v>
      </c>
      <c r="BR130" s="23">
        <f t="shared" ref="BR130:BR193" si="108">_xlfn.SINGLE(ROUND((AF130/$AM130)*100,2))</f>
        <v>1730.56</v>
      </c>
      <c r="BS130" s="23">
        <f t="shared" ref="BS130:BS193" si="109">_xlfn.SINGLE(ROUND((AG130/$AM130)*100,2))</f>
        <v>3085.84</v>
      </c>
      <c r="BT130" s="23">
        <f t="shared" ref="BT130:BX145" si="110">_xlfn.SINGLE(ROUND((AH130/$AM130)*100,2))</f>
        <v>2040.28</v>
      </c>
      <c r="BU130" s="23">
        <f t="shared" si="110"/>
        <v>70.260000000000005</v>
      </c>
      <c r="BV130" s="23">
        <f t="shared" si="110"/>
        <v>42338.33</v>
      </c>
      <c r="BW130" s="23">
        <f t="shared" si="110"/>
        <v>25126.87</v>
      </c>
      <c r="BX130" s="23">
        <f t="shared" si="110"/>
        <v>25378.05</v>
      </c>
      <c r="BY130" t="s">
        <v>270</v>
      </c>
      <c r="CE130" t="s">
        <v>267</v>
      </c>
      <c r="CF130" t="s">
        <v>266</v>
      </c>
      <c r="CG130" t="s">
        <v>266</v>
      </c>
      <c r="CH130" t="s">
        <v>266</v>
      </c>
      <c r="CI130" t="s">
        <v>266</v>
      </c>
      <c r="CJ130" t="s">
        <v>267</v>
      </c>
      <c r="CK130" t="s">
        <v>267</v>
      </c>
      <c r="CL130" t="s">
        <v>267</v>
      </c>
      <c r="CM130" t="s">
        <v>267</v>
      </c>
      <c r="CN130" t="s">
        <v>267</v>
      </c>
      <c r="CO130" t="s">
        <v>266</v>
      </c>
    </row>
    <row r="131" spans="1:93" x14ac:dyDescent="0.25">
      <c r="A131" s="2" t="s">
        <v>137</v>
      </c>
      <c r="B131" s="17">
        <v>293.8</v>
      </c>
      <c r="C131" s="17">
        <v>81.75</v>
      </c>
      <c r="D131" s="17">
        <v>0</v>
      </c>
      <c r="E131" s="17">
        <v>79.8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7">
        <v>0</v>
      </c>
      <c r="L131" s="17">
        <v>0.7</v>
      </c>
      <c r="M131" s="17">
        <v>0</v>
      </c>
      <c r="N131" s="17">
        <v>0</v>
      </c>
      <c r="O131" s="17">
        <v>248</v>
      </c>
      <c r="P131" s="17">
        <v>25.7</v>
      </c>
      <c r="Q131" s="17">
        <v>0</v>
      </c>
      <c r="R131" s="17">
        <v>85.25</v>
      </c>
      <c r="S131" s="17">
        <v>0</v>
      </c>
      <c r="T131" s="17">
        <v>313</v>
      </c>
      <c r="U131" s="17">
        <v>0</v>
      </c>
      <c r="V131" s="17">
        <f t="shared" ref="V131:V194" si="111">SUM(B131:T131)</f>
        <v>1128</v>
      </c>
      <c r="W131" s="18">
        <v>781.7</v>
      </c>
      <c r="X131" s="19">
        <v>1043.25</v>
      </c>
      <c r="Y131" s="19">
        <v>125.25</v>
      </c>
      <c r="Z131" s="19">
        <v>109.25</v>
      </c>
      <c r="AA131" s="19">
        <v>44.133037615329989</v>
      </c>
      <c r="AB131" s="17">
        <v>0</v>
      </c>
      <c r="AC131" s="17">
        <v>0</v>
      </c>
      <c r="AD131" s="17">
        <v>0</v>
      </c>
      <c r="AE131" s="19">
        <v>125.33783783783781</v>
      </c>
      <c r="AF131" s="19">
        <v>307.3</v>
      </c>
      <c r="AG131" s="24">
        <v>582.47912454683228</v>
      </c>
      <c r="AH131" s="17">
        <f t="shared" ref="AH131:AH194" si="112">V131-W131</f>
        <v>346.29999999999995</v>
      </c>
      <c r="AI131" s="20">
        <v>40.977979870229404</v>
      </c>
      <c r="AJ131" s="21">
        <v>7596.2</v>
      </c>
      <c r="AK131" s="22">
        <v>4571.8608930793516</v>
      </c>
      <c r="AL131" s="22">
        <v>4534.2728295204352</v>
      </c>
      <c r="AM131" s="16">
        <v>17.8</v>
      </c>
      <c r="AN131" s="23">
        <f t="shared" si="78"/>
        <v>1650.56</v>
      </c>
      <c r="AO131" s="23">
        <f t="shared" si="79"/>
        <v>459.27</v>
      </c>
      <c r="AP131" s="23">
        <f t="shared" si="80"/>
        <v>0</v>
      </c>
      <c r="AQ131" s="23">
        <f t="shared" si="81"/>
        <v>448.31</v>
      </c>
      <c r="AR131" s="23">
        <f t="shared" si="82"/>
        <v>0</v>
      </c>
      <c r="AS131" s="23">
        <f t="shared" si="83"/>
        <v>0</v>
      </c>
      <c r="AT131" s="23">
        <f t="shared" si="84"/>
        <v>0</v>
      </c>
      <c r="AU131" s="23">
        <f t="shared" si="85"/>
        <v>0</v>
      </c>
      <c r="AV131" s="23">
        <f t="shared" si="86"/>
        <v>0</v>
      </c>
      <c r="AW131" s="23">
        <f t="shared" si="87"/>
        <v>0</v>
      </c>
      <c r="AX131" s="23">
        <f t="shared" si="88"/>
        <v>3.93</v>
      </c>
      <c r="AY131" s="23">
        <f t="shared" si="89"/>
        <v>0</v>
      </c>
      <c r="AZ131" s="23">
        <f t="shared" si="90"/>
        <v>0</v>
      </c>
      <c r="BA131" s="23">
        <f t="shared" si="91"/>
        <v>1393.26</v>
      </c>
      <c r="BB131" s="23">
        <f t="shared" si="92"/>
        <v>144.38</v>
      </c>
      <c r="BC131" s="23">
        <f t="shared" si="93"/>
        <v>0</v>
      </c>
      <c r="BD131" s="23">
        <f t="shared" si="94"/>
        <v>478.93</v>
      </c>
      <c r="BE131" s="23">
        <f t="shared" si="95"/>
        <v>0</v>
      </c>
      <c r="BF131" s="23">
        <f t="shared" si="96"/>
        <v>1758.43</v>
      </c>
      <c r="BG131" s="23">
        <f t="shared" si="97"/>
        <v>0</v>
      </c>
      <c r="BH131" s="23">
        <f t="shared" si="98"/>
        <v>6337.08</v>
      </c>
      <c r="BI131" s="23">
        <f t="shared" si="99"/>
        <v>4391.57</v>
      </c>
      <c r="BJ131" s="23">
        <f t="shared" si="100"/>
        <v>5860.96</v>
      </c>
      <c r="BK131" s="23">
        <f t="shared" si="101"/>
        <v>703.65</v>
      </c>
      <c r="BL131" s="23">
        <f t="shared" si="102"/>
        <v>613.76</v>
      </c>
      <c r="BM131" s="23">
        <f t="shared" si="103"/>
        <v>247.94</v>
      </c>
      <c r="BN131" s="23">
        <f t="shared" si="104"/>
        <v>0</v>
      </c>
      <c r="BO131" s="23">
        <f t="shared" si="105"/>
        <v>0</v>
      </c>
      <c r="BP131" s="23">
        <f t="shared" si="106"/>
        <v>0</v>
      </c>
      <c r="BQ131" s="23">
        <f t="shared" si="107"/>
        <v>704.15</v>
      </c>
      <c r="BR131" s="23">
        <f t="shared" si="108"/>
        <v>1726.4</v>
      </c>
      <c r="BS131" s="23">
        <f t="shared" si="109"/>
        <v>3272.35</v>
      </c>
      <c r="BT131" s="23">
        <f t="shared" si="110"/>
        <v>1945.51</v>
      </c>
      <c r="BU131" s="23">
        <f t="shared" si="110"/>
        <v>230.21</v>
      </c>
      <c r="BV131" s="23">
        <f t="shared" si="110"/>
        <v>42675.28</v>
      </c>
      <c r="BW131" s="23">
        <f t="shared" si="110"/>
        <v>25684.61</v>
      </c>
      <c r="BX131" s="23">
        <f t="shared" si="110"/>
        <v>25473.439999999999</v>
      </c>
      <c r="BY131" t="s">
        <v>273</v>
      </c>
      <c r="CE131" t="s">
        <v>267</v>
      </c>
      <c r="CF131" t="s">
        <v>266</v>
      </c>
      <c r="CG131" t="s">
        <v>266</v>
      </c>
      <c r="CH131" t="s">
        <v>266</v>
      </c>
      <c r="CI131" t="s">
        <v>266</v>
      </c>
      <c r="CJ131" t="s">
        <v>267</v>
      </c>
      <c r="CK131" t="s">
        <v>267</v>
      </c>
      <c r="CL131" t="s">
        <v>267</v>
      </c>
      <c r="CM131" t="s">
        <v>267</v>
      </c>
      <c r="CN131" t="s">
        <v>267</v>
      </c>
      <c r="CO131" t="s">
        <v>266</v>
      </c>
    </row>
    <row r="132" spans="1:93" x14ac:dyDescent="0.25">
      <c r="A132" s="2" t="s">
        <v>138</v>
      </c>
      <c r="B132" s="17">
        <v>323.89999999999998</v>
      </c>
      <c r="C132" s="17">
        <v>81.25</v>
      </c>
      <c r="D132" s="17">
        <v>0</v>
      </c>
      <c r="E132" s="17">
        <v>82.6</v>
      </c>
      <c r="F132" s="17">
        <v>0</v>
      </c>
      <c r="G132" s="17">
        <v>0</v>
      </c>
      <c r="H132" s="17">
        <v>0</v>
      </c>
      <c r="I132" s="17">
        <v>0</v>
      </c>
      <c r="J132" s="17">
        <v>0</v>
      </c>
      <c r="K132" s="17">
        <v>0</v>
      </c>
      <c r="L132" s="17">
        <v>0.6</v>
      </c>
      <c r="M132" s="17">
        <v>0</v>
      </c>
      <c r="N132" s="17">
        <v>0</v>
      </c>
      <c r="O132" s="17">
        <v>245</v>
      </c>
      <c r="P132" s="17">
        <v>20.7</v>
      </c>
      <c r="Q132" s="17">
        <v>0</v>
      </c>
      <c r="R132" s="17">
        <v>103.75</v>
      </c>
      <c r="S132" s="17">
        <v>0</v>
      </c>
      <c r="T132" s="17">
        <v>272.95000000000005</v>
      </c>
      <c r="U132" s="17">
        <v>0</v>
      </c>
      <c r="V132" s="17">
        <f t="shared" si="111"/>
        <v>1130.75</v>
      </c>
      <c r="W132" s="18">
        <v>814.2</v>
      </c>
      <c r="X132" s="19">
        <v>1070.25</v>
      </c>
      <c r="Y132" s="19">
        <v>134.5</v>
      </c>
      <c r="Z132" s="19">
        <v>106.75</v>
      </c>
      <c r="AA132" s="19">
        <v>47.470830376153266</v>
      </c>
      <c r="AB132" s="17">
        <v>0</v>
      </c>
      <c r="AC132" s="17">
        <v>0</v>
      </c>
      <c r="AD132" s="17">
        <v>0</v>
      </c>
      <c r="AE132" s="19">
        <v>128.37837837837836</v>
      </c>
      <c r="AF132" s="19">
        <v>293.2</v>
      </c>
      <c r="AG132" s="24">
        <v>628.95079124546851</v>
      </c>
      <c r="AH132" s="17">
        <f t="shared" si="112"/>
        <v>316.54999999999995</v>
      </c>
      <c r="AI132" s="20">
        <v>74.873345935727926</v>
      </c>
      <c r="AJ132" s="21">
        <v>7582.9</v>
      </c>
      <c r="AK132" s="22">
        <v>4442.5556140518802</v>
      </c>
      <c r="AL132" s="22">
        <v>4296.7092466736849</v>
      </c>
      <c r="AM132" s="16">
        <v>17.3</v>
      </c>
      <c r="AN132" s="23">
        <f t="shared" si="78"/>
        <v>1872.25</v>
      </c>
      <c r="AO132" s="23">
        <f t="shared" si="79"/>
        <v>469.65</v>
      </c>
      <c r="AP132" s="23">
        <f t="shared" si="80"/>
        <v>0</v>
      </c>
      <c r="AQ132" s="23">
        <f t="shared" si="81"/>
        <v>477.46</v>
      </c>
      <c r="AR132" s="23">
        <f t="shared" si="82"/>
        <v>0</v>
      </c>
      <c r="AS132" s="23">
        <f t="shared" si="83"/>
        <v>0</v>
      </c>
      <c r="AT132" s="23">
        <f t="shared" si="84"/>
        <v>0</v>
      </c>
      <c r="AU132" s="23">
        <f t="shared" si="85"/>
        <v>0</v>
      </c>
      <c r="AV132" s="23">
        <f t="shared" si="86"/>
        <v>0</v>
      </c>
      <c r="AW132" s="23">
        <f t="shared" si="87"/>
        <v>0</v>
      </c>
      <c r="AX132" s="23">
        <f t="shared" si="88"/>
        <v>3.47</v>
      </c>
      <c r="AY132" s="23">
        <f t="shared" si="89"/>
        <v>0</v>
      </c>
      <c r="AZ132" s="23">
        <f t="shared" si="90"/>
        <v>0</v>
      </c>
      <c r="BA132" s="23">
        <f t="shared" si="91"/>
        <v>1416.18</v>
      </c>
      <c r="BB132" s="23">
        <f t="shared" si="92"/>
        <v>119.65</v>
      </c>
      <c r="BC132" s="23">
        <f t="shared" si="93"/>
        <v>0</v>
      </c>
      <c r="BD132" s="23">
        <f t="shared" si="94"/>
        <v>599.71</v>
      </c>
      <c r="BE132" s="23">
        <f t="shared" si="95"/>
        <v>0</v>
      </c>
      <c r="BF132" s="23">
        <f t="shared" si="96"/>
        <v>1577.75</v>
      </c>
      <c r="BG132" s="23">
        <f t="shared" si="97"/>
        <v>0</v>
      </c>
      <c r="BH132" s="23">
        <f t="shared" si="98"/>
        <v>6536.13</v>
      </c>
      <c r="BI132" s="23">
        <f t="shared" si="99"/>
        <v>4706.3599999999997</v>
      </c>
      <c r="BJ132" s="23">
        <f t="shared" si="100"/>
        <v>6186.42</v>
      </c>
      <c r="BK132" s="23">
        <f t="shared" si="101"/>
        <v>777.46</v>
      </c>
      <c r="BL132" s="23">
        <f t="shared" si="102"/>
        <v>617.04999999999995</v>
      </c>
      <c r="BM132" s="23">
        <f t="shared" si="103"/>
        <v>274.39999999999998</v>
      </c>
      <c r="BN132" s="23">
        <f t="shared" si="104"/>
        <v>0</v>
      </c>
      <c r="BO132" s="23">
        <f t="shared" si="105"/>
        <v>0</v>
      </c>
      <c r="BP132" s="23">
        <f t="shared" si="106"/>
        <v>0</v>
      </c>
      <c r="BQ132" s="23">
        <f t="shared" si="107"/>
        <v>742.07</v>
      </c>
      <c r="BR132" s="23">
        <f t="shared" si="108"/>
        <v>1694.8</v>
      </c>
      <c r="BS132" s="23">
        <f t="shared" si="109"/>
        <v>3635.55</v>
      </c>
      <c r="BT132" s="23">
        <f t="shared" si="110"/>
        <v>1829.77</v>
      </c>
      <c r="BU132" s="23">
        <f t="shared" si="110"/>
        <v>432.79</v>
      </c>
      <c r="BV132" s="23">
        <f t="shared" si="110"/>
        <v>43831.79</v>
      </c>
      <c r="BW132" s="23">
        <f t="shared" si="110"/>
        <v>25679.51</v>
      </c>
      <c r="BX132" s="23">
        <f t="shared" si="110"/>
        <v>24836.47</v>
      </c>
      <c r="BY132" t="s">
        <v>273</v>
      </c>
      <c r="CE132" t="s">
        <v>267</v>
      </c>
      <c r="CF132" t="s">
        <v>266</v>
      </c>
      <c r="CG132" t="s">
        <v>266</v>
      </c>
      <c r="CH132" t="s">
        <v>266</v>
      </c>
      <c r="CI132" t="s">
        <v>266</v>
      </c>
      <c r="CJ132" t="s">
        <v>267</v>
      </c>
      <c r="CK132" t="s">
        <v>267</v>
      </c>
      <c r="CL132" t="s">
        <v>267</v>
      </c>
      <c r="CM132" t="s">
        <v>267</v>
      </c>
      <c r="CN132" t="s">
        <v>267</v>
      </c>
      <c r="CO132" t="s">
        <v>266</v>
      </c>
    </row>
    <row r="133" spans="1:93" x14ac:dyDescent="0.25">
      <c r="A133" s="2" t="s">
        <v>139</v>
      </c>
      <c r="B133" s="17">
        <v>364.1</v>
      </c>
      <c r="C133" s="17">
        <v>83.75</v>
      </c>
      <c r="D133" s="17">
        <v>0</v>
      </c>
      <c r="E133" s="17">
        <v>65</v>
      </c>
      <c r="F133" s="17">
        <v>0</v>
      </c>
      <c r="G133" s="17">
        <v>0</v>
      </c>
      <c r="H133" s="17">
        <v>0</v>
      </c>
      <c r="I133" s="17">
        <v>0</v>
      </c>
      <c r="J133" s="17">
        <v>0</v>
      </c>
      <c r="K133" s="17">
        <v>0</v>
      </c>
      <c r="L133" s="17">
        <v>0.7</v>
      </c>
      <c r="M133" s="17">
        <v>0</v>
      </c>
      <c r="N133" s="17">
        <v>0</v>
      </c>
      <c r="O133" s="17">
        <v>256</v>
      </c>
      <c r="P133" s="17">
        <v>17.100000000000001</v>
      </c>
      <c r="Q133" s="17">
        <v>0</v>
      </c>
      <c r="R133" s="17">
        <v>64.849999999999909</v>
      </c>
      <c r="S133" s="17">
        <v>0</v>
      </c>
      <c r="T133" s="17">
        <v>289</v>
      </c>
      <c r="U133" s="17">
        <v>0</v>
      </c>
      <c r="V133" s="17">
        <f t="shared" si="111"/>
        <v>1140.5</v>
      </c>
      <c r="W133" s="18">
        <v>818.6</v>
      </c>
      <c r="X133" s="19">
        <v>1083.5</v>
      </c>
      <c r="Y133" s="19">
        <v>136.25</v>
      </c>
      <c r="Z133" s="19">
        <v>105</v>
      </c>
      <c r="AA133" s="19">
        <v>49.749006387508835</v>
      </c>
      <c r="AB133" s="17">
        <v>0</v>
      </c>
      <c r="AC133" s="17">
        <v>0</v>
      </c>
      <c r="AD133" s="17">
        <v>0</v>
      </c>
      <c r="AE133" s="19">
        <v>127.36486486486487</v>
      </c>
      <c r="AF133" s="19">
        <v>289.5</v>
      </c>
      <c r="AG133" s="24">
        <v>648.13612874762623</v>
      </c>
      <c r="AH133" s="17">
        <f t="shared" si="112"/>
        <v>321.89999999999998</v>
      </c>
      <c r="AI133" s="20">
        <v>80.1853062892759</v>
      </c>
      <c r="AJ133" s="21">
        <v>7648</v>
      </c>
      <c r="AK133" s="22">
        <v>4200.9877476787578</v>
      </c>
      <c r="AL133" s="22">
        <v>4155.391117067099</v>
      </c>
      <c r="AM133" s="16">
        <v>16.600000000000001</v>
      </c>
      <c r="AN133" s="23">
        <f t="shared" si="78"/>
        <v>2193.37</v>
      </c>
      <c r="AO133" s="23">
        <f t="shared" si="79"/>
        <v>504.52</v>
      </c>
      <c r="AP133" s="23">
        <f t="shared" si="80"/>
        <v>0</v>
      </c>
      <c r="AQ133" s="23">
        <f t="shared" si="81"/>
        <v>391.57</v>
      </c>
      <c r="AR133" s="23">
        <f t="shared" si="82"/>
        <v>0</v>
      </c>
      <c r="AS133" s="23">
        <f t="shared" si="83"/>
        <v>0</v>
      </c>
      <c r="AT133" s="23">
        <f t="shared" si="84"/>
        <v>0</v>
      </c>
      <c r="AU133" s="23">
        <f t="shared" si="85"/>
        <v>0</v>
      </c>
      <c r="AV133" s="23">
        <f t="shared" si="86"/>
        <v>0</v>
      </c>
      <c r="AW133" s="23">
        <f t="shared" si="87"/>
        <v>0</v>
      </c>
      <c r="AX133" s="23">
        <f t="shared" si="88"/>
        <v>4.22</v>
      </c>
      <c r="AY133" s="23">
        <f t="shared" si="89"/>
        <v>0</v>
      </c>
      <c r="AZ133" s="23">
        <f t="shared" si="90"/>
        <v>0</v>
      </c>
      <c r="BA133" s="23">
        <f t="shared" si="91"/>
        <v>1542.17</v>
      </c>
      <c r="BB133" s="23">
        <f t="shared" si="92"/>
        <v>103.01</v>
      </c>
      <c r="BC133" s="23">
        <f t="shared" si="93"/>
        <v>0</v>
      </c>
      <c r="BD133" s="23">
        <f t="shared" si="94"/>
        <v>390.66</v>
      </c>
      <c r="BE133" s="23">
        <f t="shared" si="95"/>
        <v>0</v>
      </c>
      <c r="BF133" s="23">
        <f t="shared" si="96"/>
        <v>1740.96</v>
      </c>
      <c r="BG133" s="23">
        <f t="shared" si="97"/>
        <v>0</v>
      </c>
      <c r="BH133" s="23">
        <f t="shared" si="98"/>
        <v>6870.48</v>
      </c>
      <c r="BI133" s="23">
        <f t="shared" si="99"/>
        <v>4931.33</v>
      </c>
      <c r="BJ133" s="23">
        <f t="shared" si="100"/>
        <v>6527.11</v>
      </c>
      <c r="BK133" s="23">
        <f t="shared" si="101"/>
        <v>820.78</v>
      </c>
      <c r="BL133" s="23">
        <f t="shared" si="102"/>
        <v>632.53</v>
      </c>
      <c r="BM133" s="23">
        <f t="shared" si="103"/>
        <v>299.69</v>
      </c>
      <c r="BN133" s="23">
        <f t="shared" si="104"/>
        <v>0</v>
      </c>
      <c r="BO133" s="23">
        <f t="shared" si="105"/>
        <v>0</v>
      </c>
      <c r="BP133" s="23">
        <f t="shared" si="106"/>
        <v>0</v>
      </c>
      <c r="BQ133" s="23">
        <f t="shared" si="107"/>
        <v>767.26</v>
      </c>
      <c r="BR133" s="23">
        <f t="shared" si="108"/>
        <v>1743.98</v>
      </c>
      <c r="BS133" s="23">
        <f t="shared" si="109"/>
        <v>3904.43</v>
      </c>
      <c r="BT133" s="23">
        <f t="shared" si="110"/>
        <v>1939.16</v>
      </c>
      <c r="BU133" s="23">
        <f t="shared" si="110"/>
        <v>483.04</v>
      </c>
      <c r="BV133" s="23">
        <f t="shared" si="110"/>
        <v>46072.29</v>
      </c>
      <c r="BW133" s="23">
        <f t="shared" si="110"/>
        <v>25307.16</v>
      </c>
      <c r="BX133" s="23">
        <f t="shared" si="110"/>
        <v>25032.48</v>
      </c>
      <c r="BY133" t="s">
        <v>274</v>
      </c>
      <c r="CE133" t="s">
        <v>267</v>
      </c>
      <c r="CF133" t="s">
        <v>266</v>
      </c>
      <c r="CG133" t="s">
        <v>266</v>
      </c>
      <c r="CH133" t="s">
        <v>266</v>
      </c>
      <c r="CI133" t="s">
        <v>266</v>
      </c>
      <c r="CJ133" t="s">
        <v>267</v>
      </c>
      <c r="CK133" t="s">
        <v>267</v>
      </c>
      <c r="CL133" t="s">
        <v>267</v>
      </c>
      <c r="CM133" t="s">
        <v>267</v>
      </c>
      <c r="CN133" t="s">
        <v>267</v>
      </c>
      <c r="CO133" t="s">
        <v>266</v>
      </c>
    </row>
    <row r="134" spans="1:93" x14ac:dyDescent="0.25">
      <c r="A134" s="2" t="s">
        <v>140</v>
      </c>
      <c r="B134" s="17">
        <v>312.2</v>
      </c>
      <c r="C134" s="17">
        <v>89.25</v>
      </c>
      <c r="D134" s="17">
        <v>0</v>
      </c>
      <c r="E134" s="17">
        <v>77.099999999999994</v>
      </c>
      <c r="F134" s="17">
        <v>0</v>
      </c>
      <c r="G134" s="17">
        <v>0</v>
      </c>
      <c r="H134" s="17">
        <v>0</v>
      </c>
      <c r="I134" s="17">
        <v>0</v>
      </c>
      <c r="J134" s="17">
        <v>0</v>
      </c>
      <c r="K134" s="17">
        <v>0</v>
      </c>
      <c r="L134" s="17">
        <v>0.6</v>
      </c>
      <c r="M134" s="17">
        <v>0</v>
      </c>
      <c r="N134" s="17">
        <v>0</v>
      </c>
      <c r="O134" s="17">
        <v>283</v>
      </c>
      <c r="P134" s="17">
        <v>19.2</v>
      </c>
      <c r="Q134" s="17">
        <v>0</v>
      </c>
      <c r="R134" s="17">
        <v>45.650000000000091</v>
      </c>
      <c r="S134" s="17">
        <v>0</v>
      </c>
      <c r="T134" s="17">
        <v>338.75</v>
      </c>
      <c r="U134" s="17">
        <v>0</v>
      </c>
      <c r="V134" s="17">
        <f t="shared" si="111"/>
        <v>1165.75</v>
      </c>
      <c r="W134" s="18">
        <v>833</v>
      </c>
      <c r="X134" s="19">
        <v>1065.5</v>
      </c>
      <c r="Y134" s="19">
        <v>112.75</v>
      </c>
      <c r="Z134" s="19">
        <v>102</v>
      </c>
      <c r="AA134" s="19">
        <v>51.126508161816858</v>
      </c>
      <c r="AB134" s="17">
        <v>0</v>
      </c>
      <c r="AC134" s="17">
        <v>0</v>
      </c>
      <c r="AD134" s="17">
        <v>0</v>
      </c>
      <c r="AE134" s="19">
        <v>124.32432432432431</v>
      </c>
      <c r="AF134" s="19">
        <v>282.2</v>
      </c>
      <c r="AG134" s="24">
        <v>618.59916751385879</v>
      </c>
      <c r="AH134" s="17">
        <f t="shared" si="112"/>
        <v>332.75</v>
      </c>
      <c r="AI134" s="20">
        <v>12.647524651305462</v>
      </c>
      <c r="AJ134" s="21">
        <v>7859.7</v>
      </c>
      <c r="AK134" s="22">
        <v>4151.0537235570009</v>
      </c>
      <c r="AL134" s="22">
        <v>4187.9755671484618</v>
      </c>
      <c r="AM134" s="16">
        <v>16.2</v>
      </c>
      <c r="AN134" s="23">
        <f t="shared" si="78"/>
        <v>1927.16</v>
      </c>
      <c r="AO134" s="23">
        <f t="shared" si="79"/>
        <v>550.92999999999995</v>
      </c>
      <c r="AP134" s="23">
        <f t="shared" si="80"/>
        <v>0</v>
      </c>
      <c r="AQ134" s="23">
        <f t="shared" si="81"/>
        <v>475.93</v>
      </c>
      <c r="AR134" s="23">
        <f t="shared" si="82"/>
        <v>0</v>
      </c>
      <c r="AS134" s="23">
        <f t="shared" si="83"/>
        <v>0</v>
      </c>
      <c r="AT134" s="23">
        <f t="shared" si="84"/>
        <v>0</v>
      </c>
      <c r="AU134" s="23">
        <f t="shared" si="85"/>
        <v>0</v>
      </c>
      <c r="AV134" s="23">
        <f t="shared" si="86"/>
        <v>0</v>
      </c>
      <c r="AW134" s="23">
        <f t="shared" si="87"/>
        <v>0</v>
      </c>
      <c r="AX134" s="23">
        <f t="shared" si="88"/>
        <v>3.7</v>
      </c>
      <c r="AY134" s="23">
        <f t="shared" si="89"/>
        <v>0</v>
      </c>
      <c r="AZ134" s="23">
        <f t="shared" si="90"/>
        <v>0</v>
      </c>
      <c r="BA134" s="23">
        <f t="shared" si="91"/>
        <v>1746.91</v>
      </c>
      <c r="BB134" s="23">
        <f t="shared" si="92"/>
        <v>118.52</v>
      </c>
      <c r="BC134" s="23">
        <f t="shared" si="93"/>
        <v>0</v>
      </c>
      <c r="BD134" s="23">
        <f t="shared" si="94"/>
        <v>281.79000000000002</v>
      </c>
      <c r="BE134" s="23">
        <f t="shared" si="95"/>
        <v>0</v>
      </c>
      <c r="BF134" s="23">
        <f t="shared" si="96"/>
        <v>2091.0500000000002</v>
      </c>
      <c r="BG134" s="23">
        <f t="shared" si="97"/>
        <v>0</v>
      </c>
      <c r="BH134" s="23">
        <f t="shared" si="98"/>
        <v>7195.99</v>
      </c>
      <c r="BI134" s="23">
        <f t="shared" si="99"/>
        <v>5141.9799999999996</v>
      </c>
      <c r="BJ134" s="23">
        <f t="shared" si="100"/>
        <v>6577.16</v>
      </c>
      <c r="BK134" s="23">
        <f t="shared" si="101"/>
        <v>695.99</v>
      </c>
      <c r="BL134" s="23">
        <f t="shared" si="102"/>
        <v>629.63</v>
      </c>
      <c r="BM134" s="23">
        <f t="shared" si="103"/>
        <v>315.60000000000002</v>
      </c>
      <c r="BN134" s="23">
        <f t="shared" si="104"/>
        <v>0</v>
      </c>
      <c r="BO134" s="23">
        <f t="shared" si="105"/>
        <v>0</v>
      </c>
      <c r="BP134" s="23">
        <f t="shared" si="106"/>
        <v>0</v>
      </c>
      <c r="BQ134" s="23">
        <f t="shared" si="107"/>
        <v>767.43</v>
      </c>
      <c r="BR134" s="23">
        <f t="shared" si="108"/>
        <v>1741.98</v>
      </c>
      <c r="BS134" s="23">
        <f t="shared" si="109"/>
        <v>3818.51</v>
      </c>
      <c r="BT134" s="23">
        <f t="shared" si="110"/>
        <v>2054.0100000000002</v>
      </c>
      <c r="BU134" s="23">
        <f t="shared" si="110"/>
        <v>78.069999999999993</v>
      </c>
      <c r="BV134" s="23">
        <f t="shared" si="110"/>
        <v>48516.67</v>
      </c>
      <c r="BW134" s="23">
        <f t="shared" si="110"/>
        <v>25623.79</v>
      </c>
      <c r="BX134" s="23">
        <f t="shared" si="110"/>
        <v>25851.7</v>
      </c>
      <c r="BY134" t="s">
        <v>274</v>
      </c>
      <c r="CE134" t="s">
        <v>267</v>
      </c>
      <c r="CF134" t="s">
        <v>266</v>
      </c>
      <c r="CG134" t="s">
        <v>266</v>
      </c>
      <c r="CH134" t="s">
        <v>266</v>
      </c>
      <c r="CI134" t="s">
        <v>266</v>
      </c>
      <c r="CJ134" t="s">
        <v>267</v>
      </c>
      <c r="CK134" t="s">
        <v>267</v>
      </c>
      <c r="CL134" t="s">
        <v>267</v>
      </c>
      <c r="CM134" t="s">
        <v>267</v>
      </c>
      <c r="CN134" t="s">
        <v>267</v>
      </c>
      <c r="CO134" t="s">
        <v>266</v>
      </c>
    </row>
    <row r="135" spans="1:93" x14ac:dyDescent="0.25">
      <c r="A135" s="2" t="s">
        <v>141</v>
      </c>
      <c r="B135" s="17">
        <v>281.5</v>
      </c>
      <c r="C135" s="17">
        <v>91</v>
      </c>
      <c r="D135" s="17">
        <v>0</v>
      </c>
      <c r="E135" s="17">
        <v>85.3</v>
      </c>
      <c r="F135" s="17">
        <v>0</v>
      </c>
      <c r="G135" s="17">
        <v>0</v>
      </c>
      <c r="H135" s="17">
        <v>0</v>
      </c>
      <c r="I135" s="17">
        <v>0</v>
      </c>
      <c r="J135" s="17">
        <v>0</v>
      </c>
      <c r="K135" s="17">
        <v>0</v>
      </c>
      <c r="L135" s="17">
        <v>0.6</v>
      </c>
      <c r="M135" s="17">
        <v>0</v>
      </c>
      <c r="N135" s="17">
        <v>0</v>
      </c>
      <c r="O135" s="17">
        <v>286</v>
      </c>
      <c r="P135" s="17">
        <v>22.7</v>
      </c>
      <c r="Q135" s="17">
        <v>0</v>
      </c>
      <c r="R135" s="17">
        <v>42.299999999999955</v>
      </c>
      <c r="S135" s="17">
        <v>0</v>
      </c>
      <c r="T135" s="17">
        <v>339.6</v>
      </c>
      <c r="U135" s="17">
        <v>0</v>
      </c>
      <c r="V135" s="17">
        <f t="shared" si="111"/>
        <v>1149</v>
      </c>
      <c r="W135" s="18">
        <v>770.5</v>
      </c>
      <c r="X135" s="19">
        <v>1034.25</v>
      </c>
      <c r="Y135" s="19">
        <v>94.75</v>
      </c>
      <c r="Z135" s="19">
        <v>104</v>
      </c>
      <c r="AA135" s="19">
        <v>52.34506742370472</v>
      </c>
      <c r="AB135" s="17">
        <v>0</v>
      </c>
      <c r="AC135" s="17">
        <v>0</v>
      </c>
      <c r="AD135" s="17">
        <v>0</v>
      </c>
      <c r="AE135" s="19">
        <v>126.01351351351347</v>
      </c>
      <c r="AF135" s="19">
        <v>216.3</v>
      </c>
      <c r="AG135" s="24">
        <v>630.34141906278171</v>
      </c>
      <c r="AH135" s="17">
        <f t="shared" si="112"/>
        <v>378.5</v>
      </c>
      <c r="AI135" s="20">
        <v>20.2360394420886</v>
      </c>
      <c r="AJ135" s="21">
        <v>8030.4</v>
      </c>
      <c r="AK135" s="22">
        <v>4259.9782473437335</v>
      </c>
      <c r="AL135" s="22">
        <v>4367.0617641428144</v>
      </c>
      <c r="AM135" s="16">
        <v>15.8</v>
      </c>
      <c r="AN135" s="23">
        <f t="shared" si="78"/>
        <v>1781.65</v>
      </c>
      <c r="AO135" s="23">
        <f t="shared" si="79"/>
        <v>575.95000000000005</v>
      </c>
      <c r="AP135" s="23">
        <f t="shared" si="80"/>
        <v>0</v>
      </c>
      <c r="AQ135" s="23">
        <f t="shared" si="81"/>
        <v>539.87</v>
      </c>
      <c r="AR135" s="23">
        <f t="shared" si="82"/>
        <v>0</v>
      </c>
      <c r="AS135" s="23">
        <f t="shared" si="83"/>
        <v>0</v>
      </c>
      <c r="AT135" s="23">
        <f t="shared" si="84"/>
        <v>0</v>
      </c>
      <c r="AU135" s="23">
        <f t="shared" si="85"/>
        <v>0</v>
      </c>
      <c r="AV135" s="23">
        <f t="shared" si="86"/>
        <v>0</v>
      </c>
      <c r="AW135" s="23">
        <f t="shared" si="87"/>
        <v>0</v>
      </c>
      <c r="AX135" s="23">
        <f t="shared" si="88"/>
        <v>3.8</v>
      </c>
      <c r="AY135" s="23">
        <f t="shared" si="89"/>
        <v>0</v>
      </c>
      <c r="AZ135" s="23">
        <f t="shared" si="90"/>
        <v>0</v>
      </c>
      <c r="BA135" s="23">
        <f t="shared" si="91"/>
        <v>1810.13</v>
      </c>
      <c r="BB135" s="23">
        <f t="shared" si="92"/>
        <v>143.66999999999999</v>
      </c>
      <c r="BC135" s="23">
        <f t="shared" si="93"/>
        <v>0</v>
      </c>
      <c r="BD135" s="23">
        <f t="shared" si="94"/>
        <v>267.72000000000003</v>
      </c>
      <c r="BE135" s="23">
        <f t="shared" si="95"/>
        <v>0</v>
      </c>
      <c r="BF135" s="23">
        <f t="shared" si="96"/>
        <v>2149.37</v>
      </c>
      <c r="BG135" s="23">
        <f t="shared" si="97"/>
        <v>0</v>
      </c>
      <c r="BH135" s="23">
        <f t="shared" si="98"/>
        <v>7272.15</v>
      </c>
      <c r="BI135" s="23">
        <f t="shared" si="99"/>
        <v>4876.58</v>
      </c>
      <c r="BJ135" s="23">
        <f t="shared" si="100"/>
        <v>6545.89</v>
      </c>
      <c r="BK135" s="23">
        <f t="shared" si="101"/>
        <v>599.67999999999995</v>
      </c>
      <c r="BL135" s="23">
        <f t="shared" si="102"/>
        <v>658.23</v>
      </c>
      <c r="BM135" s="23">
        <f t="shared" si="103"/>
        <v>331.3</v>
      </c>
      <c r="BN135" s="23">
        <f t="shared" si="104"/>
        <v>0</v>
      </c>
      <c r="BO135" s="23">
        <f t="shared" si="105"/>
        <v>0</v>
      </c>
      <c r="BP135" s="23">
        <f t="shared" si="106"/>
        <v>0</v>
      </c>
      <c r="BQ135" s="23">
        <f t="shared" si="107"/>
        <v>797.55</v>
      </c>
      <c r="BR135" s="23">
        <f t="shared" si="108"/>
        <v>1368.99</v>
      </c>
      <c r="BS135" s="23">
        <f t="shared" si="109"/>
        <v>3989.5</v>
      </c>
      <c r="BT135" s="23">
        <f t="shared" si="110"/>
        <v>2395.5700000000002</v>
      </c>
      <c r="BU135" s="23">
        <f t="shared" si="110"/>
        <v>128.08000000000001</v>
      </c>
      <c r="BV135" s="23">
        <f t="shared" si="110"/>
        <v>50825.32</v>
      </c>
      <c r="BW135" s="23">
        <f t="shared" si="110"/>
        <v>26961.89</v>
      </c>
      <c r="BX135" s="23">
        <f t="shared" si="110"/>
        <v>27639.63</v>
      </c>
      <c r="BY135" t="s">
        <v>274</v>
      </c>
      <c r="CE135" t="s">
        <v>267</v>
      </c>
      <c r="CF135" t="s">
        <v>266</v>
      </c>
      <c r="CG135" t="s">
        <v>266</v>
      </c>
      <c r="CH135" t="s">
        <v>266</v>
      </c>
      <c r="CI135" t="s">
        <v>266</v>
      </c>
      <c r="CJ135" t="s">
        <v>267</v>
      </c>
      <c r="CK135" t="s">
        <v>267</v>
      </c>
      <c r="CL135" t="s">
        <v>267</v>
      </c>
      <c r="CM135" t="s">
        <v>267</v>
      </c>
      <c r="CN135" t="s">
        <v>267</v>
      </c>
      <c r="CO135" t="s">
        <v>266</v>
      </c>
    </row>
    <row r="136" spans="1:93" x14ac:dyDescent="0.25">
      <c r="A136" s="2" t="s">
        <v>142</v>
      </c>
      <c r="B136" s="17">
        <v>280</v>
      </c>
      <c r="C136" s="17">
        <v>95</v>
      </c>
      <c r="D136" s="17">
        <v>0</v>
      </c>
      <c r="E136" s="17">
        <v>81.400000000000006</v>
      </c>
      <c r="F136" s="17">
        <v>0</v>
      </c>
      <c r="G136" s="17">
        <v>0</v>
      </c>
      <c r="H136" s="17">
        <v>0</v>
      </c>
      <c r="I136" s="17">
        <v>0</v>
      </c>
      <c r="J136" s="17">
        <v>0</v>
      </c>
      <c r="K136" s="17">
        <v>0</v>
      </c>
      <c r="L136" s="17">
        <v>0.6</v>
      </c>
      <c r="M136" s="17">
        <v>0</v>
      </c>
      <c r="N136" s="17">
        <v>0</v>
      </c>
      <c r="O136" s="17">
        <v>290</v>
      </c>
      <c r="P136" s="17">
        <v>24.1</v>
      </c>
      <c r="Q136" s="17">
        <v>0</v>
      </c>
      <c r="R136" s="17">
        <v>33.5</v>
      </c>
      <c r="S136" s="17">
        <v>0</v>
      </c>
      <c r="T136" s="17">
        <v>356.9</v>
      </c>
      <c r="U136" s="17">
        <v>0</v>
      </c>
      <c r="V136" s="17">
        <f t="shared" si="111"/>
        <v>1161.5</v>
      </c>
      <c r="W136" s="18">
        <v>784.7</v>
      </c>
      <c r="X136" s="19">
        <v>1046.5</v>
      </c>
      <c r="Y136" s="19">
        <v>101.5</v>
      </c>
      <c r="Z136" s="19">
        <v>115</v>
      </c>
      <c r="AA136" s="19">
        <v>54.199396735273211</v>
      </c>
      <c r="AB136" s="17">
        <v>0</v>
      </c>
      <c r="AC136" s="17">
        <v>0</v>
      </c>
      <c r="AD136" s="17">
        <v>0</v>
      </c>
      <c r="AE136" s="19">
        <v>133.1081081081081</v>
      </c>
      <c r="AF136" s="19">
        <v>211.7</v>
      </c>
      <c r="AG136" s="24">
        <v>633.99249515661859</v>
      </c>
      <c r="AH136" s="17">
        <f t="shared" si="112"/>
        <v>376.79999999999995</v>
      </c>
      <c r="AI136" s="20">
        <v>13.6593266234096</v>
      </c>
      <c r="AJ136" s="21">
        <v>7902.4</v>
      </c>
      <c r="AK136" s="22">
        <v>4470.1814157174285</v>
      </c>
      <c r="AL136" s="22">
        <v>4569.3372020675779</v>
      </c>
      <c r="AM136" s="16">
        <v>15.8</v>
      </c>
      <c r="AN136" s="23">
        <f t="shared" si="78"/>
        <v>1772.15</v>
      </c>
      <c r="AO136" s="23">
        <f t="shared" si="79"/>
        <v>601.27</v>
      </c>
      <c r="AP136" s="23">
        <f t="shared" si="80"/>
        <v>0</v>
      </c>
      <c r="AQ136" s="23">
        <f t="shared" si="81"/>
        <v>515.19000000000005</v>
      </c>
      <c r="AR136" s="23">
        <f t="shared" si="82"/>
        <v>0</v>
      </c>
      <c r="AS136" s="23">
        <f t="shared" si="83"/>
        <v>0</v>
      </c>
      <c r="AT136" s="23">
        <f t="shared" si="84"/>
        <v>0</v>
      </c>
      <c r="AU136" s="23">
        <f t="shared" si="85"/>
        <v>0</v>
      </c>
      <c r="AV136" s="23">
        <f t="shared" si="86"/>
        <v>0</v>
      </c>
      <c r="AW136" s="23">
        <f t="shared" si="87"/>
        <v>0</v>
      </c>
      <c r="AX136" s="23">
        <f t="shared" si="88"/>
        <v>3.8</v>
      </c>
      <c r="AY136" s="23">
        <f t="shared" si="89"/>
        <v>0</v>
      </c>
      <c r="AZ136" s="23">
        <f t="shared" si="90"/>
        <v>0</v>
      </c>
      <c r="BA136" s="23">
        <f t="shared" si="91"/>
        <v>1835.44</v>
      </c>
      <c r="BB136" s="23">
        <f t="shared" si="92"/>
        <v>152.53</v>
      </c>
      <c r="BC136" s="23">
        <f t="shared" si="93"/>
        <v>0</v>
      </c>
      <c r="BD136" s="23">
        <f t="shared" si="94"/>
        <v>212.03</v>
      </c>
      <c r="BE136" s="23">
        <f t="shared" si="95"/>
        <v>0</v>
      </c>
      <c r="BF136" s="23">
        <f t="shared" si="96"/>
        <v>2258.86</v>
      </c>
      <c r="BG136" s="23">
        <f t="shared" si="97"/>
        <v>0</v>
      </c>
      <c r="BH136" s="23">
        <f t="shared" si="98"/>
        <v>7351.27</v>
      </c>
      <c r="BI136" s="23">
        <f t="shared" si="99"/>
        <v>4966.46</v>
      </c>
      <c r="BJ136" s="23">
        <f t="shared" si="100"/>
        <v>6623.42</v>
      </c>
      <c r="BK136" s="23">
        <f t="shared" si="101"/>
        <v>642.41</v>
      </c>
      <c r="BL136" s="23">
        <f t="shared" si="102"/>
        <v>727.85</v>
      </c>
      <c r="BM136" s="23">
        <f t="shared" si="103"/>
        <v>343.03</v>
      </c>
      <c r="BN136" s="23">
        <f t="shared" si="104"/>
        <v>0</v>
      </c>
      <c r="BO136" s="23">
        <f t="shared" si="105"/>
        <v>0</v>
      </c>
      <c r="BP136" s="23">
        <f t="shared" si="106"/>
        <v>0</v>
      </c>
      <c r="BQ136" s="23">
        <f t="shared" si="107"/>
        <v>842.46</v>
      </c>
      <c r="BR136" s="23">
        <f t="shared" si="108"/>
        <v>1339.87</v>
      </c>
      <c r="BS136" s="23">
        <f t="shared" si="109"/>
        <v>4012.61</v>
      </c>
      <c r="BT136" s="23">
        <f t="shared" si="110"/>
        <v>2384.81</v>
      </c>
      <c r="BU136" s="23">
        <f t="shared" si="110"/>
        <v>86.45</v>
      </c>
      <c r="BV136" s="23">
        <f t="shared" si="110"/>
        <v>50015.19</v>
      </c>
      <c r="BW136" s="23">
        <f t="shared" si="110"/>
        <v>28292.29</v>
      </c>
      <c r="BX136" s="23">
        <f t="shared" si="110"/>
        <v>28919.86</v>
      </c>
      <c r="BY136" t="s">
        <v>274</v>
      </c>
      <c r="CE136" t="s">
        <v>267</v>
      </c>
      <c r="CF136" t="s">
        <v>266</v>
      </c>
      <c r="CG136" t="s">
        <v>266</v>
      </c>
      <c r="CH136" t="s">
        <v>266</v>
      </c>
      <c r="CI136" t="s">
        <v>266</v>
      </c>
      <c r="CJ136" t="s">
        <v>267</v>
      </c>
      <c r="CK136" t="s">
        <v>267</v>
      </c>
      <c r="CL136" t="s">
        <v>267</v>
      </c>
      <c r="CM136" t="s">
        <v>267</v>
      </c>
      <c r="CN136" t="s">
        <v>267</v>
      </c>
      <c r="CO136" t="s">
        <v>266</v>
      </c>
    </row>
    <row r="137" spans="1:93" x14ac:dyDescent="0.25">
      <c r="A137" s="2" t="s">
        <v>143</v>
      </c>
      <c r="B137" s="17">
        <v>289.10000000000002</v>
      </c>
      <c r="C137" s="17">
        <v>99.5</v>
      </c>
      <c r="D137" s="17">
        <v>0</v>
      </c>
      <c r="E137" s="17">
        <v>87.9</v>
      </c>
      <c r="F137" s="17">
        <v>0</v>
      </c>
      <c r="G137" s="17">
        <v>0</v>
      </c>
      <c r="H137" s="17">
        <v>0</v>
      </c>
      <c r="I137" s="17">
        <v>0</v>
      </c>
      <c r="J137" s="17">
        <v>0</v>
      </c>
      <c r="K137" s="17">
        <v>0</v>
      </c>
      <c r="L137" s="17">
        <v>0.6</v>
      </c>
      <c r="M137" s="17">
        <v>0</v>
      </c>
      <c r="N137" s="17">
        <v>0</v>
      </c>
      <c r="O137" s="17">
        <v>304</v>
      </c>
      <c r="P137" s="17">
        <v>25.8</v>
      </c>
      <c r="Q137" s="17">
        <v>0</v>
      </c>
      <c r="R137" s="17">
        <v>37.899999999999864</v>
      </c>
      <c r="S137" s="17">
        <v>0</v>
      </c>
      <c r="T137" s="17">
        <v>346.95000000000005</v>
      </c>
      <c r="U137" s="17">
        <v>0</v>
      </c>
      <c r="V137" s="17">
        <f t="shared" si="111"/>
        <v>1191.75</v>
      </c>
      <c r="W137" s="18">
        <v>829.4</v>
      </c>
      <c r="X137" s="19">
        <v>1090.75</v>
      </c>
      <c r="Y137" s="19">
        <v>121.25</v>
      </c>
      <c r="Z137" s="19">
        <v>140.5</v>
      </c>
      <c r="AA137" s="19">
        <v>56.848438608942473</v>
      </c>
      <c r="AB137" s="17">
        <v>0</v>
      </c>
      <c r="AC137" s="17">
        <v>0</v>
      </c>
      <c r="AD137" s="17">
        <v>0</v>
      </c>
      <c r="AE137" s="19">
        <v>140.54054054054052</v>
      </c>
      <c r="AF137" s="19">
        <v>211.5</v>
      </c>
      <c r="AG137" s="24">
        <v>662.61102085051687</v>
      </c>
      <c r="AH137" s="17">
        <f t="shared" si="112"/>
        <v>362.35</v>
      </c>
      <c r="AI137" s="20">
        <v>20.48898993511483</v>
      </c>
      <c r="AJ137" s="21">
        <v>7901.6</v>
      </c>
      <c r="AK137" s="22">
        <v>4684.3303819278244</v>
      </c>
      <c r="AL137" s="22">
        <v>4815.1609552981699</v>
      </c>
      <c r="AM137" s="16">
        <v>15.9</v>
      </c>
      <c r="AN137" s="23">
        <f t="shared" si="78"/>
        <v>1818.24</v>
      </c>
      <c r="AO137" s="23">
        <f t="shared" si="79"/>
        <v>625.79</v>
      </c>
      <c r="AP137" s="23">
        <f t="shared" si="80"/>
        <v>0</v>
      </c>
      <c r="AQ137" s="23">
        <f t="shared" si="81"/>
        <v>552.83000000000004</v>
      </c>
      <c r="AR137" s="23">
        <f t="shared" si="82"/>
        <v>0</v>
      </c>
      <c r="AS137" s="23">
        <f t="shared" si="83"/>
        <v>0</v>
      </c>
      <c r="AT137" s="23">
        <f t="shared" si="84"/>
        <v>0</v>
      </c>
      <c r="AU137" s="23">
        <f t="shared" si="85"/>
        <v>0</v>
      </c>
      <c r="AV137" s="23">
        <f t="shared" si="86"/>
        <v>0</v>
      </c>
      <c r="AW137" s="23">
        <f t="shared" si="87"/>
        <v>0</v>
      </c>
      <c r="AX137" s="23">
        <f t="shared" si="88"/>
        <v>3.77</v>
      </c>
      <c r="AY137" s="23">
        <f t="shared" si="89"/>
        <v>0</v>
      </c>
      <c r="AZ137" s="23">
        <f t="shared" si="90"/>
        <v>0</v>
      </c>
      <c r="BA137" s="23">
        <f t="shared" si="91"/>
        <v>1911.95</v>
      </c>
      <c r="BB137" s="23">
        <f t="shared" si="92"/>
        <v>162.26</v>
      </c>
      <c r="BC137" s="23">
        <f t="shared" si="93"/>
        <v>0</v>
      </c>
      <c r="BD137" s="23">
        <f t="shared" si="94"/>
        <v>238.36</v>
      </c>
      <c r="BE137" s="23">
        <f t="shared" si="95"/>
        <v>0</v>
      </c>
      <c r="BF137" s="23">
        <f t="shared" si="96"/>
        <v>2182.08</v>
      </c>
      <c r="BG137" s="23">
        <f t="shared" si="97"/>
        <v>0</v>
      </c>
      <c r="BH137" s="23">
        <f t="shared" si="98"/>
        <v>7495.28</v>
      </c>
      <c r="BI137" s="23">
        <f t="shared" si="99"/>
        <v>5216.3500000000004</v>
      </c>
      <c r="BJ137" s="23">
        <f t="shared" si="100"/>
        <v>6860.06</v>
      </c>
      <c r="BK137" s="23">
        <f t="shared" si="101"/>
        <v>762.58</v>
      </c>
      <c r="BL137" s="23">
        <f t="shared" si="102"/>
        <v>883.65</v>
      </c>
      <c r="BM137" s="23">
        <f t="shared" si="103"/>
        <v>357.54</v>
      </c>
      <c r="BN137" s="23">
        <f t="shared" si="104"/>
        <v>0</v>
      </c>
      <c r="BO137" s="23">
        <f t="shared" si="105"/>
        <v>0</v>
      </c>
      <c r="BP137" s="23">
        <f t="shared" si="106"/>
        <v>0</v>
      </c>
      <c r="BQ137" s="23">
        <f t="shared" si="107"/>
        <v>883.9</v>
      </c>
      <c r="BR137" s="23">
        <f t="shared" si="108"/>
        <v>1330.19</v>
      </c>
      <c r="BS137" s="23">
        <f t="shared" si="109"/>
        <v>4167.3599999999997</v>
      </c>
      <c r="BT137" s="23">
        <f t="shared" si="110"/>
        <v>2278.9299999999998</v>
      </c>
      <c r="BU137" s="23">
        <f t="shared" si="110"/>
        <v>128.86000000000001</v>
      </c>
      <c r="BV137" s="23">
        <f t="shared" si="110"/>
        <v>49695.6</v>
      </c>
      <c r="BW137" s="23">
        <f t="shared" si="110"/>
        <v>29461.200000000001</v>
      </c>
      <c r="BX137" s="23">
        <f t="shared" si="110"/>
        <v>30284.03</v>
      </c>
      <c r="BY137" t="s">
        <v>274</v>
      </c>
      <c r="CE137" t="s">
        <v>267</v>
      </c>
      <c r="CF137" t="s">
        <v>266</v>
      </c>
      <c r="CG137" t="s">
        <v>266</v>
      </c>
      <c r="CH137" t="s">
        <v>266</v>
      </c>
      <c r="CI137" t="s">
        <v>266</v>
      </c>
      <c r="CJ137" t="s">
        <v>267</v>
      </c>
      <c r="CK137" t="s">
        <v>267</v>
      </c>
      <c r="CL137" t="s">
        <v>267</v>
      </c>
      <c r="CM137" t="s">
        <v>267</v>
      </c>
      <c r="CN137" t="s">
        <v>267</v>
      </c>
      <c r="CO137" t="s">
        <v>266</v>
      </c>
    </row>
    <row r="138" spans="1:93" x14ac:dyDescent="0.25">
      <c r="A138" s="2" t="s">
        <v>144</v>
      </c>
      <c r="B138" s="17">
        <v>310.8</v>
      </c>
      <c r="C138" s="17">
        <v>104.75</v>
      </c>
      <c r="D138" s="17">
        <v>0</v>
      </c>
      <c r="E138" s="17">
        <v>88</v>
      </c>
      <c r="F138" s="17">
        <v>0</v>
      </c>
      <c r="G138" s="17">
        <v>0</v>
      </c>
      <c r="H138" s="17">
        <v>0</v>
      </c>
      <c r="I138" s="17">
        <v>0</v>
      </c>
      <c r="J138" s="17">
        <v>0</v>
      </c>
      <c r="K138" s="17">
        <v>0</v>
      </c>
      <c r="L138" s="17">
        <v>0.5</v>
      </c>
      <c r="M138" s="17">
        <v>0</v>
      </c>
      <c r="N138" s="17">
        <v>0</v>
      </c>
      <c r="O138" s="17">
        <v>321</v>
      </c>
      <c r="P138" s="17">
        <v>29.1</v>
      </c>
      <c r="Q138" s="17">
        <v>0</v>
      </c>
      <c r="R138" s="17">
        <v>42.449999999999932</v>
      </c>
      <c r="S138" s="17">
        <v>0</v>
      </c>
      <c r="T138" s="17">
        <v>345.9</v>
      </c>
      <c r="U138" s="17">
        <v>0</v>
      </c>
      <c r="V138" s="17">
        <f t="shared" si="111"/>
        <v>1242.5</v>
      </c>
      <c r="W138" s="18">
        <v>889.1</v>
      </c>
      <c r="X138" s="19">
        <v>1140.75</v>
      </c>
      <c r="Y138" s="19">
        <v>148.5</v>
      </c>
      <c r="Z138" s="19">
        <v>189.5</v>
      </c>
      <c r="AA138" s="19">
        <v>60.636568488289527</v>
      </c>
      <c r="AB138" s="17">
        <v>0</v>
      </c>
      <c r="AC138" s="17">
        <v>0</v>
      </c>
      <c r="AD138" s="17">
        <v>0</v>
      </c>
      <c r="AE138" s="19">
        <v>145.6081081081081</v>
      </c>
      <c r="AF138" s="19">
        <v>210.9</v>
      </c>
      <c r="AG138" s="24">
        <v>682.60532340360248</v>
      </c>
      <c r="AH138" s="17">
        <f t="shared" si="112"/>
        <v>353.4</v>
      </c>
      <c r="AI138" s="20">
        <v>47.301742195882127</v>
      </c>
      <c r="AJ138" s="21">
        <v>7909.9</v>
      </c>
      <c r="AK138" s="22">
        <v>4965.4271561213727</v>
      </c>
      <c r="AL138" s="22">
        <v>5135.1289843974328</v>
      </c>
      <c r="AM138" s="16">
        <v>16</v>
      </c>
      <c r="AN138" s="23">
        <f t="shared" si="78"/>
        <v>1942.5</v>
      </c>
      <c r="AO138" s="23">
        <f t="shared" si="79"/>
        <v>654.69000000000005</v>
      </c>
      <c r="AP138" s="23">
        <f t="shared" si="80"/>
        <v>0</v>
      </c>
      <c r="AQ138" s="23">
        <f t="shared" si="81"/>
        <v>550</v>
      </c>
      <c r="AR138" s="23">
        <f t="shared" si="82"/>
        <v>0</v>
      </c>
      <c r="AS138" s="23">
        <f t="shared" si="83"/>
        <v>0</v>
      </c>
      <c r="AT138" s="23">
        <f t="shared" si="84"/>
        <v>0</v>
      </c>
      <c r="AU138" s="23">
        <f t="shared" si="85"/>
        <v>0</v>
      </c>
      <c r="AV138" s="23">
        <f t="shared" si="86"/>
        <v>0</v>
      </c>
      <c r="AW138" s="23">
        <f t="shared" si="87"/>
        <v>0</v>
      </c>
      <c r="AX138" s="23">
        <f t="shared" si="88"/>
        <v>3.13</v>
      </c>
      <c r="AY138" s="23">
        <f t="shared" si="89"/>
        <v>0</v>
      </c>
      <c r="AZ138" s="23">
        <f t="shared" si="90"/>
        <v>0</v>
      </c>
      <c r="BA138" s="23">
        <f t="shared" si="91"/>
        <v>2006.25</v>
      </c>
      <c r="BB138" s="23">
        <f t="shared" si="92"/>
        <v>181.88</v>
      </c>
      <c r="BC138" s="23">
        <f t="shared" si="93"/>
        <v>0</v>
      </c>
      <c r="BD138" s="23">
        <f t="shared" si="94"/>
        <v>265.31</v>
      </c>
      <c r="BE138" s="23">
        <f t="shared" si="95"/>
        <v>0</v>
      </c>
      <c r="BF138" s="23">
        <f t="shared" si="96"/>
        <v>2161.88</v>
      </c>
      <c r="BG138" s="23">
        <f t="shared" si="97"/>
        <v>0</v>
      </c>
      <c r="BH138" s="23">
        <f t="shared" si="98"/>
        <v>7765.63</v>
      </c>
      <c r="BI138" s="23">
        <f t="shared" si="99"/>
        <v>5556.88</v>
      </c>
      <c r="BJ138" s="23">
        <f t="shared" si="100"/>
        <v>7129.69</v>
      </c>
      <c r="BK138" s="23">
        <f t="shared" si="101"/>
        <v>928.13</v>
      </c>
      <c r="BL138" s="23">
        <f t="shared" si="102"/>
        <v>1184.3800000000001</v>
      </c>
      <c r="BM138" s="23">
        <f t="shared" si="103"/>
        <v>378.98</v>
      </c>
      <c r="BN138" s="23">
        <f t="shared" si="104"/>
        <v>0</v>
      </c>
      <c r="BO138" s="23">
        <f t="shared" si="105"/>
        <v>0</v>
      </c>
      <c r="BP138" s="23">
        <f t="shared" si="106"/>
        <v>0</v>
      </c>
      <c r="BQ138" s="23">
        <f t="shared" si="107"/>
        <v>910.05</v>
      </c>
      <c r="BR138" s="23">
        <f t="shared" si="108"/>
        <v>1318.13</v>
      </c>
      <c r="BS138" s="23">
        <f t="shared" si="109"/>
        <v>4266.28</v>
      </c>
      <c r="BT138" s="23">
        <f t="shared" si="110"/>
        <v>2208.75</v>
      </c>
      <c r="BU138" s="23">
        <f t="shared" si="110"/>
        <v>295.64</v>
      </c>
      <c r="BV138" s="23">
        <f t="shared" si="110"/>
        <v>49436.88</v>
      </c>
      <c r="BW138" s="23">
        <f t="shared" si="110"/>
        <v>31033.919999999998</v>
      </c>
      <c r="BX138" s="23">
        <f t="shared" si="110"/>
        <v>32094.560000000001</v>
      </c>
      <c r="BY138" t="s">
        <v>270</v>
      </c>
      <c r="CE138" t="s">
        <v>267</v>
      </c>
      <c r="CF138" t="s">
        <v>266</v>
      </c>
      <c r="CG138" t="s">
        <v>266</v>
      </c>
      <c r="CH138" t="s">
        <v>266</v>
      </c>
      <c r="CI138" t="s">
        <v>266</v>
      </c>
      <c r="CJ138" t="s">
        <v>267</v>
      </c>
      <c r="CK138" t="s">
        <v>267</v>
      </c>
      <c r="CL138" t="s">
        <v>267</v>
      </c>
      <c r="CM138" t="s">
        <v>267</v>
      </c>
      <c r="CN138" t="s">
        <v>267</v>
      </c>
      <c r="CO138" t="s">
        <v>266</v>
      </c>
    </row>
    <row r="139" spans="1:93" x14ac:dyDescent="0.25">
      <c r="A139" s="2" t="s">
        <v>145</v>
      </c>
      <c r="B139" s="17">
        <v>354</v>
      </c>
      <c r="C139" s="17">
        <v>107.5</v>
      </c>
      <c r="D139" s="17">
        <v>0</v>
      </c>
      <c r="E139" s="17">
        <v>89</v>
      </c>
      <c r="F139" s="17">
        <v>0</v>
      </c>
      <c r="G139" s="17">
        <v>1.4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336</v>
      </c>
      <c r="P139" s="17">
        <v>24.2</v>
      </c>
      <c r="Q139" s="17">
        <v>0</v>
      </c>
      <c r="R139" s="17">
        <v>36.600000000000136</v>
      </c>
      <c r="S139" s="17">
        <v>0</v>
      </c>
      <c r="T139" s="17">
        <v>365.29999999999995</v>
      </c>
      <c r="U139" s="17">
        <v>0</v>
      </c>
      <c r="V139" s="17">
        <f t="shared" si="111"/>
        <v>1314</v>
      </c>
      <c r="W139" s="18">
        <v>909.3</v>
      </c>
      <c r="X139" s="19">
        <v>1244.25</v>
      </c>
      <c r="Y139" s="19">
        <v>180</v>
      </c>
      <c r="Z139" s="19">
        <v>269.5</v>
      </c>
      <c r="AA139" s="19">
        <v>65.007487579843826</v>
      </c>
      <c r="AB139" s="17">
        <v>0</v>
      </c>
      <c r="AC139" s="17">
        <v>0</v>
      </c>
      <c r="AD139" s="17">
        <v>0</v>
      </c>
      <c r="AE139" s="19">
        <v>149.66216216216216</v>
      </c>
      <c r="AF139" s="19">
        <v>216.2</v>
      </c>
      <c r="AG139" s="24">
        <v>723.880350257994</v>
      </c>
      <c r="AH139" s="17">
        <f t="shared" si="112"/>
        <v>404.70000000000005</v>
      </c>
      <c r="AI139" s="20">
        <v>111.55116742451312</v>
      </c>
      <c r="AJ139" s="21">
        <v>8149</v>
      </c>
      <c r="AK139" s="22">
        <v>5260.8981286493708</v>
      </c>
      <c r="AL139" s="22">
        <v>5342.734588877187</v>
      </c>
      <c r="AM139" s="16">
        <v>16.600000000000001</v>
      </c>
      <c r="AN139" s="23">
        <f t="shared" si="78"/>
        <v>2132.5300000000002</v>
      </c>
      <c r="AO139" s="23">
        <f t="shared" si="79"/>
        <v>647.59</v>
      </c>
      <c r="AP139" s="23">
        <f t="shared" si="80"/>
        <v>0</v>
      </c>
      <c r="AQ139" s="23">
        <f t="shared" si="81"/>
        <v>536.14</v>
      </c>
      <c r="AR139" s="23">
        <f t="shared" si="82"/>
        <v>0</v>
      </c>
      <c r="AS139" s="23">
        <f t="shared" si="83"/>
        <v>8.43</v>
      </c>
      <c r="AT139" s="23">
        <f t="shared" si="84"/>
        <v>0</v>
      </c>
      <c r="AU139" s="23">
        <f t="shared" si="85"/>
        <v>0</v>
      </c>
      <c r="AV139" s="23">
        <f t="shared" si="86"/>
        <v>0</v>
      </c>
      <c r="AW139" s="23">
        <f t="shared" si="87"/>
        <v>0</v>
      </c>
      <c r="AX139" s="23">
        <f t="shared" si="88"/>
        <v>0</v>
      </c>
      <c r="AY139" s="23">
        <f t="shared" si="89"/>
        <v>0</v>
      </c>
      <c r="AZ139" s="23">
        <f t="shared" si="90"/>
        <v>0</v>
      </c>
      <c r="BA139" s="23">
        <f t="shared" si="91"/>
        <v>2024.1</v>
      </c>
      <c r="BB139" s="23">
        <f t="shared" si="92"/>
        <v>145.78</v>
      </c>
      <c r="BC139" s="23">
        <f t="shared" si="93"/>
        <v>0</v>
      </c>
      <c r="BD139" s="23">
        <f t="shared" si="94"/>
        <v>220.48</v>
      </c>
      <c r="BE139" s="23">
        <f t="shared" si="95"/>
        <v>0</v>
      </c>
      <c r="BF139" s="23">
        <f t="shared" si="96"/>
        <v>2200.6</v>
      </c>
      <c r="BG139" s="23">
        <f t="shared" si="97"/>
        <v>0</v>
      </c>
      <c r="BH139" s="23">
        <f t="shared" si="98"/>
        <v>7915.66</v>
      </c>
      <c r="BI139" s="23">
        <f t="shared" si="99"/>
        <v>5477.71</v>
      </c>
      <c r="BJ139" s="23">
        <f t="shared" si="100"/>
        <v>7495.48</v>
      </c>
      <c r="BK139" s="23">
        <f t="shared" si="101"/>
        <v>1084.3399999999999</v>
      </c>
      <c r="BL139" s="23">
        <f t="shared" si="102"/>
        <v>1623.49</v>
      </c>
      <c r="BM139" s="23">
        <f t="shared" si="103"/>
        <v>391.61</v>
      </c>
      <c r="BN139" s="23">
        <f t="shared" si="104"/>
        <v>0</v>
      </c>
      <c r="BO139" s="23">
        <f t="shared" si="105"/>
        <v>0</v>
      </c>
      <c r="BP139" s="23">
        <f t="shared" si="106"/>
        <v>0</v>
      </c>
      <c r="BQ139" s="23">
        <f t="shared" si="107"/>
        <v>901.58</v>
      </c>
      <c r="BR139" s="23">
        <f t="shared" si="108"/>
        <v>1302.4100000000001</v>
      </c>
      <c r="BS139" s="23">
        <f t="shared" si="109"/>
        <v>4360.7299999999996</v>
      </c>
      <c r="BT139" s="23">
        <f t="shared" si="110"/>
        <v>2437.9499999999998</v>
      </c>
      <c r="BU139" s="23">
        <f t="shared" si="110"/>
        <v>671.99</v>
      </c>
      <c r="BV139" s="23">
        <f t="shared" si="110"/>
        <v>49090.36</v>
      </c>
      <c r="BW139" s="23">
        <f t="shared" si="110"/>
        <v>31692.16</v>
      </c>
      <c r="BX139" s="23">
        <f t="shared" si="110"/>
        <v>32185.15</v>
      </c>
      <c r="BY139" t="s">
        <v>270</v>
      </c>
      <c r="CE139" t="s">
        <v>267</v>
      </c>
      <c r="CF139" t="s">
        <v>266</v>
      </c>
      <c r="CG139" t="s">
        <v>266</v>
      </c>
      <c r="CH139" t="s">
        <v>266</v>
      </c>
      <c r="CI139" t="s">
        <v>266</v>
      </c>
      <c r="CJ139" t="s">
        <v>267</v>
      </c>
      <c r="CK139" t="s">
        <v>267</v>
      </c>
      <c r="CL139" t="s">
        <v>267</v>
      </c>
      <c r="CM139" t="s">
        <v>267</v>
      </c>
      <c r="CN139" t="s">
        <v>267</v>
      </c>
      <c r="CO139" t="s">
        <v>266</v>
      </c>
    </row>
    <row r="140" spans="1:93" x14ac:dyDescent="0.25">
      <c r="A140" s="2" t="s">
        <v>146</v>
      </c>
      <c r="B140" s="17">
        <v>398.4</v>
      </c>
      <c r="C140" s="17">
        <v>109.25</v>
      </c>
      <c r="D140" s="17">
        <v>0</v>
      </c>
      <c r="E140" s="17">
        <v>77.400000000000006</v>
      </c>
      <c r="F140" s="17">
        <v>0</v>
      </c>
      <c r="G140" s="17">
        <v>21.9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  <c r="O140" s="17">
        <v>340</v>
      </c>
      <c r="P140" s="17">
        <v>21</v>
      </c>
      <c r="Q140" s="17">
        <v>0</v>
      </c>
      <c r="R140" s="17">
        <v>38.250000000000114</v>
      </c>
      <c r="S140" s="17">
        <v>0</v>
      </c>
      <c r="T140" s="17">
        <v>386.04999999999995</v>
      </c>
      <c r="U140" s="17">
        <v>0</v>
      </c>
      <c r="V140" s="17">
        <f t="shared" si="111"/>
        <v>1392.25</v>
      </c>
      <c r="W140" s="18">
        <v>1005.7</v>
      </c>
      <c r="X140" s="19">
        <v>1520</v>
      </c>
      <c r="Y140" s="19">
        <v>148.5</v>
      </c>
      <c r="Z140" s="19">
        <v>397.35</v>
      </c>
      <c r="AA140" s="19">
        <v>51.258960255500327</v>
      </c>
      <c r="AB140" s="17">
        <v>0</v>
      </c>
      <c r="AC140" s="17">
        <v>0</v>
      </c>
      <c r="AD140" s="17">
        <v>0</v>
      </c>
      <c r="AE140" s="19">
        <v>114.52702702702703</v>
      </c>
      <c r="AF140" s="19">
        <v>216.8</v>
      </c>
      <c r="AG140" s="24">
        <v>888.56401271747268</v>
      </c>
      <c r="AH140" s="17">
        <f t="shared" si="112"/>
        <v>386.54999999999995</v>
      </c>
      <c r="AI140" s="20">
        <v>279.51029479384869</v>
      </c>
      <c r="AJ140" s="21">
        <v>8301.1</v>
      </c>
      <c r="AK140" s="22">
        <v>5485.6091940269907</v>
      </c>
      <c r="AL140" s="22">
        <v>5689.5219440987821</v>
      </c>
      <c r="AM140" s="16">
        <v>16.8</v>
      </c>
      <c r="AN140" s="23">
        <f t="shared" si="78"/>
        <v>2371.4299999999998</v>
      </c>
      <c r="AO140" s="23">
        <f t="shared" si="79"/>
        <v>650.29999999999995</v>
      </c>
      <c r="AP140" s="23">
        <f t="shared" si="80"/>
        <v>0</v>
      </c>
      <c r="AQ140" s="23">
        <f t="shared" si="81"/>
        <v>460.71</v>
      </c>
      <c r="AR140" s="23">
        <f t="shared" si="82"/>
        <v>0</v>
      </c>
      <c r="AS140" s="23">
        <f t="shared" si="83"/>
        <v>130.36000000000001</v>
      </c>
      <c r="AT140" s="23">
        <f t="shared" si="84"/>
        <v>0</v>
      </c>
      <c r="AU140" s="23">
        <f t="shared" si="85"/>
        <v>0</v>
      </c>
      <c r="AV140" s="23">
        <f t="shared" si="86"/>
        <v>0</v>
      </c>
      <c r="AW140" s="23">
        <f t="shared" si="87"/>
        <v>0</v>
      </c>
      <c r="AX140" s="23">
        <f t="shared" si="88"/>
        <v>0</v>
      </c>
      <c r="AY140" s="23">
        <f t="shared" si="89"/>
        <v>0</v>
      </c>
      <c r="AZ140" s="23">
        <f t="shared" si="90"/>
        <v>0</v>
      </c>
      <c r="BA140" s="23">
        <f t="shared" si="91"/>
        <v>2023.81</v>
      </c>
      <c r="BB140" s="23">
        <f t="shared" si="92"/>
        <v>125</v>
      </c>
      <c r="BC140" s="23">
        <f t="shared" si="93"/>
        <v>0</v>
      </c>
      <c r="BD140" s="23">
        <f t="shared" si="94"/>
        <v>227.68</v>
      </c>
      <c r="BE140" s="23">
        <f t="shared" si="95"/>
        <v>0</v>
      </c>
      <c r="BF140" s="23">
        <f t="shared" si="96"/>
        <v>2297.92</v>
      </c>
      <c r="BG140" s="23">
        <f t="shared" si="97"/>
        <v>0</v>
      </c>
      <c r="BH140" s="23">
        <f t="shared" si="98"/>
        <v>8287.2000000000007</v>
      </c>
      <c r="BI140" s="23">
        <f t="shared" si="99"/>
        <v>5986.31</v>
      </c>
      <c r="BJ140" s="23">
        <f t="shared" si="100"/>
        <v>9047.6200000000008</v>
      </c>
      <c r="BK140" s="23">
        <f t="shared" si="101"/>
        <v>883.93</v>
      </c>
      <c r="BL140" s="23">
        <f t="shared" si="102"/>
        <v>2365.1799999999998</v>
      </c>
      <c r="BM140" s="23">
        <f t="shared" si="103"/>
        <v>305.11</v>
      </c>
      <c r="BN140" s="23">
        <f t="shared" si="104"/>
        <v>0</v>
      </c>
      <c r="BO140" s="23">
        <f t="shared" si="105"/>
        <v>0</v>
      </c>
      <c r="BP140" s="23">
        <f t="shared" si="106"/>
        <v>0</v>
      </c>
      <c r="BQ140" s="23">
        <f t="shared" si="107"/>
        <v>681.71</v>
      </c>
      <c r="BR140" s="23">
        <f t="shared" si="108"/>
        <v>1290.48</v>
      </c>
      <c r="BS140" s="23">
        <f t="shared" si="109"/>
        <v>5289.07</v>
      </c>
      <c r="BT140" s="23">
        <f t="shared" si="110"/>
        <v>2300.89</v>
      </c>
      <c r="BU140" s="23">
        <f t="shared" si="110"/>
        <v>1663.75</v>
      </c>
      <c r="BV140" s="23">
        <f t="shared" si="110"/>
        <v>49411.31</v>
      </c>
      <c r="BW140" s="23">
        <f t="shared" si="110"/>
        <v>32652.44</v>
      </c>
      <c r="BX140" s="23">
        <f t="shared" si="110"/>
        <v>33866.199999999997</v>
      </c>
      <c r="BY140" t="s">
        <v>270</v>
      </c>
      <c r="BZ140" t="s">
        <v>317</v>
      </c>
      <c r="CE140" t="s">
        <v>267</v>
      </c>
      <c r="CF140" t="s">
        <v>266</v>
      </c>
      <c r="CG140" t="s">
        <v>266</v>
      </c>
      <c r="CH140" t="s">
        <v>266</v>
      </c>
      <c r="CI140" t="s">
        <v>266</v>
      </c>
      <c r="CJ140" t="s">
        <v>267</v>
      </c>
      <c r="CK140" t="s">
        <v>267</v>
      </c>
      <c r="CL140" t="s">
        <v>267</v>
      </c>
      <c r="CM140" t="s">
        <v>267</v>
      </c>
      <c r="CN140" t="s">
        <v>267</v>
      </c>
      <c r="CO140" t="s">
        <v>266</v>
      </c>
    </row>
    <row r="141" spans="1:93" x14ac:dyDescent="0.25">
      <c r="A141" s="2" t="s">
        <v>147</v>
      </c>
      <c r="B141" s="17">
        <v>459.9</v>
      </c>
      <c r="C141" s="17">
        <v>112.5</v>
      </c>
      <c r="D141" s="17">
        <v>0</v>
      </c>
      <c r="E141" s="17">
        <v>77.7</v>
      </c>
      <c r="F141" s="17">
        <v>0</v>
      </c>
      <c r="G141" s="17">
        <v>26.9</v>
      </c>
      <c r="H141" s="17">
        <v>0</v>
      </c>
      <c r="I141" s="17">
        <v>0</v>
      </c>
      <c r="J141" s="17">
        <v>0</v>
      </c>
      <c r="K141" s="17">
        <v>0</v>
      </c>
      <c r="L141" s="17">
        <v>0</v>
      </c>
      <c r="M141" s="17">
        <v>0</v>
      </c>
      <c r="N141" s="17">
        <v>0</v>
      </c>
      <c r="O141" s="17">
        <v>400</v>
      </c>
      <c r="P141" s="17">
        <v>17.100000000000001</v>
      </c>
      <c r="Q141" s="17">
        <v>0</v>
      </c>
      <c r="R141" s="17">
        <v>38.100000000000136</v>
      </c>
      <c r="S141" s="17">
        <v>0</v>
      </c>
      <c r="T141" s="17">
        <v>455.29999999999995</v>
      </c>
      <c r="U141" s="17">
        <v>0</v>
      </c>
      <c r="V141" s="17">
        <f t="shared" si="111"/>
        <v>1587.5</v>
      </c>
      <c r="W141" s="18">
        <v>1401</v>
      </c>
      <c r="X141" s="19">
        <v>2419.75</v>
      </c>
      <c r="Y141" s="17">
        <v>0</v>
      </c>
      <c r="Z141" s="19">
        <v>1042.9499999999998</v>
      </c>
      <c r="AA141" s="17">
        <v>0</v>
      </c>
      <c r="AB141" s="17">
        <v>0</v>
      </c>
      <c r="AC141" s="17">
        <v>0</v>
      </c>
      <c r="AD141" s="17">
        <v>0</v>
      </c>
      <c r="AE141" s="17">
        <v>0</v>
      </c>
      <c r="AF141" s="19">
        <v>228.6</v>
      </c>
      <c r="AG141" s="24">
        <v>1148.2000000000003</v>
      </c>
      <c r="AH141" s="17">
        <f t="shared" si="112"/>
        <v>186.5</v>
      </c>
      <c r="AI141" s="20">
        <v>842.07219128391114</v>
      </c>
      <c r="AJ141" s="21">
        <v>9083.2000000000007</v>
      </c>
      <c r="AK141" s="22">
        <v>6101.0576959892769</v>
      </c>
      <c r="AL141" s="22">
        <v>6720.2164496984742</v>
      </c>
      <c r="AM141" s="16">
        <v>17.3</v>
      </c>
      <c r="AN141" s="23">
        <f t="shared" si="78"/>
        <v>2658.38</v>
      </c>
      <c r="AO141" s="23">
        <f t="shared" si="79"/>
        <v>650.29</v>
      </c>
      <c r="AP141" s="23">
        <f t="shared" si="80"/>
        <v>0</v>
      </c>
      <c r="AQ141" s="23">
        <f t="shared" si="81"/>
        <v>449.13</v>
      </c>
      <c r="AR141" s="23">
        <f t="shared" si="82"/>
        <v>0</v>
      </c>
      <c r="AS141" s="23">
        <f t="shared" si="83"/>
        <v>155.49</v>
      </c>
      <c r="AT141" s="23">
        <f t="shared" si="84"/>
        <v>0</v>
      </c>
      <c r="AU141" s="23">
        <f t="shared" si="85"/>
        <v>0</v>
      </c>
      <c r="AV141" s="23">
        <f t="shared" si="86"/>
        <v>0</v>
      </c>
      <c r="AW141" s="23">
        <f t="shared" si="87"/>
        <v>0</v>
      </c>
      <c r="AX141" s="23">
        <f t="shared" si="88"/>
        <v>0</v>
      </c>
      <c r="AY141" s="23">
        <f t="shared" si="89"/>
        <v>0</v>
      </c>
      <c r="AZ141" s="23">
        <f t="shared" si="90"/>
        <v>0</v>
      </c>
      <c r="BA141" s="23">
        <f t="shared" si="91"/>
        <v>2312.14</v>
      </c>
      <c r="BB141" s="23">
        <f t="shared" si="92"/>
        <v>98.84</v>
      </c>
      <c r="BC141" s="23">
        <f t="shared" si="93"/>
        <v>0</v>
      </c>
      <c r="BD141" s="23">
        <f t="shared" si="94"/>
        <v>220.23</v>
      </c>
      <c r="BE141" s="23">
        <f t="shared" si="95"/>
        <v>0</v>
      </c>
      <c r="BF141" s="23">
        <f t="shared" si="96"/>
        <v>2631.79</v>
      </c>
      <c r="BG141" s="23">
        <f t="shared" si="97"/>
        <v>0</v>
      </c>
      <c r="BH141" s="23">
        <f t="shared" si="98"/>
        <v>9176.2999999999993</v>
      </c>
      <c r="BI141" s="23">
        <f t="shared" si="99"/>
        <v>8098.27</v>
      </c>
      <c r="BJ141" s="23">
        <f t="shared" si="100"/>
        <v>13986.99</v>
      </c>
      <c r="BK141" s="23">
        <f t="shared" si="101"/>
        <v>0</v>
      </c>
      <c r="BL141" s="23">
        <f t="shared" si="102"/>
        <v>6028.61</v>
      </c>
      <c r="BM141" s="23">
        <f t="shared" si="103"/>
        <v>0</v>
      </c>
      <c r="BN141" s="23">
        <f t="shared" si="104"/>
        <v>0</v>
      </c>
      <c r="BO141" s="23">
        <f t="shared" si="105"/>
        <v>0</v>
      </c>
      <c r="BP141" s="23">
        <f t="shared" si="106"/>
        <v>0</v>
      </c>
      <c r="BQ141" s="23">
        <f t="shared" si="107"/>
        <v>0</v>
      </c>
      <c r="BR141" s="23">
        <f t="shared" si="108"/>
        <v>1321.39</v>
      </c>
      <c r="BS141" s="23">
        <f t="shared" si="109"/>
        <v>6636.99</v>
      </c>
      <c r="BT141" s="23">
        <f t="shared" si="110"/>
        <v>1078.03</v>
      </c>
      <c r="BU141" s="23">
        <f t="shared" si="110"/>
        <v>4867.47</v>
      </c>
      <c r="BV141" s="23">
        <f t="shared" si="110"/>
        <v>52504.05</v>
      </c>
      <c r="BW141" s="23">
        <f t="shared" si="110"/>
        <v>35266.230000000003</v>
      </c>
      <c r="BX141" s="23">
        <f t="shared" si="110"/>
        <v>38845.18</v>
      </c>
      <c r="BY141" t="s">
        <v>270</v>
      </c>
      <c r="BZ141" t="s">
        <v>317</v>
      </c>
      <c r="CE141" t="s">
        <v>267</v>
      </c>
      <c r="CF141" t="s">
        <v>266</v>
      </c>
      <c r="CG141" t="s">
        <v>266</v>
      </c>
      <c r="CH141" t="s">
        <v>266</v>
      </c>
      <c r="CI141" t="s">
        <v>266</v>
      </c>
      <c r="CJ141" t="s">
        <v>267</v>
      </c>
      <c r="CK141" t="s">
        <v>267</v>
      </c>
      <c r="CL141" t="s">
        <v>267</v>
      </c>
      <c r="CM141" t="s">
        <v>267</v>
      </c>
      <c r="CN141" t="s">
        <v>267</v>
      </c>
      <c r="CO141" t="s">
        <v>266</v>
      </c>
    </row>
    <row r="142" spans="1:93" x14ac:dyDescent="0.25">
      <c r="A142" s="2" t="s">
        <v>148</v>
      </c>
      <c r="B142" s="17">
        <v>600</v>
      </c>
      <c r="C142" s="17">
        <v>121.25</v>
      </c>
      <c r="D142" s="17">
        <v>0</v>
      </c>
      <c r="E142" s="17">
        <v>80.8</v>
      </c>
      <c r="F142" s="17">
        <v>0</v>
      </c>
      <c r="G142" s="17">
        <v>96.2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7">
        <v>0</v>
      </c>
      <c r="N142" s="17">
        <v>0</v>
      </c>
      <c r="O142" s="17">
        <v>529</v>
      </c>
      <c r="P142" s="17">
        <v>13.7</v>
      </c>
      <c r="Q142" s="17">
        <v>0</v>
      </c>
      <c r="R142" s="17">
        <v>54.349999999999909</v>
      </c>
      <c r="S142" s="17">
        <v>0</v>
      </c>
      <c r="T142" s="17">
        <v>599.70000000000005</v>
      </c>
      <c r="U142" s="17">
        <v>0</v>
      </c>
      <c r="V142" s="17">
        <f t="shared" si="111"/>
        <v>2095</v>
      </c>
      <c r="W142" s="18">
        <v>3953.7</v>
      </c>
      <c r="X142" s="19">
        <v>4056</v>
      </c>
      <c r="Y142" s="17">
        <v>0</v>
      </c>
      <c r="Z142" s="19">
        <v>2895.8874999999998</v>
      </c>
      <c r="AA142" s="17">
        <v>0</v>
      </c>
      <c r="AB142" s="17">
        <v>0</v>
      </c>
      <c r="AC142" s="17">
        <v>0</v>
      </c>
      <c r="AD142" s="17">
        <v>0</v>
      </c>
      <c r="AE142" s="17">
        <v>0</v>
      </c>
      <c r="AF142" s="19">
        <v>233.6</v>
      </c>
      <c r="AG142" s="24">
        <v>926.51250000000027</v>
      </c>
      <c r="AH142" s="17">
        <f t="shared" si="112"/>
        <v>-1858.6999999999998</v>
      </c>
      <c r="AI142" s="20">
        <v>1984.1436672967855</v>
      </c>
      <c r="AJ142" s="21">
        <v>11552.7</v>
      </c>
      <c r="AK142" s="22">
        <v>7389.9271321910564</v>
      </c>
      <c r="AL142" s="22">
        <v>8110.1897434670209</v>
      </c>
      <c r="AM142" s="16">
        <v>20.2</v>
      </c>
      <c r="AN142" s="23">
        <f t="shared" si="78"/>
        <v>2970.3</v>
      </c>
      <c r="AO142" s="23">
        <f t="shared" si="79"/>
        <v>600.25</v>
      </c>
      <c r="AP142" s="23">
        <f t="shared" si="80"/>
        <v>0</v>
      </c>
      <c r="AQ142" s="23">
        <f t="shared" si="81"/>
        <v>400</v>
      </c>
      <c r="AR142" s="23">
        <f t="shared" si="82"/>
        <v>0</v>
      </c>
      <c r="AS142" s="23">
        <f t="shared" si="83"/>
        <v>476.24</v>
      </c>
      <c r="AT142" s="23">
        <f t="shared" si="84"/>
        <v>0</v>
      </c>
      <c r="AU142" s="23">
        <f t="shared" si="85"/>
        <v>0</v>
      </c>
      <c r="AV142" s="23">
        <f t="shared" si="86"/>
        <v>0</v>
      </c>
      <c r="AW142" s="23">
        <f t="shared" si="87"/>
        <v>0</v>
      </c>
      <c r="AX142" s="23">
        <f t="shared" si="88"/>
        <v>0</v>
      </c>
      <c r="AY142" s="23">
        <f t="shared" si="89"/>
        <v>0</v>
      </c>
      <c r="AZ142" s="23">
        <f t="shared" si="90"/>
        <v>0</v>
      </c>
      <c r="BA142" s="23">
        <f t="shared" si="91"/>
        <v>2618.81</v>
      </c>
      <c r="BB142" s="23">
        <f t="shared" si="92"/>
        <v>67.819999999999993</v>
      </c>
      <c r="BC142" s="23">
        <f t="shared" si="93"/>
        <v>0</v>
      </c>
      <c r="BD142" s="23">
        <f t="shared" si="94"/>
        <v>269.06</v>
      </c>
      <c r="BE142" s="23">
        <f t="shared" si="95"/>
        <v>0</v>
      </c>
      <c r="BF142" s="23">
        <f t="shared" si="96"/>
        <v>2968.81</v>
      </c>
      <c r="BG142" s="23">
        <f t="shared" si="97"/>
        <v>0</v>
      </c>
      <c r="BH142" s="23">
        <f t="shared" si="98"/>
        <v>10371.290000000001</v>
      </c>
      <c r="BI142" s="23">
        <f t="shared" si="99"/>
        <v>19572.77</v>
      </c>
      <c r="BJ142" s="23">
        <f t="shared" si="100"/>
        <v>20079.21</v>
      </c>
      <c r="BK142" s="23">
        <f t="shared" si="101"/>
        <v>0</v>
      </c>
      <c r="BL142" s="23">
        <f t="shared" si="102"/>
        <v>14336.08</v>
      </c>
      <c r="BM142" s="23">
        <f t="shared" si="103"/>
        <v>0</v>
      </c>
      <c r="BN142" s="23">
        <f t="shared" si="104"/>
        <v>0</v>
      </c>
      <c r="BO142" s="23">
        <f t="shared" si="105"/>
        <v>0</v>
      </c>
      <c r="BP142" s="23">
        <f t="shared" si="106"/>
        <v>0</v>
      </c>
      <c r="BQ142" s="23">
        <f t="shared" si="107"/>
        <v>0</v>
      </c>
      <c r="BR142" s="23">
        <f t="shared" si="108"/>
        <v>1156.44</v>
      </c>
      <c r="BS142" s="23">
        <f t="shared" si="109"/>
        <v>4586.7</v>
      </c>
      <c r="BT142" s="23">
        <f t="shared" si="110"/>
        <v>-9201.49</v>
      </c>
      <c r="BU142" s="23">
        <f t="shared" si="110"/>
        <v>9822.49</v>
      </c>
      <c r="BV142" s="23">
        <f t="shared" si="110"/>
        <v>57191.58</v>
      </c>
      <c r="BW142" s="23">
        <f t="shared" si="110"/>
        <v>36583.800000000003</v>
      </c>
      <c r="BX142" s="23">
        <f t="shared" si="110"/>
        <v>40149.449999999997</v>
      </c>
      <c r="BY142" t="s">
        <v>270</v>
      </c>
      <c r="BZ142" t="s">
        <v>317</v>
      </c>
      <c r="CE142" t="s">
        <v>267</v>
      </c>
      <c r="CF142" t="s">
        <v>266</v>
      </c>
      <c r="CG142" t="s">
        <v>266</v>
      </c>
      <c r="CH142" t="s">
        <v>266</v>
      </c>
      <c r="CI142" t="s">
        <v>266</v>
      </c>
      <c r="CJ142" t="s">
        <v>267</v>
      </c>
      <c r="CK142" t="s">
        <v>267</v>
      </c>
      <c r="CL142" t="s">
        <v>267</v>
      </c>
      <c r="CM142" t="s">
        <v>267</v>
      </c>
      <c r="CN142" t="s">
        <v>267</v>
      </c>
      <c r="CO142" t="s">
        <v>266</v>
      </c>
    </row>
    <row r="143" spans="1:93" x14ac:dyDescent="0.25">
      <c r="A143" s="2" t="s">
        <v>149</v>
      </c>
      <c r="B143" s="17">
        <v>844.6</v>
      </c>
      <c r="C143" s="17">
        <v>129.5</v>
      </c>
      <c r="D143" s="17">
        <v>0</v>
      </c>
      <c r="E143" s="17">
        <v>90.9</v>
      </c>
      <c r="F143" s="17">
        <v>0</v>
      </c>
      <c r="G143" s="17">
        <v>269.10000000000002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  <c r="O143" s="17">
        <v>704</v>
      </c>
      <c r="P143" s="17">
        <v>14.1</v>
      </c>
      <c r="Q143" s="17">
        <v>0</v>
      </c>
      <c r="R143" s="17">
        <v>122.40000000000009</v>
      </c>
      <c r="S143" s="17">
        <v>0</v>
      </c>
      <c r="T143" s="17">
        <v>623.15000000000009</v>
      </c>
      <c r="U143" s="17">
        <v>0</v>
      </c>
      <c r="V143" s="17">
        <f t="shared" si="111"/>
        <v>2797.75</v>
      </c>
      <c r="W143" s="18">
        <v>4876.3</v>
      </c>
      <c r="X143" s="19">
        <v>5117.5</v>
      </c>
      <c r="Y143" s="17">
        <v>0</v>
      </c>
      <c r="Z143" s="19">
        <v>4064.375</v>
      </c>
      <c r="AA143" s="17">
        <v>0</v>
      </c>
      <c r="AB143" s="17">
        <v>0</v>
      </c>
      <c r="AC143" s="17">
        <v>0</v>
      </c>
      <c r="AD143" s="17">
        <v>0</v>
      </c>
      <c r="AE143" s="17">
        <v>0</v>
      </c>
      <c r="AF143" s="19">
        <v>278</v>
      </c>
      <c r="AG143" s="24">
        <v>775.12499999999966</v>
      </c>
      <c r="AH143" s="17">
        <f t="shared" si="112"/>
        <v>-2078.5500000000002</v>
      </c>
      <c r="AI143" s="20">
        <v>2347.1276247892501</v>
      </c>
      <c r="AJ143" s="21">
        <v>14226.3</v>
      </c>
      <c r="AK143" s="22">
        <v>8672.9621183114723</v>
      </c>
      <c r="AL143" s="22">
        <v>9078.2442567244143</v>
      </c>
      <c r="AM143" s="16">
        <v>22.4</v>
      </c>
      <c r="AN143" s="23">
        <f t="shared" si="78"/>
        <v>3770.54</v>
      </c>
      <c r="AO143" s="23">
        <f t="shared" si="79"/>
        <v>578.13</v>
      </c>
      <c r="AP143" s="23">
        <f t="shared" si="80"/>
        <v>0</v>
      </c>
      <c r="AQ143" s="23">
        <f t="shared" si="81"/>
        <v>405.8</v>
      </c>
      <c r="AR143" s="23">
        <f t="shared" si="82"/>
        <v>0</v>
      </c>
      <c r="AS143" s="23">
        <f t="shared" si="83"/>
        <v>1201.3399999999999</v>
      </c>
      <c r="AT143" s="23">
        <f t="shared" si="84"/>
        <v>0</v>
      </c>
      <c r="AU143" s="23">
        <f t="shared" si="85"/>
        <v>0</v>
      </c>
      <c r="AV143" s="23">
        <f t="shared" si="86"/>
        <v>0</v>
      </c>
      <c r="AW143" s="23">
        <f t="shared" si="87"/>
        <v>0</v>
      </c>
      <c r="AX143" s="23">
        <f t="shared" si="88"/>
        <v>0</v>
      </c>
      <c r="AY143" s="23">
        <f t="shared" si="89"/>
        <v>0</v>
      </c>
      <c r="AZ143" s="23">
        <f t="shared" si="90"/>
        <v>0</v>
      </c>
      <c r="BA143" s="23">
        <f t="shared" si="91"/>
        <v>3142.86</v>
      </c>
      <c r="BB143" s="23">
        <f t="shared" si="92"/>
        <v>62.95</v>
      </c>
      <c r="BC143" s="23">
        <f t="shared" si="93"/>
        <v>0</v>
      </c>
      <c r="BD143" s="23">
        <f t="shared" si="94"/>
        <v>546.42999999999995</v>
      </c>
      <c r="BE143" s="23">
        <f t="shared" si="95"/>
        <v>0</v>
      </c>
      <c r="BF143" s="23">
        <f t="shared" si="96"/>
        <v>2781.92</v>
      </c>
      <c r="BG143" s="23">
        <f t="shared" si="97"/>
        <v>0</v>
      </c>
      <c r="BH143" s="23">
        <f t="shared" si="98"/>
        <v>12489.96</v>
      </c>
      <c r="BI143" s="23">
        <f t="shared" si="99"/>
        <v>21769.200000000001</v>
      </c>
      <c r="BJ143" s="23">
        <f t="shared" si="100"/>
        <v>22845.98</v>
      </c>
      <c r="BK143" s="23">
        <f t="shared" si="101"/>
        <v>0</v>
      </c>
      <c r="BL143" s="23">
        <f t="shared" si="102"/>
        <v>18144.53</v>
      </c>
      <c r="BM143" s="23">
        <f t="shared" si="103"/>
        <v>0</v>
      </c>
      <c r="BN143" s="23">
        <f t="shared" si="104"/>
        <v>0</v>
      </c>
      <c r="BO143" s="23">
        <f t="shared" si="105"/>
        <v>0</v>
      </c>
      <c r="BP143" s="23">
        <f t="shared" si="106"/>
        <v>0</v>
      </c>
      <c r="BQ143" s="23">
        <f t="shared" si="107"/>
        <v>0</v>
      </c>
      <c r="BR143" s="23">
        <f t="shared" si="108"/>
        <v>1241.07</v>
      </c>
      <c r="BS143" s="23">
        <f t="shared" si="109"/>
        <v>3460.38</v>
      </c>
      <c r="BT143" s="23">
        <f t="shared" si="110"/>
        <v>-9279.24</v>
      </c>
      <c r="BU143" s="23">
        <f t="shared" si="110"/>
        <v>10478.25</v>
      </c>
      <c r="BV143" s="23">
        <f t="shared" si="110"/>
        <v>63510.27</v>
      </c>
      <c r="BW143" s="23">
        <f t="shared" si="110"/>
        <v>38718.58</v>
      </c>
      <c r="BX143" s="23">
        <f t="shared" si="110"/>
        <v>40527.879999999997</v>
      </c>
      <c r="BY143" t="s">
        <v>270</v>
      </c>
      <c r="BZ143" t="s">
        <v>317</v>
      </c>
      <c r="CE143" t="s">
        <v>267</v>
      </c>
      <c r="CF143" t="s">
        <v>266</v>
      </c>
      <c r="CG143" t="s">
        <v>266</v>
      </c>
      <c r="CH143" t="s">
        <v>266</v>
      </c>
      <c r="CI143" t="s">
        <v>266</v>
      </c>
      <c r="CJ143" t="s">
        <v>267</v>
      </c>
      <c r="CK143" t="s">
        <v>267</v>
      </c>
      <c r="CL143" t="s">
        <v>267</v>
      </c>
      <c r="CM143" t="s">
        <v>267</v>
      </c>
      <c r="CN143" t="s">
        <v>267</v>
      </c>
      <c r="CO143" t="s">
        <v>266</v>
      </c>
    </row>
    <row r="144" spans="1:93" x14ac:dyDescent="0.25">
      <c r="A144" s="2" t="s">
        <v>150</v>
      </c>
      <c r="B144" s="17">
        <v>1082.2</v>
      </c>
      <c r="C144" s="17">
        <v>143.25</v>
      </c>
      <c r="D144" s="17">
        <v>0</v>
      </c>
      <c r="E144" s="17">
        <v>93.3</v>
      </c>
      <c r="F144" s="17">
        <v>0</v>
      </c>
      <c r="G144" s="17">
        <v>377.5</v>
      </c>
      <c r="H144" s="17">
        <v>0</v>
      </c>
      <c r="I144" s="17">
        <v>0</v>
      </c>
      <c r="J144" s="17">
        <v>0</v>
      </c>
      <c r="K144" s="17">
        <v>0</v>
      </c>
      <c r="L144" s="17">
        <v>0</v>
      </c>
      <c r="M144" s="17">
        <v>0</v>
      </c>
      <c r="N144" s="17">
        <v>0</v>
      </c>
      <c r="O144" s="17">
        <v>885</v>
      </c>
      <c r="P144" s="17">
        <v>15.3</v>
      </c>
      <c r="Q144" s="17">
        <v>0</v>
      </c>
      <c r="R144" s="17">
        <v>325.84999999999991</v>
      </c>
      <c r="S144" s="17">
        <v>0</v>
      </c>
      <c r="T144" s="17">
        <v>364.34999999999991</v>
      </c>
      <c r="U144" s="17">
        <v>0</v>
      </c>
      <c r="V144" s="17">
        <f t="shared" si="111"/>
        <v>3286.75</v>
      </c>
      <c r="W144" s="18">
        <v>5725.7</v>
      </c>
      <c r="X144" s="19">
        <v>5725.7</v>
      </c>
      <c r="Y144" s="17">
        <v>0</v>
      </c>
      <c r="Z144" s="19">
        <v>4719.0625</v>
      </c>
      <c r="AA144" s="17">
        <v>0</v>
      </c>
      <c r="AB144" s="17">
        <v>0</v>
      </c>
      <c r="AC144" s="17">
        <v>0</v>
      </c>
      <c r="AD144" s="17">
        <v>0</v>
      </c>
      <c r="AE144" s="17">
        <v>0</v>
      </c>
      <c r="AF144" s="19">
        <v>331.6</v>
      </c>
      <c r="AG144" s="24">
        <v>675.03750000000002</v>
      </c>
      <c r="AH144" s="17">
        <f t="shared" si="112"/>
        <v>-2438.9499999999998</v>
      </c>
      <c r="AI144" s="20">
        <v>2422.2539212180027</v>
      </c>
      <c r="AJ144" s="21">
        <v>17006.099999999999</v>
      </c>
      <c r="AK144" s="22">
        <v>9430.1876615296223</v>
      </c>
      <c r="AL144" s="22">
        <v>9728.7923327270946</v>
      </c>
      <c r="AM144" s="16">
        <v>24</v>
      </c>
      <c r="AN144" s="23">
        <f t="shared" si="78"/>
        <v>4509.17</v>
      </c>
      <c r="AO144" s="23">
        <f t="shared" si="79"/>
        <v>596.88</v>
      </c>
      <c r="AP144" s="23">
        <f t="shared" si="80"/>
        <v>0</v>
      </c>
      <c r="AQ144" s="23">
        <f t="shared" si="81"/>
        <v>388.75</v>
      </c>
      <c r="AR144" s="23">
        <f t="shared" si="82"/>
        <v>0</v>
      </c>
      <c r="AS144" s="23">
        <f t="shared" si="83"/>
        <v>1572.92</v>
      </c>
      <c r="AT144" s="23">
        <f t="shared" si="84"/>
        <v>0</v>
      </c>
      <c r="AU144" s="23">
        <f t="shared" si="85"/>
        <v>0</v>
      </c>
      <c r="AV144" s="23">
        <f t="shared" si="86"/>
        <v>0</v>
      </c>
      <c r="AW144" s="23">
        <f t="shared" si="87"/>
        <v>0</v>
      </c>
      <c r="AX144" s="23">
        <f t="shared" si="88"/>
        <v>0</v>
      </c>
      <c r="AY144" s="23">
        <f t="shared" si="89"/>
        <v>0</v>
      </c>
      <c r="AZ144" s="23">
        <f t="shared" si="90"/>
        <v>0</v>
      </c>
      <c r="BA144" s="23">
        <f t="shared" si="91"/>
        <v>3687.5</v>
      </c>
      <c r="BB144" s="23">
        <f t="shared" si="92"/>
        <v>63.75</v>
      </c>
      <c r="BC144" s="23">
        <f t="shared" si="93"/>
        <v>0</v>
      </c>
      <c r="BD144" s="23">
        <f t="shared" si="94"/>
        <v>1357.71</v>
      </c>
      <c r="BE144" s="23">
        <f t="shared" si="95"/>
        <v>0</v>
      </c>
      <c r="BF144" s="23">
        <f t="shared" si="96"/>
        <v>1518.13</v>
      </c>
      <c r="BG144" s="23">
        <f t="shared" si="97"/>
        <v>0</v>
      </c>
      <c r="BH144" s="23">
        <f t="shared" si="98"/>
        <v>13694.79</v>
      </c>
      <c r="BI144" s="23">
        <f t="shared" si="99"/>
        <v>23857.08</v>
      </c>
      <c r="BJ144" s="23">
        <f t="shared" si="100"/>
        <v>23857.08</v>
      </c>
      <c r="BK144" s="23">
        <f t="shared" si="101"/>
        <v>0</v>
      </c>
      <c r="BL144" s="23">
        <f t="shared" si="102"/>
        <v>19662.759999999998</v>
      </c>
      <c r="BM144" s="23">
        <f t="shared" si="103"/>
        <v>0</v>
      </c>
      <c r="BN144" s="23">
        <f t="shared" si="104"/>
        <v>0</v>
      </c>
      <c r="BO144" s="23">
        <f t="shared" si="105"/>
        <v>0</v>
      </c>
      <c r="BP144" s="23">
        <f t="shared" si="106"/>
        <v>0</v>
      </c>
      <c r="BQ144" s="23">
        <f t="shared" si="107"/>
        <v>0</v>
      </c>
      <c r="BR144" s="23">
        <f t="shared" si="108"/>
        <v>1381.67</v>
      </c>
      <c r="BS144" s="23">
        <f t="shared" si="109"/>
        <v>2812.66</v>
      </c>
      <c r="BT144" s="23">
        <f t="shared" si="110"/>
        <v>-10162.290000000001</v>
      </c>
      <c r="BU144" s="23">
        <f t="shared" si="110"/>
        <v>10092.719999999999</v>
      </c>
      <c r="BV144" s="23">
        <f t="shared" si="110"/>
        <v>70858.75</v>
      </c>
      <c r="BW144" s="23">
        <f t="shared" si="110"/>
        <v>39292.449999999997</v>
      </c>
      <c r="BX144" s="23">
        <f t="shared" si="110"/>
        <v>40536.629999999997</v>
      </c>
      <c r="BY144" t="s">
        <v>270</v>
      </c>
      <c r="BZ144" t="s">
        <v>317</v>
      </c>
      <c r="CE144" t="s">
        <v>267</v>
      </c>
      <c r="CF144" t="s">
        <v>266</v>
      </c>
      <c r="CG144" t="s">
        <v>266</v>
      </c>
      <c r="CH144" t="s">
        <v>266</v>
      </c>
      <c r="CI144" t="s">
        <v>266</v>
      </c>
      <c r="CJ144" t="s">
        <v>267</v>
      </c>
      <c r="CK144" t="s">
        <v>267</v>
      </c>
      <c r="CL144" t="s">
        <v>267</v>
      </c>
      <c r="CM144" t="s">
        <v>267</v>
      </c>
      <c r="CN144" t="s">
        <v>267</v>
      </c>
      <c r="CO144" t="s">
        <v>266</v>
      </c>
    </row>
    <row r="145" spans="1:93" x14ac:dyDescent="0.25">
      <c r="A145" s="2" t="s">
        <v>151</v>
      </c>
      <c r="B145" s="17">
        <v>1259.5999999999999</v>
      </c>
      <c r="C145" s="17">
        <v>143.25</v>
      </c>
      <c r="D145" s="17">
        <v>0</v>
      </c>
      <c r="E145" s="17">
        <v>99.5</v>
      </c>
      <c r="F145" s="17">
        <v>0</v>
      </c>
      <c r="G145" s="17">
        <v>500.1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1043</v>
      </c>
      <c r="P145" s="17">
        <v>17.7</v>
      </c>
      <c r="Q145" s="17">
        <v>0</v>
      </c>
      <c r="R145" s="17">
        <v>86.050000000000182</v>
      </c>
      <c r="S145" s="17">
        <v>0</v>
      </c>
      <c r="T145" s="17">
        <v>566.80000000000018</v>
      </c>
      <c r="U145" s="17">
        <v>0</v>
      </c>
      <c r="V145" s="17">
        <f t="shared" si="111"/>
        <v>3716</v>
      </c>
      <c r="W145" s="18">
        <v>5899</v>
      </c>
      <c r="X145" s="19">
        <v>6090.25</v>
      </c>
      <c r="Y145" s="17">
        <v>0</v>
      </c>
      <c r="Z145" s="19">
        <v>4962.1875</v>
      </c>
      <c r="AA145" s="17">
        <v>0</v>
      </c>
      <c r="AB145" s="17">
        <v>0</v>
      </c>
      <c r="AC145" s="17">
        <v>0</v>
      </c>
      <c r="AD145" s="17">
        <v>0</v>
      </c>
      <c r="AE145" s="17">
        <v>0</v>
      </c>
      <c r="AF145" s="19">
        <v>385.1</v>
      </c>
      <c r="AG145" s="24">
        <v>742.96250000000043</v>
      </c>
      <c r="AH145" s="17">
        <f t="shared" si="112"/>
        <v>-2183</v>
      </c>
      <c r="AI145" s="20">
        <v>2402.2708322689414</v>
      </c>
      <c r="AJ145" s="21">
        <v>19742.900000000001</v>
      </c>
      <c r="AK145" s="22">
        <v>9899.4977744807093</v>
      </c>
      <c r="AL145" s="22">
        <v>9942.3039867904627</v>
      </c>
      <c r="AM145" s="16">
        <v>24.8</v>
      </c>
      <c r="AN145" s="23">
        <f t="shared" si="78"/>
        <v>5079.03</v>
      </c>
      <c r="AO145" s="23">
        <f t="shared" si="79"/>
        <v>577.62</v>
      </c>
      <c r="AP145" s="23">
        <f t="shared" si="80"/>
        <v>0</v>
      </c>
      <c r="AQ145" s="23">
        <f t="shared" si="81"/>
        <v>401.21</v>
      </c>
      <c r="AR145" s="23">
        <f t="shared" si="82"/>
        <v>0</v>
      </c>
      <c r="AS145" s="23">
        <f t="shared" si="83"/>
        <v>2016.53</v>
      </c>
      <c r="AT145" s="23">
        <f t="shared" si="84"/>
        <v>0</v>
      </c>
      <c r="AU145" s="23">
        <f t="shared" si="85"/>
        <v>0</v>
      </c>
      <c r="AV145" s="23">
        <f t="shared" si="86"/>
        <v>0</v>
      </c>
      <c r="AW145" s="23">
        <f t="shared" si="87"/>
        <v>0</v>
      </c>
      <c r="AX145" s="23">
        <f t="shared" si="88"/>
        <v>0</v>
      </c>
      <c r="AY145" s="23">
        <f t="shared" si="89"/>
        <v>0</v>
      </c>
      <c r="AZ145" s="23">
        <f t="shared" si="90"/>
        <v>0</v>
      </c>
      <c r="BA145" s="23">
        <f t="shared" si="91"/>
        <v>4205.6499999999996</v>
      </c>
      <c r="BB145" s="23">
        <f t="shared" si="92"/>
        <v>71.37</v>
      </c>
      <c r="BC145" s="23">
        <f t="shared" si="93"/>
        <v>0</v>
      </c>
      <c r="BD145" s="23">
        <f t="shared" si="94"/>
        <v>346.98</v>
      </c>
      <c r="BE145" s="23">
        <f t="shared" si="95"/>
        <v>0</v>
      </c>
      <c r="BF145" s="23">
        <f t="shared" si="96"/>
        <v>2285.48</v>
      </c>
      <c r="BG145" s="23">
        <f t="shared" si="97"/>
        <v>0</v>
      </c>
      <c r="BH145" s="23">
        <f t="shared" si="98"/>
        <v>14983.87</v>
      </c>
      <c r="BI145" s="23">
        <f t="shared" si="99"/>
        <v>23786.29</v>
      </c>
      <c r="BJ145" s="23">
        <f t="shared" si="100"/>
        <v>24557.46</v>
      </c>
      <c r="BK145" s="23">
        <f t="shared" si="101"/>
        <v>0</v>
      </c>
      <c r="BL145" s="23">
        <f t="shared" si="102"/>
        <v>20008.82</v>
      </c>
      <c r="BM145" s="23">
        <f t="shared" si="103"/>
        <v>0</v>
      </c>
      <c r="BN145" s="23">
        <f t="shared" si="104"/>
        <v>0</v>
      </c>
      <c r="BO145" s="23">
        <f t="shared" si="105"/>
        <v>0</v>
      </c>
      <c r="BP145" s="23">
        <f t="shared" si="106"/>
        <v>0</v>
      </c>
      <c r="BQ145" s="23">
        <f t="shared" si="107"/>
        <v>0</v>
      </c>
      <c r="BR145" s="23">
        <f t="shared" si="108"/>
        <v>1552.82</v>
      </c>
      <c r="BS145" s="23">
        <f t="shared" si="109"/>
        <v>2995.82</v>
      </c>
      <c r="BT145" s="23">
        <f t="shared" si="110"/>
        <v>-8802.42</v>
      </c>
      <c r="BU145" s="23">
        <f t="shared" si="110"/>
        <v>9686.58</v>
      </c>
      <c r="BV145" s="23">
        <f t="shared" si="110"/>
        <v>79608.47</v>
      </c>
      <c r="BW145" s="23">
        <f t="shared" si="110"/>
        <v>39917.33</v>
      </c>
      <c r="BX145" s="23">
        <f t="shared" si="110"/>
        <v>40089.94</v>
      </c>
      <c r="BY145" t="s">
        <v>270</v>
      </c>
      <c r="BZ145" t="s">
        <v>317</v>
      </c>
      <c r="CE145" t="s">
        <v>267</v>
      </c>
      <c r="CF145" t="s">
        <v>266</v>
      </c>
      <c r="CG145" t="s">
        <v>266</v>
      </c>
      <c r="CH145" t="s">
        <v>266</v>
      </c>
      <c r="CI145" t="s">
        <v>266</v>
      </c>
      <c r="CJ145" t="s">
        <v>267</v>
      </c>
      <c r="CK145" t="s">
        <v>267</v>
      </c>
      <c r="CL145" t="s">
        <v>267</v>
      </c>
      <c r="CM145" t="s">
        <v>267</v>
      </c>
      <c r="CN145" t="s">
        <v>267</v>
      </c>
      <c r="CO145" t="s">
        <v>266</v>
      </c>
    </row>
    <row r="146" spans="1:93" x14ac:dyDescent="0.25">
      <c r="A146" s="2" t="s">
        <v>152</v>
      </c>
      <c r="B146" s="17">
        <v>1390.4</v>
      </c>
      <c r="C146" s="17">
        <v>140</v>
      </c>
      <c r="D146" s="17">
        <v>0</v>
      </c>
      <c r="E146" s="17">
        <v>110.9</v>
      </c>
      <c r="F146" s="17">
        <v>0</v>
      </c>
      <c r="G146" s="17">
        <v>510.4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1076</v>
      </c>
      <c r="P146" s="17">
        <v>17</v>
      </c>
      <c r="Q146" s="17">
        <v>0</v>
      </c>
      <c r="R146" s="17">
        <v>109.99999999999955</v>
      </c>
      <c r="S146" s="17">
        <v>0</v>
      </c>
      <c r="T146" s="17">
        <v>499.30000000000018</v>
      </c>
      <c r="U146" s="17">
        <v>0</v>
      </c>
      <c r="V146" s="17">
        <f t="shared" si="111"/>
        <v>3854</v>
      </c>
      <c r="W146" s="18">
        <v>6174.4</v>
      </c>
      <c r="X146" s="19">
        <v>6174.4</v>
      </c>
      <c r="Y146" s="17">
        <v>0</v>
      </c>
      <c r="Z146" s="19">
        <v>4958.125</v>
      </c>
      <c r="AA146" s="17">
        <v>0</v>
      </c>
      <c r="AB146" s="17">
        <v>0</v>
      </c>
      <c r="AC146" s="17">
        <v>0</v>
      </c>
      <c r="AD146" s="17">
        <v>0</v>
      </c>
      <c r="AE146" s="17">
        <v>0</v>
      </c>
      <c r="AF146" s="19">
        <v>434.9</v>
      </c>
      <c r="AG146" s="24">
        <v>781.37499999999955</v>
      </c>
      <c r="AH146" s="17">
        <f t="shared" si="112"/>
        <v>-2320.3999999999996</v>
      </c>
      <c r="AI146" s="20">
        <v>2216.3522198947526</v>
      </c>
      <c r="AJ146" s="21">
        <v>22541.3</v>
      </c>
      <c r="AK146" s="22">
        <v>9896.9623097539934</v>
      </c>
      <c r="AL146" s="22">
        <v>9763.4727433713015</v>
      </c>
      <c r="AM146" s="16">
        <v>25.5</v>
      </c>
      <c r="AN146" s="23">
        <f t="shared" si="78"/>
        <v>5452.55</v>
      </c>
      <c r="AO146" s="23">
        <f t="shared" si="79"/>
        <v>549.02</v>
      </c>
      <c r="AP146" s="23">
        <f t="shared" si="80"/>
        <v>0</v>
      </c>
      <c r="AQ146" s="23">
        <f t="shared" si="81"/>
        <v>434.9</v>
      </c>
      <c r="AR146" s="23">
        <f t="shared" si="82"/>
        <v>0</v>
      </c>
      <c r="AS146" s="23">
        <f t="shared" si="83"/>
        <v>2001.57</v>
      </c>
      <c r="AT146" s="23">
        <f t="shared" si="84"/>
        <v>0</v>
      </c>
      <c r="AU146" s="23">
        <f t="shared" si="85"/>
        <v>0</v>
      </c>
      <c r="AV146" s="23">
        <f t="shared" si="86"/>
        <v>0</v>
      </c>
      <c r="AW146" s="23">
        <f t="shared" si="87"/>
        <v>0</v>
      </c>
      <c r="AX146" s="23">
        <f t="shared" si="88"/>
        <v>0</v>
      </c>
      <c r="AY146" s="23">
        <f t="shared" si="89"/>
        <v>0</v>
      </c>
      <c r="AZ146" s="23">
        <f t="shared" si="90"/>
        <v>0</v>
      </c>
      <c r="BA146" s="23">
        <f t="shared" si="91"/>
        <v>4219.6099999999997</v>
      </c>
      <c r="BB146" s="23">
        <f t="shared" si="92"/>
        <v>66.67</v>
      </c>
      <c r="BC146" s="23">
        <f t="shared" si="93"/>
        <v>0</v>
      </c>
      <c r="BD146" s="23">
        <f t="shared" si="94"/>
        <v>431.37</v>
      </c>
      <c r="BE146" s="23">
        <f t="shared" si="95"/>
        <v>0</v>
      </c>
      <c r="BF146" s="23">
        <f t="shared" si="96"/>
        <v>1958.04</v>
      </c>
      <c r="BG146" s="23">
        <f t="shared" si="97"/>
        <v>0</v>
      </c>
      <c r="BH146" s="23">
        <f t="shared" si="98"/>
        <v>15113.73</v>
      </c>
      <c r="BI146" s="23">
        <f t="shared" si="99"/>
        <v>24213.33</v>
      </c>
      <c r="BJ146" s="23">
        <f t="shared" si="100"/>
        <v>24213.33</v>
      </c>
      <c r="BK146" s="23">
        <f t="shared" si="101"/>
        <v>0</v>
      </c>
      <c r="BL146" s="23">
        <f t="shared" si="102"/>
        <v>19443.63</v>
      </c>
      <c r="BM146" s="23">
        <f t="shared" si="103"/>
        <v>0</v>
      </c>
      <c r="BN146" s="23">
        <f t="shared" si="104"/>
        <v>0</v>
      </c>
      <c r="BO146" s="23">
        <f t="shared" si="105"/>
        <v>0</v>
      </c>
      <c r="BP146" s="23">
        <f t="shared" si="106"/>
        <v>0</v>
      </c>
      <c r="BQ146" s="23">
        <f t="shared" si="107"/>
        <v>0</v>
      </c>
      <c r="BR146" s="23">
        <f t="shared" si="108"/>
        <v>1705.49</v>
      </c>
      <c r="BS146" s="23">
        <f t="shared" si="109"/>
        <v>3064.22</v>
      </c>
      <c r="BT146" s="23">
        <f t="shared" ref="BT146:BX161" si="113">_xlfn.SINGLE(ROUND((AH146/$AM146)*100,2))</f>
        <v>-9099.61</v>
      </c>
      <c r="BU146" s="23">
        <f t="shared" si="113"/>
        <v>8691.58</v>
      </c>
      <c r="BV146" s="23">
        <f t="shared" si="113"/>
        <v>88397.25</v>
      </c>
      <c r="BW146" s="23">
        <f t="shared" si="113"/>
        <v>38811.620000000003</v>
      </c>
      <c r="BX146" s="23">
        <f t="shared" si="113"/>
        <v>38288.129999999997</v>
      </c>
      <c r="BY146" t="s">
        <v>270</v>
      </c>
      <c r="BZ146" t="s">
        <v>317</v>
      </c>
      <c r="CE146" t="s">
        <v>267</v>
      </c>
      <c r="CF146" t="s">
        <v>266</v>
      </c>
      <c r="CG146" t="s">
        <v>266</v>
      </c>
      <c r="CH146" t="s">
        <v>266</v>
      </c>
      <c r="CI146" t="s">
        <v>266</v>
      </c>
      <c r="CJ146" t="s">
        <v>267</v>
      </c>
      <c r="CK146" t="s">
        <v>267</v>
      </c>
      <c r="CL146" t="s">
        <v>267</v>
      </c>
      <c r="CM146" t="s">
        <v>267</v>
      </c>
      <c r="CN146" t="s">
        <v>267</v>
      </c>
      <c r="CO146" t="s">
        <v>266</v>
      </c>
    </row>
    <row r="147" spans="1:93" x14ac:dyDescent="0.25">
      <c r="A147" s="2" t="s">
        <v>153</v>
      </c>
      <c r="B147" s="17">
        <v>1430.4</v>
      </c>
      <c r="C147" s="17">
        <v>145.25</v>
      </c>
      <c r="D147" s="17">
        <v>0</v>
      </c>
      <c r="E147" s="17">
        <v>120.3</v>
      </c>
      <c r="F147" s="17">
        <v>0</v>
      </c>
      <c r="G147" s="17">
        <v>466.4</v>
      </c>
      <c r="H147" s="17">
        <v>0</v>
      </c>
      <c r="I147" s="17">
        <v>0</v>
      </c>
      <c r="J147" s="17">
        <v>0</v>
      </c>
      <c r="K147" s="17">
        <v>0</v>
      </c>
      <c r="L147" s="17">
        <v>0</v>
      </c>
      <c r="M147" s="17">
        <v>0</v>
      </c>
      <c r="N147" s="17">
        <v>0</v>
      </c>
      <c r="O147" s="17">
        <v>1111</v>
      </c>
      <c r="P147" s="17">
        <v>25.1</v>
      </c>
      <c r="Q147" s="17">
        <v>0</v>
      </c>
      <c r="R147" s="17">
        <v>102.75</v>
      </c>
      <c r="S147" s="17">
        <v>0</v>
      </c>
      <c r="T147" s="17">
        <v>432.55000000000018</v>
      </c>
      <c r="U147" s="17">
        <v>0</v>
      </c>
      <c r="V147" s="17">
        <f t="shared" si="111"/>
        <v>3833.75</v>
      </c>
      <c r="W147" s="18">
        <v>5591.5</v>
      </c>
      <c r="X147" s="19">
        <v>5591.5</v>
      </c>
      <c r="Y147" s="17">
        <v>0</v>
      </c>
      <c r="Z147" s="19">
        <v>3949.5749999999998</v>
      </c>
      <c r="AA147" s="17">
        <v>0</v>
      </c>
      <c r="AB147" s="17">
        <v>0</v>
      </c>
      <c r="AC147" s="17">
        <v>0</v>
      </c>
      <c r="AD147" s="17">
        <v>0</v>
      </c>
      <c r="AE147" s="17">
        <v>0</v>
      </c>
      <c r="AF147" s="19">
        <v>474.9</v>
      </c>
      <c r="AG147" s="24">
        <v>1167.0250000000001</v>
      </c>
      <c r="AH147" s="17">
        <f t="shared" si="112"/>
        <v>-1757.75</v>
      </c>
      <c r="AI147" s="20">
        <v>1474.954324835232</v>
      </c>
      <c r="AJ147" s="21">
        <v>23773.9</v>
      </c>
      <c r="AK147" s="22">
        <v>9711.6087154206944</v>
      </c>
      <c r="AL147" s="22">
        <v>9741.370225902172</v>
      </c>
      <c r="AM147" s="16">
        <v>26.2</v>
      </c>
      <c r="AN147" s="23">
        <f t="shared" si="78"/>
        <v>5459.54</v>
      </c>
      <c r="AO147" s="23">
        <f t="shared" si="79"/>
        <v>554.39</v>
      </c>
      <c r="AP147" s="23">
        <f t="shared" si="80"/>
        <v>0</v>
      </c>
      <c r="AQ147" s="23">
        <f t="shared" si="81"/>
        <v>459.16</v>
      </c>
      <c r="AR147" s="23">
        <f t="shared" si="82"/>
        <v>0</v>
      </c>
      <c r="AS147" s="23">
        <f t="shared" si="83"/>
        <v>1780.15</v>
      </c>
      <c r="AT147" s="23">
        <f t="shared" si="84"/>
        <v>0</v>
      </c>
      <c r="AU147" s="23">
        <f t="shared" si="85"/>
        <v>0</v>
      </c>
      <c r="AV147" s="23">
        <f t="shared" si="86"/>
        <v>0</v>
      </c>
      <c r="AW147" s="23">
        <f t="shared" si="87"/>
        <v>0</v>
      </c>
      <c r="AX147" s="23">
        <f t="shared" si="88"/>
        <v>0</v>
      </c>
      <c r="AY147" s="23">
        <f t="shared" si="89"/>
        <v>0</v>
      </c>
      <c r="AZ147" s="23">
        <f t="shared" si="90"/>
        <v>0</v>
      </c>
      <c r="BA147" s="23">
        <f t="shared" si="91"/>
        <v>4240.46</v>
      </c>
      <c r="BB147" s="23">
        <f t="shared" si="92"/>
        <v>95.8</v>
      </c>
      <c r="BC147" s="23">
        <f t="shared" si="93"/>
        <v>0</v>
      </c>
      <c r="BD147" s="23">
        <f t="shared" si="94"/>
        <v>392.18</v>
      </c>
      <c r="BE147" s="23">
        <f t="shared" si="95"/>
        <v>0</v>
      </c>
      <c r="BF147" s="23">
        <f t="shared" si="96"/>
        <v>1650.95</v>
      </c>
      <c r="BG147" s="23">
        <f t="shared" si="97"/>
        <v>0</v>
      </c>
      <c r="BH147" s="23">
        <f t="shared" si="98"/>
        <v>14632.63</v>
      </c>
      <c r="BI147" s="23">
        <f t="shared" si="99"/>
        <v>21341.599999999999</v>
      </c>
      <c r="BJ147" s="23">
        <f t="shared" si="100"/>
        <v>21341.599999999999</v>
      </c>
      <c r="BK147" s="23">
        <f t="shared" si="101"/>
        <v>0</v>
      </c>
      <c r="BL147" s="23">
        <f t="shared" si="102"/>
        <v>15074.71</v>
      </c>
      <c r="BM147" s="23">
        <f t="shared" si="103"/>
        <v>0</v>
      </c>
      <c r="BN147" s="23">
        <f t="shared" si="104"/>
        <v>0</v>
      </c>
      <c r="BO147" s="23">
        <f t="shared" si="105"/>
        <v>0</v>
      </c>
      <c r="BP147" s="23">
        <f t="shared" si="106"/>
        <v>0</v>
      </c>
      <c r="BQ147" s="23">
        <f t="shared" si="107"/>
        <v>0</v>
      </c>
      <c r="BR147" s="23">
        <f t="shared" si="108"/>
        <v>1812.6</v>
      </c>
      <c r="BS147" s="23">
        <f t="shared" si="109"/>
        <v>4454.29</v>
      </c>
      <c r="BT147" s="23">
        <f t="shared" si="113"/>
        <v>-6708.97</v>
      </c>
      <c r="BU147" s="23">
        <f t="shared" si="113"/>
        <v>5629.6</v>
      </c>
      <c r="BV147" s="23">
        <f t="shared" si="113"/>
        <v>90740.08</v>
      </c>
      <c r="BW147" s="23">
        <f t="shared" si="113"/>
        <v>37067.21</v>
      </c>
      <c r="BX147" s="23">
        <f t="shared" si="113"/>
        <v>37180.800000000003</v>
      </c>
      <c r="BY147" t="s">
        <v>273</v>
      </c>
      <c r="CE147" t="s">
        <v>267</v>
      </c>
      <c r="CF147" t="s">
        <v>266</v>
      </c>
      <c r="CG147" t="s">
        <v>266</v>
      </c>
      <c r="CH147" t="s">
        <v>266</v>
      </c>
      <c r="CI147" t="s">
        <v>266</v>
      </c>
      <c r="CJ147" t="s">
        <v>267</v>
      </c>
      <c r="CK147" t="s">
        <v>267</v>
      </c>
      <c r="CL147" t="s">
        <v>267</v>
      </c>
      <c r="CM147" t="s">
        <v>267</v>
      </c>
      <c r="CN147" t="s">
        <v>267</v>
      </c>
      <c r="CO147" t="s">
        <v>266</v>
      </c>
    </row>
    <row r="148" spans="1:93" x14ac:dyDescent="0.25">
      <c r="A148" s="2" t="s">
        <v>154</v>
      </c>
      <c r="B148" s="17">
        <v>1210.5</v>
      </c>
      <c r="C148" s="17">
        <v>185.5</v>
      </c>
      <c r="D148" s="17">
        <v>0</v>
      </c>
      <c r="E148" s="17">
        <v>148</v>
      </c>
      <c r="F148" s="17">
        <v>0</v>
      </c>
      <c r="G148" s="17">
        <v>357.5</v>
      </c>
      <c r="H148" s="17"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464</v>
      </c>
      <c r="O148" s="17">
        <v>643</v>
      </c>
      <c r="P148" s="17">
        <v>39</v>
      </c>
      <c r="Q148" s="17">
        <v>11</v>
      </c>
      <c r="R148" s="17">
        <v>308.5</v>
      </c>
      <c r="S148" s="17">
        <v>120</v>
      </c>
      <c r="T148" s="17">
        <v>172</v>
      </c>
      <c r="U148" s="17">
        <v>3547</v>
      </c>
      <c r="V148" s="17">
        <f t="shared" si="111"/>
        <v>3659</v>
      </c>
      <c r="W148" s="18">
        <v>3890</v>
      </c>
      <c r="X148" s="19">
        <v>4010.4999999999995</v>
      </c>
      <c r="Y148" s="19">
        <v>356.25</v>
      </c>
      <c r="Z148" s="19">
        <v>1743.9625000000001</v>
      </c>
      <c r="AA148" s="17">
        <v>0</v>
      </c>
      <c r="AB148" s="17">
        <v>0</v>
      </c>
      <c r="AC148" s="17">
        <v>0</v>
      </c>
      <c r="AD148" s="17">
        <v>0</v>
      </c>
      <c r="AE148" s="17">
        <v>0</v>
      </c>
      <c r="AF148" s="19">
        <v>504</v>
      </c>
      <c r="AG148" s="24">
        <v>2118.7874999999995</v>
      </c>
      <c r="AH148" s="17">
        <f t="shared" si="112"/>
        <v>-231</v>
      </c>
      <c r="AI148" s="20">
        <v>629</v>
      </c>
      <c r="AJ148" s="21">
        <v>25770.6</v>
      </c>
      <c r="AK148" s="22">
        <v>9953.1955824638644</v>
      </c>
      <c r="AL148" s="22">
        <v>10347.084785105773</v>
      </c>
      <c r="AM148" s="16">
        <v>27</v>
      </c>
      <c r="AN148" s="23">
        <f t="shared" si="78"/>
        <v>4483.33</v>
      </c>
      <c r="AO148" s="23">
        <f t="shared" si="79"/>
        <v>687.04</v>
      </c>
      <c r="AP148" s="23">
        <f t="shared" si="80"/>
        <v>0</v>
      </c>
      <c r="AQ148" s="23">
        <f t="shared" si="81"/>
        <v>548.15</v>
      </c>
      <c r="AR148" s="23">
        <f t="shared" si="82"/>
        <v>0</v>
      </c>
      <c r="AS148" s="23">
        <f t="shared" si="83"/>
        <v>1324.07</v>
      </c>
      <c r="AT148" s="23">
        <f t="shared" si="84"/>
        <v>0</v>
      </c>
      <c r="AU148" s="23">
        <f t="shared" si="85"/>
        <v>0</v>
      </c>
      <c r="AV148" s="23">
        <f t="shared" si="86"/>
        <v>0</v>
      </c>
      <c r="AW148" s="23">
        <f t="shared" si="87"/>
        <v>0</v>
      </c>
      <c r="AX148" s="23">
        <f t="shared" si="88"/>
        <v>0</v>
      </c>
      <c r="AY148" s="23">
        <f t="shared" si="89"/>
        <v>0</v>
      </c>
      <c r="AZ148" s="23">
        <f t="shared" si="90"/>
        <v>1718.52</v>
      </c>
      <c r="BA148" s="23">
        <f t="shared" si="91"/>
        <v>2381.48</v>
      </c>
      <c r="BB148" s="23">
        <f t="shared" si="92"/>
        <v>144.44</v>
      </c>
      <c r="BC148" s="23">
        <f t="shared" si="93"/>
        <v>40.74</v>
      </c>
      <c r="BD148" s="23">
        <f t="shared" si="94"/>
        <v>1142.5899999999999</v>
      </c>
      <c r="BE148" s="23">
        <f t="shared" si="95"/>
        <v>444.44</v>
      </c>
      <c r="BF148" s="23">
        <f t="shared" si="96"/>
        <v>637.04</v>
      </c>
      <c r="BG148" s="23">
        <f t="shared" si="97"/>
        <v>13137.04</v>
      </c>
      <c r="BH148" s="23">
        <f t="shared" si="98"/>
        <v>13551.85</v>
      </c>
      <c r="BI148" s="23">
        <f t="shared" si="99"/>
        <v>14407.41</v>
      </c>
      <c r="BJ148" s="23">
        <f t="shared" si="100"/>
        <v>14853.7</v>
      </c>
      <c r="BK148" s="23">
        <f t="shared" si="101"/>
        <v>1319.44</v>
      </c>
      <c r="BL148" s="23">
        <f t="shared" si="102"/>
        <v>6459.12</v>
      </c>
      <c r="BM148" s="23">
        <f t="shared" si="103"/>
        <v>0</v>
      </c>
      <c r="BN148" s="23">
        <f t="shared" si="104"/>
        <v>0</v>
      </c>
      <c r="BO148" s="23">
        <f t="shared" si="105"/>
        <v>0</v>
      </c>
      <c r="BP148" s="23">
        <f t="shared" si="106"/>
        <v>0</v>
      </c>
      <c r="BQ148" s="23">
        <f t="shared" si="107"/>
        <v>0</v>
      </c>
      <c r="BR148" s="23">
        <f t="shared" si="108"/>
        <v>1866.67</v>
      </c>
      <c r="BS148" s="23">
        <f t="shared" si="109"/>
        <v>7847.36</v>
      </c>
      <c r="BT148" s="23">
        <f t="shared" si="113"/>
        <v>-855.56</v>
      </c>
      <c r="BU148" s="23">
        <f t="shared" si="113"/>
        <v>2329.63</v>
      </c>
      <c r="BV148" s="23">
        <f t="shared" si="113"/>
        <v>95446.67</v>
      </c>
      <c r="BW148" s="23">
        <f t="shared" si="113"/>
        <v>36863.69</v>
      </c>
      <c r="BX148" s="23">
        <f t="shared" si="113"/>
        <v>38322.54</v>
      </c>
      <c r="BY148" t="s">
        <v>273</v>
      </c>
      <c r="CE148" t="s">
        <v>267</v>
      </c>
      <c r="CF148" t="s">
        <v>266</v>
      </c>
      <c r="CG148" t="s">
        <v>266</v>
      </c>
      <c r="CH148" t="s">
        <v>266</v>
      </c>
      <c r="CI148" t="s">
        <v>266</v>
      </c>
      <c r="CJ148" t="s">
        <v>267</v>
      </c>
      <c r="CK148" t="s">
        <v>267</v>
      </c>
      <c r="CL148" t="s">
        <v>267</v>
      </c>
      <c r="CM148" t="s">
        <v>267</v>
      </c>
      <c r="CN148" t="s">
        <v>267</v>
      </c>
      <c r="CO148" t="s">
        <v>266</v>
      </c>
    </row>
    <row r="149" spans="1:93" x14ac:dyDescent="0.25">
      <c r="A149" s="2" t="s">
        <v>155</v>
      </c>
      <c r="B149" s="17">
        <v>1139.3</v>
      </c>
      <c r="C149" s="17">
        <v>257</v>
      </c>
      <c r="D149" s="17">
        <v>0</v>
      </c>
      <c r="E149" s="17">
        <v>172</v>
      </c>
      <c r="F149" s="17">
        <v>0</v>
      </c>
      <c r="G149" s="17">
        <v>288.7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0</v>
      </c>
      <c r="N149" s="17">
        <v>555</v>
      </c>
      <c r="O149" s="17">
        <v>753</v>
      </c>
      <c r="P149" s="17">
        <v>52</v>
      </c>
      <c r="Q149" s="17">
        <v>11</v>
      </c>
      <c r="R149" s="17">
        <v>347</v>
      </c>
      <c r="S149" s="17">
        <v>128</v>
      </c>
      <c r="T149" s="17">
        <v>257</v>
      </c>
      <c r="U149" s="17">
        <v>3717</v>
      </c>
      <c r="V149" s="17">
        <f t="shared" si="111"/>
        <v>3960</v>
      </c>
      <c r="W149" s="18">
        <v>3447</v>
      </c>
      <c r="X149" s="19">
        <v>3602.0000000000005</v>
      </c>
      <c r="Y149" s="19">
        <v>532.5</v>
      </c>
      <c r="Z149" s="19">
        <v>860.04516266044072</v>
      </c>
      <c r="AA149" s="17">
        <v>0</v>
      </c>
      <c r="AB149" s="17">
        <v>0</v>
      </c>
      <c r="AC149" s="17">
        <v>0</v>
      </c>
      <c r="AD149" s="17">
        <v>0</v>
      </c>
      <c r="AE149" s="17">
        <v>0</v>
      </c>
      <c r="AF149" s="19">
        <v>527</v>
      </c>
      <c r="AG149" s="24">
        <v>2747.4548373395592</v>
      </c>
      <c r="AH149" s="17">
        <f t="shared" si="112"/>
        <v>513</v>
      </c>
      <c r="AI149" s="20">
        <v>79</v>
      </c>
      <c r="AJ149" s="21">
        <v>25772.7</v>
      </c>
      <c r="AK149" s="22">
        <v>10803.272039820044</v>
      </c>
      <c r="AL149" s="22">
        <v>11321.757346606682</v>
      </c>
      <c r="AM149" s="16">
        <v>28.9</v>
      </c>
      <c r="AN149" s="23">
        <f t="shared" si="78"/>
        <v>3942.21</v>
      </c>
      <c r="AO149" s="23">
        <f t="shared" si="79"/>
        <v>889.27</v>
      </c>
      <c r="AP149" s="23">
        <f t="shared" si="80"/>
        <v>0</v>
      </c>
      <c r="AQ149" s="23">
        <f t="shared" si="81"/>
        <v>595.16</v>
      </c>
      <c r="AR149" s="23">
        <f t="shared" si="82"/>
        <v>0</v>
      </c>
      <c r="AS149" s="23">
        <f t="shared" si="83"/>
        <v>998.96</v>
      </c>
      <c r="AT149" s="23">
        <f t="shared" si="84"/>
        <v>0</v>
      </c>
      <c r="AU149" s="23">
        <f t="shared" si="85"/>
        <v>0</v>
      </c>
      <c r="AV149" s="23">
        <f t="shared" si="86"/>
        <v>0</v>
      </c>
      <c r="AW149" s="23">
        <f t="shared" si="87"/>
        <v>0</v>
      </c>
      <c r="AX149" s="23">
        <f t="shared" si="88"/>
        <v>0</v>
      </c>
      <c r="AY149" s="23">
        <f t="shared" si="89"/>
        <v>0</v>
      </c>
      <c r="AZ149" s="23">
        <f t="shared" si="90"/>
        <v>1920.42</v>
      </c>
      <c r="BA149" s="23">
        <f t="shared" si="91"/>
        <v>2605.54</v>
      </c>
      <c r="BB149" s="23">
        <f t="shared" si="92"/>
        <v>179.93</v>
      </c>
      <c r="BC149" s="23">
        <f t="shared" si="93"/>
        <v>38.06</v>
      </c>
      <c r="BD149" s="23">
        <f t="shared" si="94"/>
        <v>1200.69</v>
      </c>
      <c r="BE149" s="23">
        <f t="shared" si="95"/>
        <v>442.91</v>
      </c>
      <c r="BF149" s="23">
        <f t="shared" si="96"/>
        <v>889.27</v>
      </c>
      <c r="BG149" s="23">
        <f t="shared" si="97"/>
        <v>12861.59</v>
      </c>
      <c r="BH149" s="23">
        <f t="shared" si="98"/>
        <v>13702.42</v>
      </c>
      <c r="BI149" s="23">
        <f t="shared" si="99"/>
        <v>11927.34</v>
      </c>
      <c r="BJ149" s="23">
        <f t="shared" si="100"/>
        <v>12463.67</v>
      </c>
      <c r="BK149" s="23">
        <f t="shared" si="101"/>
        <v>1842.56</v>
      </c>
      <c r="BL149" s="23">
        <f t="shared" si="102"/>
        <v>2975.93</v>
      </c>
      <c r="BM149" s="23">
        <f t="shared" si="103"/>
        <v>0</v>
      </c>
      <c r="BN149" s="23">
        <f t="shared" si="104"/>
        <v>0</v>
      </c>
      <c r="BO149" s="23">
        <f t="shared" si="105"/>
        <v>0</v>
      </c>
      <c r="BP149" s="23">
        <f t="shared" si="106"/>
        <v>0</v>
      </c>
      <c r="BQ149" s="23">
        <f t="shared" si="107"/>
        <v>0</v>
      </c>
      <c r="BR149" s="23">
        <f t="shared" si="108"/>
        <v>1823.53</v>
      </c>
      <c r="BS149" s="23">
        <f t="shared" si="109"/>
        <v>9506.76</v>
      </c>
      <c r="BT149" s="23">
        <f t="shared" si="113"/>
        <v>1775.09</v>
      </c>
      <c r="BU149" s="23">
        <f t="shared" si="113"/>
        <v>273.36</v>
      </c>
      <c r="BV149" s="23">
        <f t="shared" si="113"/>
        <v>89178.89</v>
      </c>
      <c r="BW149" s="23">
        <f t="shared" si="113"/>
        <v>37381.56</v>
      </c>
      <c r="BX149" s="23">
        <f t="shared" si="113"/>
        <v>39175.629999999997</v>
      </c>
      <c r="BY149" t="s">
        <v>273</v>
      </c>
      <c r="CE149" t="s">
        <v>267</v>
      </c>
      <c r="CF149" t="s">
        <v>266</v>
      </c>
      <c r="CG149" t="s">
        <v>266</v>
      </c>
      <c r="CH149" t="s">
        <v>266</v>
      </c>
      <c r="CI149" t="s">
        <v>266</v>
      </c>
      <c r="CJ149" t="s">
        <v>267</v>
      </c>
      <c r="CK149" t="s">
        <v>267</v>
      </c>
      <c r="CL149" t="s">
        <v>267</v>
      </c>
      <c r="CM149" t="s">
        <v>267</v>
      </c>
      <c r="CN149" t="s">
        <v>267</v>
      </c>
      <c r="CO149" t="s">
        <v>266</v>
      </c>
    </row>
    <row r="150" spans="1:93" x14ac:dyDescent="0.25">
      <c r="A150" s="2" t="s">
        <v>156</v>
      </c>
      <c r="B150" s="17">
        <v>1347.1</v>
      </c>
      <c r="C150" s="17">
        <v>361</v>
      </c>
      <c r="D150" s="17">
        <v>0</v>
      </c>
      <c r="E150" s="17">
        <v>177.1</v>
      </c>
      <c r="F150" s="17">
        <v>0</v>
      </c>
      <c r="G150" s="17">
        <v>278.89999999999998</v>
      </c>
      <c r="H150" s="17">
        <v>0</v>
      </c>
      <c r="I150" s="17">
        <v>0</v>
      </c>
      <c r="J150" s="17">
        <v>0</v>
      </c>
      <c r="K150" s="17">
        <v>0</v>
      </c>
      <c r="L150" s="17">
        <v>0</v>
      </c>
      <c r="M150" s="17">
        <v>0</v>
      </c>
      <c r="N150" s="17">
        <v>598</v>
      </c>
      <c r="O150" s="17">
        <v>895</v>
      </c>
      <c r="P150" s="17">
        <v>58</v>
      </c>
      <c r="Q150" s="17">
        <v>12</v>
      </c>
      <c r="R150" s="17">
        <v>477.90000000000009</v>
      </c>
      <c r="S150" s="17">
        <v>151</v>
      </c>
      <c r="T150" s="17">
        <v>562</v>
      </c>
      <c r="U150" s="17">
        <v>4251</v>
      </c>
      <c r="V150" s="17">
        <f t="shared" si="111"/>
        <v>4918</v>
      </c>
      <c r="W150" s="18">
        <v>3595</v>
      </c>
      <c r="X150" s="19">
        <v>3780.9999999999995</v>
      </c>
      <c r="Y150" s="19">
        <v>732.75</v>
      </c>
      <c r="Z150" s="19">
        <v>809.41438953010356</v>
      </c>
      <c r="AA150" s="19">
        <v>252.71859474804808</v>
      </c>
      <c r="AB150" s="17">
        <v>0</v>
      </c>
      <c r="AC150" s="17">
        <v>0</v>
      </c>
      <c r="AD150" s="17">
        <v>0</v>
      </c>
      <c r="AE150" s="19">
        <v>314.18918918918922</v>
      </c>
      <c r="AF150" s="19">
        <v>520</v>
      </c>
      <c r="AG150" s="24">
        <v>2617.4278265326593</v>
      </c>
      <c r="AH150" s="17">
        <f t="shared" si="112"/>
        <v>1323</v>
      </c>
      <c r="AI150" s="20">
        <v>496</v>
      </c>
      <c r="AJ150" s="21">
        <v>25331.8</v>
      </c>
      <c r="AK150" s="22">
        <v>11425</v>
      </c>
      <c r="AL150" s="22">
        <v>12152.5</v>
      </c>
      <c r="AM150" s="16">
        <v>31.1</v>
      </c>
      <c r="AN150" s="23">
        <f t="shared" si="78"/>
        <v>4331.51</v>
      </c>
      <c r="AO150" s="23">
        <f t="shared" si="79"/>
        <v>1160.77</v>
      </c>
      <c r="AP150" s="23">
        <f t="shared" si="80"/>
        <v>0</v>
      </c>
      <c r="AQ150" s="23">
        <f t="shared" si="81"/>
        <v>569.45000000000005</v>
      </c>
      <c r="AR150" s="23">
        <f t="shared" si="82"/>
        <v>0</v>
      </c>
      <c r="AS150" s="23">
        <f t="shared" si="83"/>
        <v>896.78</v>
      </c>
      <c r="AT150" s="23">
        <f t="shared" si="84"/>
        <v>0</v>
      </c>
      <c r="AU150" s="23">
        <f t="shared" si="85"/>
        <v>0</v>
      </c>
      <c r="AV150" s="23">
        <f t="shared" si="86"/>
        <v>0</v>
      </c>
      <c r="AW150" s="23">
        <f t="shared" si="87"/>
        <v>0</v>
      </c>
      <c r="AX150" s="23">
        <f t="shared" si="88"/>
        <v>0</v>
      </c>
      <c r="AY150" s="23">
        <f t="shared" si="89"/>
        <v>0</v>
      </c>
      <c r="AZ150" s="23">
        <f t="shared" si="90"/>
        <v>1922.83</v>
      </c>
      <c r="BA150" s="23">
        <f t="shared" si="91"/>
        <v>2877.81</v>
      </c>
      <c r="BB150" s="23">
        <f t="shared" si="92"/>
        <v>186.5</v>
      </c>
      <c r="BC150" s="23">
        <f t="shared" si="93"/>
        <v>38.590000000000003</v>
      </c>
      <c r="BD150" s="23">
        <f t="shared" si="94"/>
        <v>1536.66</v>
      </c>
      <c r="BE150" s="23">
        <f t="shared" si="95"/>
        <v>485.53</v>
      </c>
      <c r="BF150" s="23">
        <f t="shared" si="96"/>
        <v>1807.07</v>
      </c>
      <c r="BG150" s="23">
        <f t="shared" si="97"/>
        <v>13668.81</v>
      </c>
      <c r="BH150" s="23">
        <f t="shared" si="98"/>
        <v>15813.5</v>
      </c>
      <c r="BI150" s="23">
        <f t="shared" si="99"/>
        <v>11559.49</v>
      </c>
      <c r="BJ150" s="23">
        <f t="shared" si="100"/>
        <v>12157.56</v>
      </c>
      <c r="BK150" s="23">
        <f t="shared" si="101"/>
        <v>2356.11</v>
      </c>
      <c r="BL150" s="23">
        <f t="shared" si="102"/>
        <v>2602.62</v>
      </c>
      <c r="BM150" s="23">
        <f t="shared" si="103"/>
        <v>812.6</v>
      </c>
      <c r="BN150" s="23">
        <f t="shared" si="104"/>
        <v>0</v>
      </c>
      <c r="BO150" s="23">
        <f t="shared" si="105"/>
        <v>0</v>
      </c>
      <c r="BP150" s="23">
        <f t="shared" si="106"/>
        <v>0</v>
      </c>
      <c r="BQ150" s="23">
        <f t="shared" si="107"/>
        <v>1010.25</v>
      </c>
      <c r="BR150" s="23">
        <f t="shared" si="108"/>
        <v>1672.03</v>
      </c>
      <c r="BS150" s="23">
        <f t="shared" si="109"/>
        <v>8416.17</v>
      </c>
      <c r="BT150" s="23">
        <f t="shared" si="113"/>
        <v>4254.0200000000004</v>
      </c>
      <c r="BU150" s="23">
        <f t="shared" si="113"/>
        <v>1594.86</v>
      </c>
      <c r="BV150" s="23">
        <f t="shared" si="113"/>
        <v>81452.73</v>
      </c>
      <c r="BW150" s="23">
        <f t="shared" si="113"/>
        <v>36736.33</v>
      </c>
      <c r="BX150" s="23">
        <f t="shared" si="113"/>
        <v>39075.56</v>
      </c>
      <c r="BY150" t="s">
        <v>273</v>
      </c>
      <c r="CE150" t="s">
        <v>267</v>
      </c>
      <c r="CF150" t="s">
        <v>266</v>
      </c>
      <c r="CG150" t="s">
        <v>266</v>
      </c>
      <c r="CH150" t="s">
        <v>266</v>
      </c>
      <c r="CI150" t="s">
        <v>266</v>
      </c>
      <c r="CJ150" t="s">
        <v>266</v>
      </c>
      <c r="CK150" t="s">
        <v>267</v>
      </c>
      <c r="CL150" t="s">
        <v>267</v>
      </c>
      <c r="CM150" t="s">
        <v>267</v>
      </c>
      <c r="CN150" t="s">
        <v>267</v>
      </c>
      <c r="CO150" t="s">
        <v>266</v>
      </c>
    </row>
    <row r="151" spans="1:93" x14ac:dyDescent="0.25">
      <c r="A151" s="2" t="s">
        <v>157</v>
      </c>
      <c r="B151" s="17">
        <v>1510</v>
      </c>
      <c r="C151" s="17">
        <v>437</v>
      </c>
      <c r="D151" s="17">
        <v>0</v>
      </c>
      <c r="E151" s="17">
        <v>189.6</v>
      </c>
      <c r="F151" s="17">
        <v>0</v>
      </c>
      <c r="G151" s="17">
        <v>297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  <c r="N151" s="17">
        <v>600</v>
      </c>
      <c r="O151" s="17">
        <v>871</v>
      </c>
      <c r="P151" s="17">
        <v>53</v>
      </c>
      <c r="Q151" s="17">
        <v>13</v>
      </c>
      <c r="R151" s="17">
        <v>535.40000000000009</v>
      </c>
      <c r="S151" s="17">
        <v>123</v>
      </c>
      <c r="T151" s="17">
        <v>653</v>
      </c>
      <c r="U151" s="17">
        <v>4494</v>
      </c>
      <c r="V151" s="17">
        <f t="shared" si="111"/>
        <v>5282</v>
      </c>
      <c r="W151" s="18">
        <v>3780</v>
      </c>
      <c r="X151" s="19">
        <v>3971.75</v>
      </c>
      <c r="Y151" s="19">
        <v>822</v>
      </c>
      <c r="Z151" s="19">
        <v>837.80118761851452</v>
      </c>
      <c r="AA151" s="19">
        <v>418.54861603974427</v>
      </c>
      <c r="AB151" s="17">
        <v>0</v>
      </c>
      <c r="AC151" s="17">
        <v>0</v>
      </c>
      <c r="AD151" s="17">
        <v>0</v>
      </c>
      <c r="AE151" s="19">
        <v>331.75675675675677</v>
      </c>
      <c r="AF151" s="19">
        <v>519</v>
      </c>
      <c r="AG151" s="24">
        <v>2686.6434395849851</v>
      </c>
      <c r="AH151" s="17">
        <f t="shared" si="112"/>
        <v>1502</v>
      </c>
      <c r="AI151" s="20">
        <v>587</v>
      </c>
      <c r="AJ151" s="21">
        <v>25899.8</v>
      </c>
      <c r="AK151" s="22">
        <v>12169</v>
      </c>
      <c r="AL151" s="22">
        <v>12775.75</v>
      </c>
      <c r="AM151" s="16">
        <v>32</v>
      </c>
      <c r="AN151" s="23">
        <f t="shared" si="78"/>
        <v>4718.75</v>
      </c>
      <c r="AO151" s="23">
        <f t="shared" si="79"/>
        <v>1365.63</v>
      </c>
      <c r="AP151" s="23">
        <f t="shared" si="80"/>
        <v>0</v>
      </c>
      <c r="AQ151" s="23">
        <f t="shared" si="81"/>
        <v>592.5</v>
      </c>
      <c r="AR151" s="23">
        <f t="shared" si="82"/>
        <v>0</v>
      </c>
      <c r="AS151" s="23">
        <f t="shared" si="83"/>
        <v>928.13</v>
      </c>
      <c r="AT151" s="23">
        <f t="shared" si="84"/>
        <v>0</v>
      </c>
      <c r="AU151" s="23">
        <f t="shared" si="85"/>
        <v>0</v>
      </c>
      <c r="AV151" s="23">
        <f t="shared" si="86"/>
        <v>0</v>
      </c>
      <c r="AW151" s="23">
        <f t="shared" si="87"/>
        <v>0</v>
      </c>
      <c r="AX151" s="23">
        <f t="shared" si="88"/>
        <v>0</v>
      </c>
      <c r="AY151" s="23">
        <f t="shared" si="89"/>
        <v>0</v>
      </c>
      <c r="AZ151" s="23">
        <f t="shared" si="90"/>
        <v>1875</v>
      </c>
      <c r="BA151" s="23">
        <f t="shared" si="91"/>
        <v>2721.88</v>
      </c>
      <c r="BB151" s="23">
        <f t="shared" si="92"/>
        <v>165.63</v>
      </c>
      <c r="BC151" s="23">
        <f t="shared" si="93"/>
        <v>40.630000000000003</v>
      </c>
      <c r="BD151" s="23">
        <f t="shared" si="94"/>
        <v>1673.13</v>
      </c>
      <c r="BE151" s="23">
        <f t="shared" si="95"/>
        <v>384.38</v>
      </c>
      <c r="BF151" s="23">
        <f t="shared" si="96"/>
        <v>2040.63</v>
      </c>
      <c r="BG151" s="23">
        <f t="shared" si="97"/>
        <v>14043.75</v>
      </c>
      <c r="BH151" s="23">
        <f t="shared" si="98"/>
        <v>16506.25</v>
      </c>
      <c r="BI151" s="23">
        <f t="shared" si="99"/>
        <v>11812.5</v>
      </c>
      <c r="BJ151" s="23">
        <f t="shared" si="100"/>
        <v>12411.72</v>
      </c>
      <c r="BK151" s="23">
        <f t="shared" si="101"/>
        <v>2568.75</v>
      </c>
      <c r="BL151" s="23">
        <f t="shared" si="102"/>
        <v>2618.13</v>
      </c>
      <c r="BM151" s="23">
        <f t="shared" si="103"/>
        <v>1307.96</v>
      </c>
      <c r="BN151" s="23">
        <f t="shared" si="104"/>
        <v>0</v>
      </c>
      <c r="BO151" s="23">
        <f t="shared" si="105"/>
        <v>0</v>
      </c>
      <c r="BP151" s="23">
        <f t="shared" si="106"/>
        <v>0</v>
      </c>
      <c r="BQ151" s="23">
        <f t="shared" si="107"/>
        <v>1036.74</v>
      </c>
      <c r="BR151" s="23">
        <f t="shared" si="108"/>
        <v>1621.88</v>
      </c>
      <c r="BS151" s="23">
        <f t="shared" si="109"/>
        <v>8395.76</v>
      </c>
      <c r="BT151" s="23">
        <f t="shared" si="113"/>
        <v>4693.75</v>
      </c>
      <c r="BU151" s="23">
        <f t="shared" si="113"/>
        <v>1834.38</v>
      </c>
      <c r="BV151" s="23">
        <f t="shared" si="113"/>
        <v>80936.88</v>
      </c>
      <c r="BW151" s="23">
        <f t="shared" si="113"/>
        <v>38028.129999999997</v>
      </c>
      <c r="BX151" s="23">
        <f t="shared" si="113"/>
        <v>39924.22</v>
      </c>
      <c r="BY151" t="s">
        <v>273</v>
      </c>
      <c r="CE151" t="s">
        <v>267</v>
      </c>
      <c r="CF151" t="s">
        <v>266</v>
      </c>
      <c r="CG151" t="s">
        <v>266</v>
      </c>
      <c r="CH151" t="s">
        <v>266</v>
      </c>
      <c r="CI151" t="s">
        <v>266</v>
      </c>
      <c r="CJ151" t="s">
        <v>266</v>
      </c>
      <c r="CK151" t="s">
        <v>267</v>
      </c>
      <c r="CL151" t="s">
        <v>267</v>
      </c>
      <c r="CM151" t="s">
        <v>267</v>
      </c>
      <c r="CN151" t="s">
        <v>267</v>
      </c>
      <c r="CO151" t="s">
        <v>266</v>
      </c>
    </row>
    <row r="152" spans="1:93" x14ac:dyDescent="0.25">
      <c r="A152" s="2" t="s">
        <v>158</v>
      </c>
      <c r="B152" s="17">
        <v>1570.3</v>
      </c>
      <c r="C152" s="17">
        <v>443</v>
      </c>
      <c r="D152" s="17">
        <v>0</v>
      </c>
      <c r="E152" s="17">
        <v>185.2</v>
      </c>
      <c r="F152" s="17">
        <v>0</v>
      </c>
      <c r="G152" s="17">
        <v>267.7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 s="17">
        <v>606</v>
      </c>
      <c r="O152" s="17">
        <v>941</v>
      </c>
      <c r="P152" s="17">
        <v>55</v>
      </c>
      <c r="Q152" s="17">
        <v>13</v>
      </c>
      <c r="R152" s="17">
        <v>540.80000000000018</v>
      </c>
      <c r="S152" s="17">
        <v>137</v>
      </c>
      <c r="T152" s="17">
        <v>712</v>
      </c>
      <c r="U152" s="17">
        <v>4596</v>
      </c>
      <c r="V152" s="17">
        <f t="shared" si="111"/>
        <v>5471</v>
      </c>
      <c r="W152" s="18">
        <v>3946</v>
      </c>
      <c r="X152" s="19">
        <v>4193.75</v>
      </c>
      <c r="Y152" s="19">
        <v>911.5</v>
      </c>
      <c r="Z152" s="19">
        <v>917.4925657382737</v>
      </c>
      <c r="AA152" s="19">
        <v>457.22462739531557</v>
      </c>
      <c r="AB152" s="17">
        <v>0</v>
      </c>
      <c r="AC152" s="17">
        <v>0</v>
      </c>
      <c r="AD152" s="17">
        <v>0</v>
      </c>
      <c r="AE152" s="19">
        <v>342.22972972972974</v>
      </c>
      <c r="AF152" s="19">
        <v>520</v>
      </c>
      <c r="AG152" s="24">
        <v>2868.3030771366816</v>
      </c>
      <c r="AH152" s="17">
        <f t="shared" si="112"/>
        <v>1525</v>
      </c>
      <c r="AI152" s="20">
        <v>466</v>
      </c>
      <c r="AJ152" s="21">
        <v>25921.599999999999</v>
      </c>
      <c r="AK152" s="22">
        <v>12740</v>
      </c>
      <c r="AL152" s="22">
        <v>14111</v>
      </c>
      <c r="AM152" s="16">
        <v>33</v>
      </c>
      <c r="AN152" s="23">
        <f t="shared" si="78"/>
        <v>4758.4799999999996</v>
      </c>
      <c r="AO152" s="23">
        <f t="shared" si="79"/>
        <v>1342.42</v>
      </c>
      <c r="AP152" s="23">
        <f t="shared" si="80"/>
        <v>0</v>
      </c>
      <c r="AQ152" s="23">
        <f t="shared" si="81"/>
        <v>561.21</v>
      </c>
      <c r="AR152" s="23">
        <f t="shared" si="82"/>
        <v>0</v>
      </c>
      <c r="AS152" s="23">
        <f t="shared" si="83"/>
        <v>811.21</v>
      </c>
      <c r="AT152" s="23">
        <f t="shared" si="84"/>
        <v>0</v>
      </c>
      <c r="AU152" s="23">
        <f t="shared" si="85"/>
        <v>0</v>
      </c>
      <c r="AV152" s="23">
        <f t="shared" si="86"/>
        <v>0</v>
      </c>
      <c r="AW152" s="23">
        <f t="shared" si="87"/>
        <v>0</v>
      </c>
      <c r="AX152" s="23">
        <f t="shared" si="88"/>
        <v>0</v>
      </c>
      <c r="AY152" s="23">
        <f t="shared" si="89"/>
        <v>0</v>
      </c>
      <c r="AZ152" s="23">
        <f t="shared" si="90"/>
        <v>1836.36</v>
      </c>
      <c r="BA152" s="23">
        <f t="shared" si="91"/>
        <v>2851.52</v>
      </c>
      <c r="BB152" s="23">
        <f t="shared" si="92"/>
        <v>166.67</v>
      </c>
      <c r="BC152" s="23">
        <f t="shared" si="93"/>
        <v>39.39</v>
      </c>
      <c r="BD152" s="23">
        <f t="shared" si="94"/>
        <v>1638.79</v>
      </c>
      <c r="BE152" s="23">
        <f t="shared" si="95"/>
        <v>415.15</v>
      </c>
      <c r="BF152" s="23">
        <f t="shared" si="96"/>
        <v>2157.58</v>
      </c>
      <c r="BG152" s="23">
        <f t="shared" si="97"/>
        <v>13927.27</v>
      </c>
      <c r="BH152" s="23">
        <f t="shared" si="98"/>
        <v>16578.79</v>
      </c>
      <c r="BI152" s="23">
        <f t="shared" si="99"/>
        <v>11957.58</v>
      </c>
      <c r="BJ152" s="23">
        <f t="shared" si="100"/>
        <v>12708.33</v>
      </c>
      <c r="BK152" s="23">
        <f t="shared" si="101"/>
        <v>2762.12</v>
      </c>
      <c r="BL152" s="23">
        <f t="shared" si="102"/>
        <v>2780.28</v>
      </c>
      <c r="BM152" s="23">
        <f t="shared" si="103"/>
        <v>1385.53</v>
      </c>
      <c r="BN152" s="23">
        <f t="shared" si="104"/>
        <v>0</v>
      </c>
      <c r="BO152" s="23">
        <f t="shared" si="105"/>
        <v>0</v>
      </c>
      <c r="BP152" s="23">
        <f t="shared" si="106"/>
        <v>0</v>
      </c>
      <c r="BQ152" s="23">
        <f t="shared" si="107"/>
        <v>1037.06</v>
      </c>
      <c r="BR152" s="23">
        <f t="shared" si="108"/>
        <v>1575.76</v>
      </c>
      <c r="BS152" s="23">
        <f t="shared" si="109"/>
        <v>8691.83</v>
      </c>
      <c r="BT152" s="23">
        <f t="shared" si="113"/>
        <v>4621.21</v>
      </c>
      <c r="BU152" s="23">
        <f t="shared" si="113"/>
        <v>1412.12</v>
      </c>
      <c r="BV152" s="23">
        <f t="shared" si="113"/>
        <v>78550.3</v>
      </c>
      <c r="BW152" s="23">
        <f t="shared" si="113"/>
        <v>38606.06</v>
      </c>
      <c r="BX152" s="23">
        <f t="shared" si="113"/>
        <v>42760.61</v>
      </c>
      <c r="BY152" t="s">
        <v>273</v>
      </c>
      <c r="CE152" t="s">
        <v>267</v>
      </c>
      <c r="CF152" t="s">
        <v>266</v>
      </c>
      <c r="CG152" t="s">
        <v>266</v>
      </c>
      <c r="CH152" t="s">
        <v>266</v>
      </c>
      <c r="CI152" t="s">
        <v>266</v>
      </c>
      <c r="CJ152" t="s">
        <v>266</v>
      </c>
      <c r="CK152" t="s">
        <v>267</v>
      </c>
      <c r="CL152" t="s">
        <v>267</v>
      </c>
      <c r="CM152" t="s">
        <v>267</v>
      </c>
      <c r="CN152" t="s">
        <v>267</v>
      </c>
      <c r="CO152" t="s">
        <v>266</v>
      </c>
    </row>
    <row r="153" spans="1:93" x14ac:dyDescent="0.25">
      <c r="A153" s="2" t="s">
        <v>159</v>
      </c>
      <c r="B153" s="17">
        <v>1732.6</v>
      </c>
      <c r="C153" s="17">
        <v>458</v>
      </c>
      <c r="D153" s="17">
        <v>0</v>
      </c>
      <c r="E153" s="17">
        <v>183</v>
      </c>
      <c r="F153" s="17">
        <v>0</v>
      </c>
      <c r="G153" s="17">
        <v>315.39999999999998</v>
      </c>
      <c r="H153" s="17">
        <v>0</v>
      </c>
      <c r="I153" s="17">
        <v>0</v>
      </c>
      <c r="J153" s="17">
        <v>0</v>
      </c>
      <c r="K153" s="17">
        <v>0</v>
      </c>
      <c r="L153" s="17">
        <v>0</v>
      </c>
      <c r="M153" s="17">
        <v>0</v>
      </c>
      <c r="N153" s="17">
        <v>618</v>
      </c>
      <c r="O153" s="17">
        <v>1031</v>
      </c>
      <c r="P153" s="17">
        <v>61</v>
      </c>
      <c r="Q153" s="17">
        <v>14</v>
      </c>
      <c r="R153" s="17">
        <v>578</v>
      </c>
      <c r="S153" s="17">
        <v>149</v>
      </c>
      <c r="T153" s="17">
        <v>757</v>
      </c>
      <c r="U153" s="17">
        <v>4975</v>
      </c>
      <c r="V153" s="17">
        <f t="shared" si="111"/>
        <v>5897</v>
      </c>
      <c r="W153" s="18">
        <v>4687</v>
      </c>
      <c r="X153" s="19">
        <v>4850.0000000000009</v>
      </c>
      <c r="Y153" s="19">
        <v>1094.25</v>
      </c>
      <c r="Z153" s="19">
        <v>1221.6740351627143</v>
      </c>
      <c r="AA153" s="19">
        <v>470.99964513839586</v>
      </c>
      <c r="AB153" s="17">
        <v>0</v>
      </c>
      <c r="AC153" s="17">
        <v>0</v>
      </c>
      <c r="AD153" s="17">
        <v>0</v>
      </c>
      <c r="AE153" s="19">
        <v>388.51351351351349</v>
      </c>
      <c r="AF153" s="19">
        <v>564</v>
      </c>
      <c r="AG153" s="24">
        <v>3299.0628061853768</v>
      </c>
      <c r="AH153" s="17">
        <f t="shared" si="112"/>
        <v>1210</v>
      </c>
      <c r="AI153" s="20">
        <v>69</v>
      </c>
      <c r="AJ153" s="21">
        <v>25891</v>
      </c>
      <c r="AK153" s="22">
        <v>14303</v>
      </c>
      <c r="AL153" s="22">
        <v>15446.25</v>
      </c>
      <c r="AM153" s="16">
        <v>36</v>
      </c>
      <c r="AN153" s="23">
        <f t="shared" si="78"/>
        <v>4812.78</v>
      </c>
      <c r="AO153" s="23">
        <f t="shared" si="79"/>
        <v>1272.22</v>
      </c>
      <c r="AP153" s="23">
        <f t="shared" si="80"/>
        <v>0</v>
      </c>
      <c r="AQ153" s="23">
        <f t="shared" si="81"/>
        <v>508.33</v>
      </c>
      <c r="AR153" s="23">
        <f t="shared" si="82"/>
        <v>0</v>
      </c>
      <c r="AS153" s="23">
        <f t="shared" si="83"/>
        <v>876.11</v>
      </c>
      <c r="AT153" s="23">
        <f t="shared" si="84"/>
        <v>0</v>
      </c>
      <c r="AU153" s="23">
        <f t="shared" si="85"/>
        <v>0</v>
      </c>
      <c r="AV153" s="23">
        <f t="shared" si="86"/>
        <v>0</v>
      </c>
      <c r="AW153" s="23">
        <f t="shared" si="87"/>
        <v>0</v>
      </c>
      <c r="AX153" s="23">
        <f t="shared" si="88"/>
        <v>0</v>
      </c>
      <c r="AY153" s="23">
        <f t="shared" si="89"/>
        <v>0</v>
      </c>
      <c r="AZ153" s="23">
        <f t="shared" si="90"/>
        <v>1716.67</v>
      </c>
      <c r="BA153" s="23">
        <f t="shared" si="91"/>
        <v>2863.89</v>
      </c>
      <c r="BB153" s="23">
        <f t="shared" si="92"/>
        <v>169.44</v>
      </c>
      <c r="BC153" s="23">
        <f t="shared" si="93"/>
        <v>38.89</v>
      </c>
      <c r="BD153" s="23">
        <f t="shared" si="94"/>
        <v>1605.56</v>
      </c>
      <c r="BE153" s="23">
        <f t="shared" si="95"/>
        <v>413.89</v>
      </c>
      <c r="BF153" s="23">
        <f t="shared" si="96"/>
        <v>2102.7800000000002</v>
      </c>
      <c r="BG153" s="23">
        <f t="shared" si="97"/>
        <v>13819.44</v>
      </c>
      <c r="BH153" s="23">
        <f t="shared" si="98"/>
        <v>16380.56</v>
      </c>
      <c r="BI153" s="23">
        <f t="shared" si="99"/>
        <v>13019.44</v>
      </c>
      <c r="BJ153" s="23">
        <f t="shared" si="100"/>
        <v>13472.22</v>
      </c>
      <c r="BK153" s="23">
        <f t="shared" si="101"/>
        <v>3039.58</v>
      </c>
      <c r="BL153" s="23">
        <f t="shared" si="102"/>
        <v>3393.54</v>
      </c>
      <c r="BM153" s="23">
        <f t="shared" si="103"/>
        <v>1308.33</v>
      </c>
      <c r="BN153" s="23">
        <f t="shared" si="104"/>
        <v>0</v>
      </c>
      <c r="BO153" s="23">
        <f t="shared" si="105"/>
        <v>0</v>
      </c>
      <c r="BP153" s="23">
        <f t="shared" si="106"/>
        <v>0</v>
      </c>
      <c r="BQ153" s="23">
        <f t="shared" si="107"/>
        <v>1079.2</v>
      </c>
      <c r="BR153" s="23">
        <f t="shared" si="108"/>
        <v>1566.67</v>
      </c>
      <c r="BS153" s="23">
        <f t="shared" si="109"/>
        <v>9164.06</v>
      </c>
      <c r="BT153" s="23">
        <f t="shared" si="113"/>
        <v>3361.11</v>
      </c>
      <c r="BU153" s="23">
        <f t="shared" si="113"/>
        <v>191.67</v>
      </c>
      <c r="BV153" s="23">
        <f t="shared" si="113"/>
        <v>71919.44</v>
      </c>
      <c r="BW153" s="23">
        <f t="shared" si="113"/>
        <v>39730.559999999998</v>
      </c>
      <c r="BX153" s="23">
        <f t="shared" si="113"/>
        <v>42906.25</v>
      </c>
      <c r="BY153" t="s">
        <v>270</v>
      </c>
      <c r="CE153" t="s">
        <v>267</v>
      </c>
      <c r="CF153" t="s">
        <v>266</v>
      </c>
      <c r="CG153" t="s">
        <v>266</v>
      </c>
      <c r="CH153" t="s">
        <v>266</v>
      </c>
      <c r="CI153" t="s">
        <v>266</v>
      </c>
      <c r="CJ153" t="s">
        <v>266</v>
      </c>
      <c r="CK153" t="s">
        <v>267</v>
      </c>
      <c r="CL153" t="s">
        <v>267</v>
      </c>
      <c r="CM153" t="s">
        <v>267</v>
      </c>
      <c r="CN153" t="s">
        <v>267</v>
      </c>
      <c r="CO153" t="s">
        <v>266</v>
      </c>
    </row>
    <row r="154" spans="1:93" x14ac:dyDescent="0.25">
      <c r="A154" s="2" t="s">
        <v>160</v>
      </c>
      <c r="B154" s="17">
        <v>1933.9</v>
      </c>
      <c r="C154" s="17">
        <v>488</v>
      </c>
      <c r="D154" s="17">
        <v>0</v>
      </c>
      <c r="E154" s="17">
        <v>151.80000000000001</v>
      </c>
      <c r="F154" s="17">
        <v>0</v>
      </c>
      <c r="G154" s="17">
        <v>379.1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616</v>
      </c>
      <c r="O154" s="17">
        <v>1066</v>
      </c>
      <c r="P154" s="17">
        <v>53</v>
      </c>
      <c r="Q154" s="17">
        <v>14</v>
      </c>
      <c r="R154" s="17">
        <v>544.19999999999982</v>
      </c>
      <c r="S154" s="17">
        <v>158</v>
      </c>
      <c r="T154" s="17">
        <v>813</v>
      </c>
      <c r="U154" s="17">
        <v>5275</v>
      </c>
      <c r="V154" s="17">
        <f t="shared" si="111"/>
        <v>6217</v>
      </c>
      <c r="W154" s="18">
        <v>5031</v>
      </c>
      <c r="X154" s="19">
        <v>5262</v>
      </c>
      <c r="Y154" s="19">
        <v>1279.25</v>
      </c>
      <c r="Z154" s="19">
        <v>1531.3245207326286</v>
      </c>
      <c r="AA154" s="19">
        <v>483.18523775727454</v>
      </c>
      <c r="AB154" s="17">
        <v>0</v>
      </c>
      <c r="AC154" s="17">
        <v>0</v>
      </c>
      <c r="AD154" s="17">
        <v>0</v>
      </c>
      <c r="AE154" s="19">
        <v>423.98648648648646</v>
      </c>
      <c r="AF154" s="19">
        <v>625</v>
      </c>
      <c r="AG154" s="24">
        <v>3477.7537550236107</v>
      </c>
      <c r="AH154" s="17">
        <f t="shared" si="112"/>
        <v>1186</v>
      </c>
      <c r="AI154" s="20">
        <v>209</v>
      </c>
      <c r="AJ154" s="21">
        <v>26051</v>
      </c>
      <c r="AK154" s="22">
        <v>15536</v>
      </c>
      <c r="AL154" s="22">
        <v>16617</v>
      </c>
      <c r="AM154" s="16">
        <v>39.299999999999997</v>
      </c>
      <c r="AN154" s="23">
        <f t="shared" si="78"/>
        <v>4920.87</v>
      </c>
      <c r="AO154" s="23">
        <f t="shared" si="79"/>
        <v>1241.73</v>
      </c>
      <c r="AP154" s="23">
        <f t="shared" si="80"/>
        <v>0</v>
      </c>
      <c r="AQ154" s="23">
        <f t="shared" si="81"/>
        <v>386.26</v>
      </c>
      <c r="AR154" s="23">
        <f t="shared" si="82"/>
        <v>0</v>
      </c>
      <c r="AS154" s="23">
        <f t="shared" si="83"/>
        <v>964.63</v>
      </c>
      <c r="AT154" s="23">
        <f t="shared" si="84"/>
        <v>0</v>
      </c>
      <c r="AU154" s="23">
        <f t="shared" si="85"/>
        <v>0</v>
      </c>
      <c r="AV154" s="23">
        <f t="shared" si="86"/>
        <v>0</v>
      </c>
      <c r="AW154" s="23">
        <f t="shared" si="87"/>
        <v>0</v>
      </c>
      <c r="AX154" s="23">
        <f t="shared" si="88"/>
        <v>0</v>
      </c>
      <c r="AY154" s="23">
        <f t="shared" si="89"/>
        <v>0</v>
      </c>
      <c r="AZ154" s="23">
        <f t="shared" si="90"/>
        <v>1567.43</v>
      </c>
      <c r="BA154" s="23">
        <f t="shared" si="91"/>
        <v>2712.47</v>
      </c>
      <c r="BB154" s="23">
        <f t="shared" si="92"/>
        <v>134.86000000000001</v>
      </c>
      <c r="BC154" s="23">
        <f t="shared" si="93"/>
        <v>35.619999999999997</v>
      </c>
      <c r="BD154" s="23">
        <f t="shared" si="94"/>
        <v>1384.73</v>
      </c>
      <c r="BE154" s="23">
        <f t="shared" si="95"/>
        <v>402.04</v>
      </c>
      <c r="BF154" s="23">
        <f t="shared" si="96"/>
        <v>2068.6999999999998</v>
      </c>
      <c r="BG154" s="23">
        <f t="shared" si="97"/>
        <v>13422.39</v>
      </c>
      <c r="BH154" s="23">
        <f t="shared" si="98"/>
        <v>15819.34</v>
      </c>
      <c r="BI154" s="23">
        <f t="shared" si="99"/>
        <v>12801.53</v>
      </c>
      <c r="BJ154" s="23">
        <f t="shared" si="100"/>
        <v>13389.31</v>
      </c>
      <c r="BK154" s="23">
        <f t="shared" si="101"/>
        <v>3255.09</v>
      </c>
      <c r="BL154" s="23">
        <f t="shared" si="102"/>
        <v>3896.5</v>
      </c>
      <c r="BM154" s="23">
        <f t="shared" si="103"/>
        <v>1229.48</v>
      </c>
      <c r="BN154" s="23">
        <f t="shared" si="104"/>
        <v>0</v>
      </c>
      <c r="BO154" s="23">
        <f t="shared" si="105"/>
        <v>0</v>
      </c>
      <c r="BP154" s="23">
        <f t="shared" si="106"/>
        <v>0</v>
      </c>
      <c r="BQ154" s="23">
        <f t="shared" si="107"/>
        <v>1078.8499999999999</v>
      </c>
      <c r="BR154" s="23">
        <f t="shared" si="108"/>
        <v>1590.33</v>
      </c>
      <c r="BS154" s="23">
        <f t="shared" si="109"/>
        <v>8849.25</v>
      </c>
      <c r="BT154" s="23">
        <f t="shared" si="113"/>
        <v>3017.81</v>
      </c>
      <c r="BU154" s="23">
        <f t="shared" si="113"/>
        <v>531.80999999999995</v>
      </c>
      <c r="BV154" s="23">
        <f t="shared" si="113"/>
        <v>66287.53</v>
      </c>
      <c r="BW154" s="23">
        <f t="shared" si="113"/>
        <v>39531.81</v>
      </c>
      <c r="BX154" s="23">
        <f t="shared" si="113"/>
        <v>42282.44</v>
      </c>
      <c r="BY154" t="s">
        <v>270</v>
      </c>
      <c r="CE154" t="s">
        <v>267</v>
      </c>
      <c r="CF154" t="s">
        <v>266</v>
      </c>
      <c r="CG154" t="s">
        <v>266</v>
      </c>
      <c r="CH154" t="s">
        <v>266</v>
      </c>
      <c r="CI154" t="s">
        <v>266</v>
      </c>
      <c r="CJ154" t="s">
        <v>266</v>
      </c>
      <c r="CK154" t="s">
        <v>267</v>
      </c>
      <c r="CL154" t="s">
        <v>267</v>
      </c>
      <c r="CM154" t="s">
        <v>267</v>
      </c>
      <c r="CN154" t="s">
        <v>267</v>
      </c>
      <c r="CO154" t="s">
        <v>266</v>
      </c>
    </row>
    <row r="155" spans="1:93" x14ac:dyDescent="0.25">
      <c r="A155" s="2" t="s">
        <v>161</v>
      </c>
      <c r="B155" s="17">
        <v>1924.7</v>
      </c>
      <c r="C155" s="17">
        <v>527</v>
      </c>
      <c r="D155" s="17">
        <v>0</v>
      </c>
      <c r="E155" s="17">
        <v>164.5</v>
      </c>
      <c r="F155" s="17">
        <v>0</v>
      </c>
      <c r="G155" s="17">
        <v>254.3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7">
        <v>633</v>
      </c>
      <c r="O155" s="17">
        <v>1101</v>
      </c>
      <c r="P155" s="17">
        <v>60</v>
      </c>
      <c r="Q155" s="17">
        <v>17</v>
      </c>
      <c r="R155" s="17">
        <v>583.5</v>
      </c>
      <c r="S155" s="17">
        <v>180</v>
      </c>
      <c r="T155" s="17">
        <v>912</v>
      </c>
      <c r="U155" s="17">
        <v>5290</v>
      </c>
      <c r="V155" s="17">
        <f t="shared" si="111"/>
        <v>6357</v>
      </c>
      <c r="W155" s="18">
        <v>5181</v>
      </c>
      <c r="X155" s="19">
        <v>5497.75</v>
      </c>
      <c r="Y155" s="19">
        <v>1387</v>
      </c>
      <c r="Z155" s="19">
        <v>1599.8174372211797</v>
      </c>
      <c r="AA155" s="19">
        <v>499.07948899929005</v>
      </c>
      <c r="AB155" s="17">
        <v>0</v>
      </c>
      <c r="AC155" s="17">
        <v>0</v>
      </c>
      <c r="AD155" s="17">
        <v>0</v>
      </c>
      <c r="AE155" s="19">
        <v>463.51351351351354</v>
      </c>
      <c r="AF155" s="19">
        <v>658</v>
      </c>
      <c r="AG155" s="24">
        <v>3664.3395602660171</v>
      </c>
      <c r="AH155" s="17">
        <f t="shared" si="112"/>
        <v>1176</v>
      </c>
      <c r="AI155" s="20">
        <v>418</v>
      </c>
      <c r="AJ155" s="21">
        <v>26583</v>
      </c>
      <c r="AK155" s="22">
        <v>16685</v>
      </c>
      <c r="AL155" s="22">
        <v>17600.5</v>
      </c>
      <c r="AM155" s="16">
        <v>40.5</v>
      </c>
      <c r="AN155" s="23">
        <f t="shared" si="78"/>
        <v>4752.3500000000004</v>
      </c>
      <c r="AO155" s="23">
        <f t="shared" si="79"/>
        <v>1301.23</v>
      </c>
      <c r="AP155" s="23">
        <f t="shared" si="80"/>
        <v>0</v>
      </c>
      <c r="AQ155" s="23">
        <f t="shared" si="81"/>
        <v>406.17</v>
      </c>
      <c r="AR155" s="23">
        <f t="shared" si="82"/>
        <v>0</v>
      </c>
      <c r="AS155" s="23">
        <f t="shared" si="83"/>
        <v>627.9</v>
      </c>
      <c r="AT155" s="23">
        <f t="shared" si="84"/>
        <v>0</v>
      </c>
      <c r="AU155" s="23">
        <f t="shared" si="85"/>
        <v>0</v>
      </c>
      <c r="AV155" s="23">
        <f t="shared" si="86"/>
        <v>0</v>
      </c>
      <c r="AW155" s="23">
        <f t="shared" si="87"/>
        <v>0</v>
      </c>
      <c r="AX155" s="23">
        <f t="shared" si="88"/>
        <v>0</v>
      </c>
      <c r="AY155" s="23">
        <f t="shared" si="89"/>
        <v>0</v>
      </c>
      <c r="AZ155" s="23">
        <f t="shared" si="90"/>
        <v>1562.96</v>
      </c>
      <c r="BA155" s="23">
        <f t="shared" si="91"/>
        <v>2718.52</v>
      </c>
      <c r="BB155" s="23">
        <f t="shared" si="92"/>
        <v>148.15</v>
      </c>
      <c r="BC155" s="23">
        <f t="shared" si="93"/>
        <v>41.98</v>
      </c>
      <c r="BD155" s="23">
        <f t="shared" si="94"/>
        <v>1440.74</v>
      </c>
      <c r="BE155" s="23">
        <f t="shared" si="95"/>
        <v>444.44</v>
      </c>
      <c r="BF155" s="23">
        <f t="shared" si="96"/>
        <v>2251.85</v>
      </c>
      <c r="BG155" s="23">
        <f t="shared" si="97"/>
        <v>13061.73</v>
      </c>
      <c r="BH155" s="23">
        <f t="shared" si="98"/>
        <v>15696.3</v>
      </c>
      <c r="BI155" s="23">
        <f t="shared" si="99"/>
        <v>12792.59</v>
      </c>
      <c r="BJ155" s="23">
        <f t="shared" si="100"/>
        <v>13574.69</v>
      </c>
      <c r="BK155" s="23">
        <f t="shared" si="101"/>
        <v>3424.69</v>
      </c>
      <c r="BL155" s="23">
        <f t="shared" si="102"/>
        <v>3950.17</v>
      </c>
      <c r="BM155" s="23">
        <f t="shared" si="103"/>
        <v>1232.3</v>
      </c>
      <c r="BN155" s="23">
        <f t="shared" si="104"/>
        <v>0</v>
      </c>
      <c r="BO155" s="23">
        <f t="shared" si="105"/>
        <v>0</v>
      </c>
      <c r="BP155" s="23">
        <f t="shared" si="106"/>
        <v>0</v>
      </c>
      <c r="BQ155" s="23">
        <f t="shared" si="107"/>
        <v>1144.48</v>
      </c>
      <c r="BR155" s="23">
        <f t="shared" si="108"/>
        <v>1624.69</v>
      </c>
      <c r="BS155" s="23">
        <f t="shared" si="109"/>
        <v>9047.75</v>
      </c>
      <c r="BT155" s="23">
        <f t="shared" si="113"/>
        <v>2903.7</v>
      </c>
      <c r="BU155" s="23">
        <f t="shared" si="113"/>
        <v>1032.0999999999999</v>
      </c>
      <c r="BV155" s="23">
        <f t="shared" si="113"/>
        <v>65637.039999999994</v>
      </c>
      <c r="BW155" s="23">
        <f t="shared" si="113"/>
        <v>41197.53</v>
      </c>
      <c r="BX155" s="23">
        <f t="shared" si="113"/>
        <v>43458.02</v>
      </c>
      <c r="BY155" t="s">
        <v>270</v>
      </c>
      <c r="CE155" t="s">
        <v>267</v>
      </c>
      <c r="CF155" t="s">
        <v>266</v>
      </c>
      <c r="CG155" t="s">
        <v>266</v>
      </c>
      <c r="CH155" t="s">
        <v>266</v>
      </c>
      <c r="CI155" t="s">
        <v>266</v>
      </c>
      <c r="CJ155" t="s">
        <v>266</v>
      </c>
      <c r="CK155" t="s">
        <v>267</v>
      </c>
      <c r="CL155" t="s">
        <v>267</v>
      </c>
      <c r="CM155" t="s">
        <v>267</v>
      </c>
      <c r="CN155" t="s">
        <v>267</v>
      </c>
      <c r="CO155" t="s">
        <v>266</v>
      </c>
    </row>
    <row r="156" spans="1:93" x14ac:dyDescent="0.25">
      <c r="A156" s="2" t="s">
        <v>162</v>
      </c>
      <c r="B156" s="17">
        <v>1950.7</v>
      </c>
      <c r="C156" s="17">
        <v>531</v>
      </c>
      <c r="D156" s="17">
        <v>0</v>
      </c>
      <c r="E156" s="17">
        <v>187.9</v>
      </c>
      <c r="F156" s="17">
        <v>0</v>
      </c>
      <c r="G156" s="17">
        <v>249.3</v>
      </c>
      <c r="H156" s="17">
        <v>0</v>
      </c>
      <c r="I156" s="17">
        <v>0</v>
      </c>
      <c r="J156" s="17">
        <v>0</v>
      </c>
      <c r="K156" s="17">
        <v>0</v>
      </c>
      <c r="L156" s="17">
        <v>0</v>
      </c>
      <c r="M156" s="17">
        <v>0</v>
      </c>
      <c r="N156" s="17">
        <v>654</v>
      </c>
      <c r="O156" s="17">
        <v>1110</v>
      </c>
      <c r="P156" s="17">
        <v>73</v>
      </c>
      <c r="Q156" s="17">
        <v>23</v>
      </c>
      <c r="R156" s="17">
        <v>676.10000000000036</v>
      </c>
      <c r="S156" s="17">
        <v>193</v>
      </c>
      <c r="T156" s="17">
        <v>969</v>
      </c>
      <c r="U156" s="17">
        <v>5441</v>
      </c>
      <c r="V156" s="17">
        <f t="shared" si="111"/>
        <v>6617</v>
      </c>
      <c r="W156" s="18">
        <v>5225</v>
      </c>
      <c r="X156" s="19">
        <v>5587</v>
      </c>
      <c r="Y156" s="19">
        <v>1381.5</v>
      </c>
      <c r="Z156" s="19">
        <v>1586.0146821873655</v>
      </c>
      <c r="AA156" s="19">
        <v>517.62278211497505</v>
      </c>
      <c r="AB156" s="17">
        <v>0</v>
      </c>
      <c r="AC156" s="17">
        <v>0</v>
      </c>
      <c r="AD156" s="17">
        <v>0</v>
      </c>
      <c r="AE156" s="19">
        <v>518.75</v>
      </c>
      <c r="AF156" s="19">
        <v>656</v>
      </c>
      <c r="AG156" s="24">
        <v>3690.112535697659</v>
      </c>
      <c r="AH156" s="17">
        <f t="shared" si="112"/>
        <v>1392</v>
      </c>
      <c r="AI156" s="20">
        <v>257</v>
      </c>
      <c r="AJ156" s="21">
        <v>26934</v>
      </c>
      <c r="AK156" s="22">
        <v>17601</v>
      </c>
      <c r="AL156" s="22">
        <v>18999.25</v>
      </c>
      <c r="AM156" s="16">
        <v>41.3</v>
      </c>
      <c r="AN156" s="23">
        <f t="shared" si="78"/>
        <v>4723.24</v>
      </c>
      <c r="AO156" s="23">
        <f t="shared" si="79"/>
        <v>1285.71</v>
      </c>
      <c r="AP156" s="23">
        <f t="shared" si="80"/>
        <v>0</v>
      </c>
      <c r="AQ156" s="23">
        <f t="shared" si="81"/>
        <v>454.96</v>
      </c>
      <c r="AR156" s="23">
        <f t="shared" si="82"/>
        <v>0</v>
      </c>
      <c r="AS156" s="23">
        <f t="shared" si="83"/>
        <v>603.63</v>
      </c>
      <c r="AT156" s="23">
        <f t="shared" si="84"/>
        <v>0</v>
      </c>
      <c r="AU156" s="23">
        <f t="shared" si="85"/>
        <v>0</v>
      </c>
      <c r="AV156" s="23">
        <f t="shared" si="86"/>
        <v>0</v>
      </c>
      <c r="AW156" s="23">
        <f t="shared" si="87"/>
        <v>0</v>
      </c>
      <c r="AX156" s="23">
        <f t="shared" si="88"/>
        <v>0</v>
      </c>
      <c r="AY156" s="23">
        <f t="shared" si="89"/>
        <v>0</v>
      </c>
      <c r="AZ156" s="23">
        <f t="shared" si="90"/>
        <v>1583.54</v>
      </c>
      <c r="BA156" s="23">
        <f t="shared" si="91"/>
        <v>2687.65</v>
      </c>
      <c r="BB156" s="23">
        <f t="shared" si="92"/>
        <v>176.76</v>
      </c>
      <c r="BC156" s="23">
        <f t="shared" si="93"/>
        <v>55.69</v>
      </c>
      <c r="BD156" s="23">
        <f t="shared" si="94"/>
        <v>1637.05</v>
      </c>
      <c r="BE156" s="23">
        <f t="shared" si="95"/>
        <v>467.31</v>
      </c>
      <c r="BF156" s="23">
        <f t="shared" si="96"/>
        <v>2346.25</v>
      </c>
      <c r="BG156" s="23">
        <f t="shared" si="97"/>
        <v>13174.33</v>
      </c>
      <c r="BH156" s="23">
        <f t="shared" si="98"/>
        <v>16021.79</v>
      </c>
      <c r="BI156" s="23">
        <f t="shared" si="99"/>
        <v>12651.33</v>
      </c>
      <c r="BJ156" s="23">
        <f t="shared" si="100"/>
        <v>13527.85</v>
      </c>
      <c r="BK156" s="23">
        <f t="shared" si="101"/>
        <v>3345.04</v>
      </c>
      <c r="BL156" s="23">
        <f t="shared" si="102"/>
        <v>3840.23</v>
      </c>
      <c r="BM156" s="23">
        <f t="shared" si="103"/>
        <v>1253.32</v>
      </c>
      <c r="BN156" s="23">
        <f t="shared" si="104"/>
        <v>0</v>
      </c>
      <c r="BO156" s="23">
        <f t="shared" si="105"/>
        <v>0</v>
      </c>
      <c r="BP156" s="23">
        <f t="shared" si="106"/>
        <v>0</v>
      </c>
      <c r="BQ156" s="23">
        <f t="shared" si="107"/>
        <v>1256.05</v>
      </c>
      <c r="BR156" s="23">
        <f t="shared" si="108"/>
        <v>1588.38</v>
      </c>
      <c r="BS156" s="23">
        <f t="shared" si="109"/>
        <v>8934.9</v>
      </c>
      <c r="BT156" s="23">
        <f t="shared" si="113"/>
        <v>3370.46</v>
      </c>
      <c r="BU156" s="23">
        <f t="shared" si="113"/>
        <v>622.28</v>
      </c>
      <c r="BV156" s="23">
        <f t="shared" si="113"/>
        <v>65215.5</v>
      </c>
      <c r="BW156" s="23">
        <f t="shared" si="113"/>
        <v>42617.43</v>
      </c>
      <c r="BX156" s="23">
        <f t="shared" si="113"/>
        <v>46003.03</v>
      </c>
      <c r="BY156" t="s">
        <v>270</v>
      </c>
      <c r="CE156" t="s">
        <v>267</v>
      </c>
      <c r="CF156" t="s">
        <v>266</v>
      </c>
      <c r="CG156" t="s">
        <v>266</v>
      </c>
      <c r="CH156" t="s">
        <v>266</v>
      </c>
      <c r="CI156" t="s">
        <v>266</v>
      </c>
      <c r="CJ156" t="s">
        <v>266</v>
      </c>
      <c r="CK156" t="s">
        <v>267</v>
      </c>
      <c r="CL156" t="s">
        <v>267</v>
      </c>
      <c r="CM156" t="s">
        <v>267</v>
      </c>
      <c r="CN156" t="s">
        <v>267</v>
      </c>
      <c r="CO156" t="s">
        <v>266</v>
      </c>
    </row>
    <row r="157" spans="1:93" x14ac:dyDescent="0.25">
      <c r="A157" s="2" t="s">
        <v>163</v>
      </c>
      <c r="B157" s="17">
        <v>2083</v>
      </c>
      <c r="C157" s="17">
        <v>621</v>
      </c>
      <c r="D157" s="17">
        <v>0</v>
      </c>
      <c r="E157" s="17">
        <v>180</v>
      </c>
      <c r="F157" s="17">
        <v>0</v>
      </c>
      <c r="G157" s="17">
        <v>211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7">
        <v>0</v>
      </c>
      <c r="N157" s="17">
        <v>667</v>
      </c>
      <c r="O157" s="17">
        <v>1256</v>
      </c>
      <c r="P157" s="17">
        <v>72</v>
      </c>
      <c r="Q157" s="17">
        <v>26</v>
      </c>
      <c r="R157" s="17">
        <v>735</v>
      </c>
      <c r="S157" s="17">
        <v>211</v>
      </c>
      <c r="T157" s="17">
        <v>1004</v>
      </c>
      <c r="U157" s="17">
        <v>5803</v>
      </c>
      <c r="V157" s="17">
        <f t="shared" si="111"/>
        <v>7066</v>
      </c>
      <c r="W157" s="18">
        <v>5373</v>
      </c>
      <c r="X157" s="19">
        <v>5754</v>
      </c>
      <c r="Y157" s="19">
        <v>1391</v>
      </c>
      <c r="Z157" s="19">
        <v>1492.6647979591191</v>
      </c>
      <c r="AA157" s="19">
        <v>548.92512508934954</v>
      </c>
      <c r="AB157" s="19">
        <v>972.17708170871435</v>
      </c>
      <c r="AC157" s="17">
        <v>0</v>
      </c>
      <c r="AD157" s="17">
        <v>0</v>
      </c>
      <c r="AE157" s="19">
        <v>548.57301704966642</v>
      </c>
      <c r="AF157" s="19">
        <v>726</v>
      </c>
      <c r="AG157" s="24">
        <v>2856.6599781931504</v>
      </c>
      <c r="AH157" s="17">
        <f t="shared" si="112"/>
        <v>1693</v>
      </c>
      <c r="AI157" s="20">
        <v>38</v>
      </c>
      <c r="AJ157" s="21">
        <v>27039</v>
      </c>
      <c r="AK157" s="22">
        <v>19573</v>
      </c>
      <c r="AL157" s="22">
        <v>20636</v>
      </c>
      <c r="AM157" s="16">
        <v>43.1</v>
      </c>
      <c r="AN157" s="23">
        <f t="shared" si="78"/>
        <v>4832.95</v>
      </c>
      <c r="AO157" s="23">
        <f t="shared" si="79"/>
        <v>1440.84</v>
      </c>
      <c r="AP157" s="23">
        <f t="shared" si="80"/>
        <v>0</v>
      </c>
      <c r="AQ157" s="23">
        <f t="shared" si="81"/>
        <v>417.63</v>
      </c>
      <c r="AR157" s="23">
        <f t="shared" si="82"/>
        <v>0</v>
      </c>
      <c r="AS157" s="23">
        <f t="shared" si="83"/>
        <v>489.56</v>
      </c>
      <c r="AT157" s="23">
        <f t="shared" si="84"/>
        <v>0</v>
      </c>
      <c r="AU157" s="23">
        <f t="shared" si="85"/>
        <v>0</v>
      </c>
      <c r="AV157" s="23">
        <f t="shared" si="86"/>
        <v>0</v>
      </c>
      <c r="AW157" s="23">
        <f t="shared" si="87"/>
        <v>0</v>
      </c>
      <c r="AX157" s="23">
        <f t="shared" si="88"/>
        <v>0</v>
      </c>
      <c r="AY157" s="23">
        <f t="shared" si="89"/>
        <v>0</v>
      </c>
      <c r="AZ157" s="23">
        <f t="shared" si="90"/>
        <v>1547.56</v>
      </c>
      <c r="BA157" s="23">
        <f t="shared" si="91"/>
        <v>2914.15</v>
      </c>
      <c r="BB157" s="23">
        <f t="shared" si="92"/>
        <v>167.05</v>
      </c>
      <c r="BC157" s="23">
        <f t="shared" si="93"/>
        <v>60.32</v>
      </c>
      <c r="BD157" s="23">
        <f t="shared" si="94"/>
        <v>1705.34</v>
      </c>
      <c r="BE157" s="23">
        <f t="shared" si="95"/>
        <v>489.56</v>
      </c>
      <c r="BF157" s="23">
        <f t="shared" si="96"/>
        <v>2329.4699999999998</v>
      </c>
      <c r="BG157" s="23">
        <f t="shared" si="97"/>
        <v>13464.04</v>
      </c>
      <c r="BH157" s="23">
        <f t="shared" si="98"/>
        <v>16394.43</v>
      </c>
      <c r="BI157" s="23">
        <f t="shared" si="99"/>
        <v>12466.36</v>
      </c>
      <c r="BJ157" s="23">
        <f t="shared" si="100"/>
        <v>13350.35</v>
      </c>
      <c r="BK157" s="23">
        <f t="shared" si="101"/>
        <v>3227.38</v>
      </c>
      <c r="BL157" s="23">
        <f t="shared" si="102"/>
        <v>3463.26</v>
      </c>
      <c r="BM157" s="23">
        <f t="shared" si="103"/>
        <v>1273.6099999999999</v>
      </c>
      <c r="BN157" s="23">
        <f t="shared" si="104"/>
        <v>2255.63</v>
      </c>
      <c r="BO157" s="23">
        <f t="shared" si="105"/>
        <v>0</v>
      </c>
      <c r="BP157" s="23">
        <f t="shared" si="106"/>
        <v>0</v>
      </c>
      <c r="BQ157" s="23">
        <f t="shared" si="107"/>
        <v>1272.79</v>
      </c>
      <c r="BR157" s="23">
        <f t="shared" si="108"/>
        <v>1684.45</v>
      </c>
      <c r="BS157" s="23">
        <f t="shared" si="109"/>
        <v>6627.98</v>
      </c>
      <c r="BT157" s="23">
        <f t="shared" si="113"/>
        <v>3928.07</v>
      </c>
      <c r="BU157" s="23">
        <f t="shared" si="113"/>
        <v>88.17</v>
      </c>
      <c r="BV157" s="23">
        <f t="shared" si="113"/>
        <v>62735.5</v>
      </c>
      <c r="BW157" s="23">
        <f t="shared" si="113"/>
        <v>45412.99</v>
      </c>
      <c r="BX157" s="23">
        <f t="shared" si="113"/>
        <v>47879.35</v>
      </c>
      <c r="BY157" t="s">
        <v>270</v>
      </c>
      <c r="CE157" t="s">
        <v>267</v>
      </c>
      <c r="CF157" t="s">
        <v>266</v>
      </c>
      <c r="CG157" t="s">
        <v>266</v>
      </c>
      <c r="CH157" t="s">
        <v>266</v>
      </c>
      <c r="CI157" t="s">
        <v>266</v>
      </c>
      <c r="CJ157" t="s">
        <v>266</v>
      </c>
      <c r="CK157" t="s">
        <v>267</v>
      </c>
      <c r="CL157" t="s">
        <v>267</v>
      </c>
      <c r="CM157" t="s">
        <v>267</v>
      </c>
      <c r="CN157" t="s">
        <v>267</v>
      </c>
      <c r="CO157" t="s">
        <v>266</v>
      </c>
    </row>
    <row r="158" spans="1:93" x14ac:dyDescent="0.25">
      <c r="A158" s="2" t="s">
        <v>164</v>
      </c>
      <c r="B158" s="17">
        <v>2288</v>
      </c>
      <c r="C158" s="17">
        <v>644</v>
      </c>
      <c r="D158" s="17">
        <v>0</v>
      </c>
      <c r="E158" s="17">
        <v>168</v>
      </c>
      <c r="F158" s="17">
        <v>0</v>
      </c>
      <c r="G158" s="17">
        <v>200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>
        <v>693</v>
      </c>
      <c r="O158" s="17">
        <v>1326</v>
      </c>
      <c r="P158" s="17">
        <v>64</v>
      </c>
      <c r="Q158" s="17">
        <v>28</v>
      </c>
      <c r="R158" s="17">
        <v>767</v>
      </c>
      <c r="S158" s="17">
        <v>255</v>
      </c>
      <c r="T158" s="17">
        <v>1123</v>
      </c>
      <c r="U158" s="17">
        <v>6190</v>
      </c>
      <c r="V158" s="17">
        <f t="shared" si="111"/>
        <v>7556</v>
      </c>
      <c r="W158" s="18">
        <v>5882</v>
      </c>
      <c r="X158" s="19">
        <v>6269</v>
      </c>
      <c r="Y158" s="19">
        <v>1497</v>
      </c>
      <c r="Z158" s="19">
        <v>1552.505432899751</v>
      </c>
      <c r="AA158" s="19">
        <v>597.89738205861329</v>
      </c>
      <c r="AB158" s="19">
        <v>1011.8977838691571</v>
      </c>
      <c r="AC158" s="17">
        <v>0</v>
      </c>
      <c r="AD158" s="17">
        <v>0</v>
      </c>
      <c r="AE158" s="19">
        <v>634.82209043736088</v>
      </c>
      <c r="AF158" s="19">
        <v>743</v>
      </c>
      <c r="AG158" s="24">
        <v>3225.877310735118</v>
      </c>
      <c r="AH158" s="17">
        <f t="shared" si="112"/>
        <v>1674</v>
      </c>
      <c r="AI158" s="20">
        <v>82</v>
      </c>
      <c r="AJ158" s="21">
        <v>27008</v>
      </c>
      <c r="AK158" s="22">
        <v>21162</v>
      </c>
      <c r="AL158" s="22">
        <v>22005.25</v>
      </c>
      <c r="AM158" s="16">
        <v>45.3</v>
      </c>
      <c r="AN158" s="23">
        <f t="shared" si="78"/>
        <v>5050.7700000000004</v>
      </c>
      <c r="AO158" s="23">
        <f t="shared" si="79"/>
        <v>1421.63</v>
      </c>
      <c r="AP158" s="23">
        <f t="shared" si="80"/>
        <v>0</v>
      </c>
      <c r="AQ158" s="23">
        <f t="shared" si="81"/>
        <v>370.86</v>
      </c>
      <c r="AR158" s="23">
        <f t="shared" si="82"/>
        <v>0</v>
      </c>
      <c r="AS158" s="23">
        <f t="shared" si="83"/>
        <v>441.5</v>
      </c>
      <c r="AT158" s="23">
        <f t="shared" si="84"/>
        <v>0</v>
      </c>
      <c r="AU158" s="23">
        <f t="shared" si="85"/>
        <v>0</v>
      </c>
      <c r="AV158" s="23">
        <f t="shared" si="86"/>
        <v>0</v>
      </c>
      <c r="AW158" s="23">
        <f t="shared" si="87"/>
        <v>0</v>
      </c>
      <c r="AX158" s="23">
        <f t="shared" si="88"/>
        <v>0</v>
      </c>
      <c r="AY158" s="23">
        <f t="shared" si="89"/>
        <v>0</v>
      </c>
      <c r="AZ158" s="23">
        <f t="shared" si="90"/>
        <v>1529.8</v>
      </c>
      <c r="BA158" s="23">
        <f t="shared" si="91"/>
        <v>2927.15</v>
      </c>
      <c r="BB158" s="23">
        <f t="shared" si="92"/>
        <v>141.28</v>
      </c>
      <c r="BC158" s="23">
        <f t="shared" si="93"/>
        <v>61.81</v>
      </c>
      <c r="BD158" s="23">
        <f t="shared" si="94"/>
        <v>1693.16</v>
      </c>
      <c r="BE158" s="23">
        <f t="shared" si="95"/>
        <v>562.91</v>
      </c>
      <c r="BF158" s="23">
        <f t="shared" si="96"/>
        <v>2479.0300000000002</v>
      </c>
      <c r="BG158" s="23">
        <f t="shared" si="97"/>
        <v>13664.46</v>
      </c>
      <c r="BH158" s="23">
        <f t="shared" si="98"/>
        <v>16679.91</v>
      </c>
      <c r="BI158" s="23">
        <f t="shared" si="99"/>
        <v>12984.55</v>
      </c>
      <c r="BJ158" s="23">
        <f t="shared" si="100"/>
        <v>13838.85</v>
      </c>
      <c r="BK158" s="23">
        <f t="shared" si="101"/>
        <v>3304.64</v>
      </c>
      <c r="BL158" s="23">
        <f t="shared" si="102"/>
        <v>3427.16</v>
      </c>
      <c r="BM158" s="23">
        <f t="shared" si="103"/>
        <v>1319.86</v>
      </c>
      <c r="BN158" s="23">
        <f t="shared" si="104"/>
        <v>2233.77</v>
      </c>
      <c r="BO158" s="23">
        <f t="shared" si="105"/>
        <v>0</v>
      </c>
      <c r="BP158" s="23">
        <f t="shared" si="106"/>
        <v>0</v>
      </c>
      <c r="BQ158" s="23">
        <f t="shared" si="107"/>
        <v>1401.37</v>
      </c>
      <c r="BR158" s="23">
        <f t="shared" si="108"/>
        <v>1640.18</v>
      </c>
      <c r="BS158" s="23">
        <f t="shared" si="109"/>
        <v>7121.14</v>
      </c>
      <c r="BT158" s="23">
        <f t="shared" si="113"/>
        <v>3695.36</v>
      </c>
      <c r="BU158" s="23">
        <f t="shared" si="113"/>
        <v>181.02</v>
      </c>
      <c r="BV158" s="23">
        <f t="shared" si="113"/>
        <v>59620.31</v>
      </c>
      <c r="BW158" s="23">
        <f t="shared" si="113"/>
        <v>46715.23</v>
      </c>
      <c r="BX158" s="23">
        <f t="shared" si="113"/>
        <v>48576.71</v>
      </c>
      <c r="BY158" t="s">
        <v>270</v>
      </c>
      <c r="CE158" t="s">
        <v>267</v>
      </c>
      <c r="CF158" t="s">
        <v>266</v>
      </c>
      <c r="CG158" t="s">
        <v>266</v>
      </c>
      <c r="CH158" t="s">
        <v>266</v>
      </c>
      <c r="CI158" t="s">
        <v>266</v>
      </c>
      <c r="CJ158" t="s">
        <v>266</v>
      </c>
      <c r="CK158" t="s">
        <v>267</v>
      </c>
      <c r="CL158" t="s">
        <v>267</v>
      </c>
      <c r="CM158" t="s">
        <v>267</v>
      </c>
      <c r="CN158" t="s">
        <v>267</v>
      </c>
      <c r="CO158" t="s">
        <v>266</v>
      </c>
    </row>
    <row r="159" spans="1:93" x14ac:dyDescent="0.25">
      <c r="A159" s="2" t="s">
        <v>165</v>
      </c>
      <c r="B159" s="17">
        <v>2381.8000000000002</v>
      </c>
      <c r="C159" s="17">
        <v>693</v>
      </c>
      <c r="D159" s="17">
        <v>0</v>
      </c>
      <c r="E159" s="17">
        <v>178</v>
      </c>
      <c r="F159" s="17">
        <v>0</v>
      </c>
      <c r="G159" s="17">
        <v>255.2</v>
      </c>
      <c r="H159" s="17">
        <v>0</v>
      </c>
      <c r="I159" s="17">
        <v>0</v>
      </c>
      <c r="J159" s="17">
        <v>0</v>
      </c>
      <c r="K159" s="17">
        <v>0</v>
      </c>
      <c r="L159" s="17">
        <v>0</v>
      </c>
      <c r="M159" s="17">
        <v>0</v>
      </c>
      <c r="N159" s="17">
        <v>719</v>
      </c>
      <c r="O159" s="17">
        <v>1334</v>
      </c>
      <c r="P159" s="17">
        <v>66</v>
      </c>
      <c r="Q159" s="17">
        <v>31</v>
      </c>
      <c r="R159" s="17">
        <v>831</v>
      </c>
      <c r="S159" s="17">
        <v>276</v>
      </c>
      <c r="T159" s="17">
        <v>1182</v>
      </c>
      <c r="U159" s="17">
        <v>6509</v>
      </c>
      <c r="V159" s="17">
        <f t="shared" si="111"/>
        <v>7947</v>
      </c>
      <c r="W159" s="18">
        <v>6102</v>
      </c>
      <c r="X159" s="19">
        <v>6546</v>
      </c>
      <c r="Y159" s="19">
        <v>1534</v>
      </c>
      <c r="Z159" s="19">
        <v>1526.1755535258733</v>
      </c>
      <c r="AA159" s="19">
        <v>643.90345782701934</v>
      </c>
      <c r="AB159" s="19">
        <v>1084.4267543075764</v>
      </c>
      <c r="AC159" s="17">
        <v>0</v>
      </c>
      <c r="AD159" s="17">
        <v>0</v>
      </c>
      <c r="AE159" s="19">
        <v>714.5663454410676</v>
      </c>
      <c r="AF159" s="19">
        <v>728</v>
      </c>
      <c r="AG159" s="24">
        <v>3382.9278888984627</v>
      </c>
      <c r="AH159" s="17">
        <f t="shared" si="112"/>
        <v>1845</v>
      </c>
      <c r="AI159" s="20">
        <v>6</v>
      </c>
      <c r="AJ159" s="21">
        <v>27232</v>
      </c>
      <c r="AK159" s="22">
        <v>22509</v>
      </c>
      <c r="AL159" s="22">
        <v>23004</v>
      </c>
      <c r="AM159" s="16">
        <v>46.9</v>
      </c>
      <c r="AN159" s="23">
        <f t="shared" si="78"/>
        <v>5078.46</v>
      </c>
      <c r="AO159" s="23">
        <f t="shared" si="79"/>
        <v>1477.61</v>
      </c>
      <c r="AP159" s="23">
        <f t="shared" si="80"/>
        <v>0</v>
      </c>
      <c r="AQ159" s="23">
        <f t="shared" si="81"/>
        <v>379.53</v>
      </c>
      <c r="AR159" s="23">
        <f t="shared" si="82"/>
        <v>0</v>
      </c>
      <c r="AS159" s="23">
        <f t="shared" si="83"/>
        <v>544.14</v>
      </c>
      <c r="AT159" s="23">
        <f t="shared" si="84"/>
        <v>0</v>
      </c>
      <c r="AU159" s="23">
        <f t="shared" si="85"/>
        <v>0</v>
      </c>
      <c r="AV159" s="23">
        <f t="shared" si="86"/>
        <v>0</v>
      </c>
      <c r="AW159" s="23">
        <f t="shared" si="87"/>
        <v>0</v>
      </c>
      <c r="AX159" s="23">
        <f t="shared" si="88"/>
        <v>0</v>
      </c>
      <c r="AY159" s="23">
        <f t="shared" si="89"/>
        <v>0</v>
      </c>
      <c r="AZ159" s="23">
        <f t="shared" si="90"/>
        <v>1533.05</v>
      </c>
      <c r="BA159" s="23">
        <f t="shared" si="91"/>
        <v>2844.35</v>
      </c>
      <c r="BB159" s="23">
        <f t="shared" si="92"/>
        <v>140.72</v>
      </c>
      <c r="BC159" s="23">
        <f t="shared" si="93"/>
        <v>66.099999999999994</v>
      </c>
      <c r="BD159" s="23">
        <f t="shared" si="94"/>
        <v>1771.86</v>
      </c>
      <c r="BE159" s="23">
        <f t="shared" si="95"/>
        <v>588.49</v>
      </c>
      <c r="BF159" s="23">
        <f t="shared" si="96"/>
        <v>2520.2600000000002</v>
      </c>
      <c r="BG159" s="23">
        <f t="shared" si="97"/>
        <v>13878.46</v>
      </c>
      <c r="BH159" s="23">
        <f t="shared" si="98"/>
        <v>16944.560000000001</v>
      </c>
      <c r="BI159" s="23">
        <f t="shared" si="99"/>
        <v>13010.66</v>
      </c>
      <c r="BJ159" s="23">
        <f t="shared" si="100"/>
        <v>13957.36</v>
      </c>
      <c r="BK159" s="23">
        <f t="shared" si="101"/>
        <v>3270.79</v>
      </c>
      <c r="BL159" s="23">
        <f t="shared" si="102"/>
        <v>3254.11</v>
      </c>
      <c r="BM159" s="23">
        <f t="shared" si="103"/>
        <v>1372.93</v>
      </c>
      <c r="BN159" s="23">
        <f t="shared" si="104"/>
        <v>2312.21</v>
      </c>
      <c r="BO159" s="23">
        <f t="shared" si="105"/>
        <v>0</v>
      </c>
      <c r="BP159" s="23">
        <f t="shared" si="106"/>
        <v>0</v>
      </c>
      <c r="BQ159" s="23">
        <f t="shared" si="107"/>
        <v>1523.6</v>
      </c>
      <c r="BR159" s="23">
        <f t="shared" si="108"/>
        <v>1552.24</v>
      </c>
      <c r="BS159" s="23">
        <f t="shared" si="109"/>
        <v>7213.07</v>
      </c>
      <c r="BT159" s="23">
        <f t="shared" si="113"/>
        <v>3933.9</v>
      </c>
      <c r="BU159" s="23">
        <f t="shared" si="113"/>
        <v>12.79</v>
      </c>
      <c r="BV159" s="23">
        <f t="shared" si="113"/>
        <v>58063.97</v>
      </c>
      <c r="BW159" s="23">
        <f t="shared" si="113"/>
        <v>47993.599999999999</v>
      </c>
      <c r="BX159" s="23">
        <f t="shared" si="113"/>
        <v>49049.04</v>
      </c>
      <c r="BY159" t="s">
        <v>270</v>
      </c>
      <c r="CE159" t="s">
        <v>267</v>
      </c>
      <c r="CF159" t="s">
        <v>266</v>
      </c>
      <c r="CG159" t="s">
        <v>266</v>
      </c>
      <c r="CH159" t="s">
        <v>266</v>
      </c>
      <c r="CI159" t="s">
        <v>266</v>
      </c>
      <c r="CJ159" t="s">
        <v>266</v>
      </c>
      <c r="CK159" t="s">
        <v>267</v>
      </c>
      <c r="CL159" t="s">
        <v>267</v>
      </c>
      <c r="CM159" t="s">
        <v>267</v>
      </c>
      <c r="CN159" t="s">
        <v>267</v>
      </c>
      <c r="CO159" t="s">
        <v>266</v>
      </c>
    </row>
    <row r="160" spans="1:93" x14ac:dyDescent="0.25">
      <c r="A160" s="2" t="s">
        <v>166</v>
      </c>
      <c r="B160" s="17">
        <v>2484.1999999999998</v>
      </c>
      <c r="C160" s="17">
        <v>880</v>
      </c>
      <c r="D160" s="17">
        <v>0</v>
      </c>
      <c r="E160" s="17">
        <v>189</v>
      </c>
      <c r="F160" s="17">
        <v>0</v>
      </c>
      <c r="G160" s="17">
        <v>274.8</v>
      </c>
      <c r="H160" s="17">
        <v>0</v>
      </c>
      <c r="I160" s="17">
        <v>0</v>
      </c>
      <c r="J160" s="17">
        <v>0</v>
      </c>
      <c r="K160" s="17">
        <v>0</v>
      </c>
      <c r="L160" s="17">
        <v>0</v>
      </c>
      <c r="M160" s="17">
        <v>0</v>
      </c>
      <c r="N160" s="17">
        <v>745</v>
      </c>
      <c r="O160" s="17">
        <v>1324</v>
      </c>
      <c r="P160" s="17">
        <v>69</v>
      </c>
      <c r="Q160" s="17">
        <v>33</v>
      </c>
      <c r="R160" s="17">
        <v>896</v>
      </c>
      <c r="S160" s="17">
        <v>290</v>
      </c>
      <c r="T160" s="17">
        <v>1167</v>
      </c>
      <c r="U160" s="17">
        <v>6892</v>
      </c>
      <c r="V160" s="17">
        <f t="shared" si="111"/>
        <v>8352</v>
      </c>
      <c r="W160" s="18">
        <v>6460</v>
      </c>
      <c r="X160" s="19">
        <v>6929</v>
      </c>
      <c r="Y160" s="19">
        <v>1624</v>
      </c>
      <c r="Z160" s="19">
        <v>1485.9626468457684</v>
      </c>
      <c r="AA160" s="19">
        <v>689.24365618298782</v>
      </c>
      <c r="AB160" s="19">
        <v>1327.8063293633822</v>
      </c>
      <c r="AC160" s="17">
        <v>0</v>
      </c>
      <c r="AD160" s="17">
        <v>0</v>
      </c>
      <c r="AE160" s="19">
        <v>771.42327650111201</v>
      </c>
      <c r="AF160" s="19">
        <v>804</v>
      </c>
      <c r="AG160" s="24">
        <v>3474.5640911067499</v>
      </c>
      <c r="AH160" s="17">
        <f t="shared" si="112"/>
        <v>1892</v>
      </c>
      <c r="AI160" s="20">
        <v>71</v>
      </c>
      <c r="AJ160" s="21">
        <v>27376</v>
      </c>
      <c r="AK160" s="22">
        <v>23334</v>
      </c>
      <c r="AL160" s="22">
        <v>23956</v>
      </c>
      <c r="AM160" s="16">
        <v>48.4</v>
      </c>
      <c r="AN160" s="23">
        <f t="shared" si="78"/>
        <v>5132.6400000000003</v>
      </c>
      <c r="AO160" s="23">
        <f t="shared" si="79"/>
        <v>1818.18</v>
      </c>
      <c r="AP160" s="23">
        <f t="shared" si="80"/>
        <v>0</v>
      </c>
      <c r="AQ160" s="23">
        <f t="shared" si="81"/>
        <v>390.5</v>
      </c>
      <c r="AR160" s="23">
        <f t="shared" si="82"/>
        <v>0</v>
      </c>
      <c r="AS160" s="23">
        <f t="shared" si="83"/>
        <v>567.77</v>
      </c>
      <c r="AT160" s="23">
        <f t="shared" si="84"/>
        <v>0</v>
      </c>
      <c r="AU160" s="23">
        <f t="shared" si="85"/>
        <v>0</v>
      </c>
      <c r="AV160" s="23">
        <f t="shared" si="86"/>
        <v>0</v>
      </c>
      <c r="AW160" s="23">
        <f t="shared" si="87"/>
        <v>0</v>
      </c>
      <c r="AX160" s="23">
        <f t="shared" si="88"/>
        <v>0</v>
      </c>
      <c r="AY160" s="23">
        <f t="shared" si="89"/>
        <v>0</v>
      </c>
      <c r="AZ160" s="23">
        <f t="shared" si="90"/>
        <v>1539.26</v>
      </c>
      <c r="BA160" s="23">
        <f t="shared" si="91"/>
        <v>2735.54</v>
      </c>
      <c r="BB160" s="23">
        <f t="shared" si="92"/>
        <v>142.56</v>
      </c>
      <c r="BC160" s="23">
        <f t="shared" si="93"/>
        <v>68.180000000000007</v>
      </c>
      <c r="BD160" s="23">
        <f t="shared" si="94"/>
        <v>1851.24</v>
      </c>
      <c r="BE160" s="23">
        <f t="shared" si="95"/>
        <v>599.16999999999996</v>
      </c>
      <c r="BF160" s="23">
        <f t="shared" si="96"/>
        <v>2411.16</v>
      </c>
      <c r="BG160" s="23">
        <f t="shared" si="97"/>
        <v>14239.67</v>
      </c>
      <c r="BH160" s="23">
        <f t="shared" si="98"/>
        <v>17256.2</v>
      </c>
      <c r="BI160" s="23">
        <f t="shared" si="99"/>
        <v>13347.11</v>
      </c>
      <c r="BJ160" s="23">
        <f t="shared" si="100"/>
        <v>14316.12</v>
      </c>
      <c r="BK160" s="23">
        <f t="shared" si="101"/>
        <v>3355.37</v>
      </c>
      <c r="BL160" s="23">
        <f t="shared" si="102"/>
        <v>3070.17</v>
      </c>
      <c r="BM160" s="23">
        <f t="shared" si="103"/>
        <v>1424.06</v>
      </c>
      <c r="BN160" s="23">
        <f t="shared" si="104"/>
        <v>2743.4</v>
      </c>
      <c r="BO160" s="23">
        <f t="shared" si="105"/>
        <v>0</v>
      </c>
      <c r="BP160" s="23">
        <f t="shared" si="106"/>
        <v>0</v>
      </c>
      <c r="BQ160" s="23">
        <f t="shared" si="107"/>
        <v>1593.85</v>
      </c>
      <c r="BR160" s="23">
        <f t="shared" si="108"/>
        <v>1661.16</v>
      </c>
      <c r="BS160" s="23">
        <f t="shared" si="109"/>
        <v>7178.85</v>
      </c>
      <c r="BT160" s="23">
        <f t="shared" si="113"/>
        <v>3909.09</v>
      </c>
      <c r="BU160" s="23">
        <f t="shared" si="113"/>
        <v>146.69</v>
      </c>
      <c r="BV160" s="23">
        <f t="shared" si="113"/>
        <v>56561.98</v>
      </c>
      <c r="BW160" s="23">
        <f t="shared" si="113"/>
        <v>48210.74</v>
      </c>
      <c r="BX160" s="23">
        <f t="shared" si="113"/>
        <v>49495.87</v>
      </c>
      <c r="BY160" t="s">
        <v>270</v>
      </c>
      <c r="CE160" t="s">
        <v>267</v>
      </c>
      <c r="CF160" t="s">
        <v>266</v>
      </c>
      <c r="CG160" t="s">
        <v>266</v>
      </c>
      <c r="CH160" t="s">
        <v>266</v>
      </c>
      <c r="CI160" t="s">
        <v>266</v>
      </c>
      <c r="CJ160" t="s">
        <v>266</v>
      </c>
      <c r="CK160" t="s">
        <v>267</v>
      </c>
      <c r="CL160" t="s">
        <v>267</v>
      </c>
      <c r="CM160" t="s">
        <v>267</v>
      </c>
      <c r="CN160" t="s">
        <v>267</v>
      </c>
      <c r="CO160" t="s">
        <v>266</v>
      </c>
    </row>
    <row r="161" spans="1:93" x14ac:dyDescent="0.25">
      <c r="A161" s="2" t="s">
        <v>167</v>
      </c>
      <c r="B161" s="17">
        <v>2398.1999999999998</v>
      </c>
      <c r="C161" s="17">
        <v>906</v>
      </c>
      <c r="D161" s="17">
        <v>0</v>
      </c>
      <c r="E161" s="17">
        <v>226</v>
      </c>
      <c r="F161" s="17">
        <v>0</v>
      </c>
      <c r="G161" s="17">
        <v>261.8</v>
      </c>
      <c r="H161" s="17">
        <v>0</v>
      </c>
      <c r="I161" s="17">
        <v>0</v>
      </c>
      <c r="J161" s="17">
        <v>0</v>
      </c>
      <c r="K161" s="17">
        <v>0</v>
      </c>
      <c r="L161" s="17">
        <v>0</v>
      </c>
      <c r="M161" s="17">
        <v>0</v>
      </c>
      <c r="N161" s="17">
        <v>781</v>
      </c>
      <c r="O161" s="17">
        <v>1382</v>
      </c>
      <c r="P161" s="17">
        <v>94</v>
      </c>
      <c r="Q161" s="17">
        <v>36</v>
      </c>
      <c r="R161" s="17">
        <v>983</v>
      </c>
      <c r="S161" s="17">
        <v>324</v>
      </c>
      <c r="T161" s="17">
        <v>1016</v>
      </c>
      <c r="U161" s="17">
        <v>7072</v>
      </c>
      <c r="V161" s="17">
        <f t="shared" si="111"/>
        <v>8408</v>
      </c>
      <c r="W161" s="18">
        <v>6876</v>
      </c>
      <c r="X161" s="19">
        <v>7401</v>
      </c>
      <c r="Y161" s="19">
        <v>1709</v>
      </c>
      <c r="Z161" s="19">
        <v>1524.0212906680101</v>
      </c>
      <c r="AA161" s="19">
        <v>749.11208899213716</v>
      </c>
      <c r="AB161" s="19">
        <v>1393.2165246094105</v>
      </c>
      <c r="AC161" s="17">
        <v>0</v>
      </c>
      <c r="AD161" s="17">
        <v>0</v>
      </c>
      <c r="AE161" s="19">
        <v>832.85767234988873</v>
      </c>
      <c r="AF161" s="19">
        <v>799</v>
      </c>
      <c r="AG161" s="24">
        <v>3811.7924233805529</v>
      </c>
      <c r="AH161" s="17">
        <f t="shared" si="112"/>
        <v>1532</v>
      </c>
      <c r="AI161" s="20">
        <v>569</v>
      </c>
      <c r="AJ161" s="21">
        <v>27733</v>
      </c>
      <c r="AK161" s="22">
        <v>24872</v>
      </c>
      <c r="AL161" s="22">
        <v>25788</v>
      </c>
      <c r="AM161" s="16">
        <v>48.6</v>
      </c>
      <c r="AN161" s="23">
        <f t="shared" si="78"/>
        <v>4934.57</v>
      </c>
      <c r="AO161" s="23">
        <f t="shared" si="79"/>
        <v>1864.2</v>
      </c>
      <c r="AP161" s="23">
        <f t="shared" si="80"/>
        <v>0</v>
      </c>
      <c r="AQ161" s="23">
        <f t="shared" si="81"/>
        <v>465.02</v>
      </c>
      <c r="AR161" s="23">
        <f t="shared" si="82"/>
        <v>0</v>
      </c>
      <c r="AS161" s="23">
        <f t="shared" si="83"/>
        <v>538.67999999999995</v>
      </c>
      <c r="AT161" s="23">
        <f t="shared" si="84"/>
        <v>0</v>
      </c>
      <c r="AU161" s="23">
        <f t="shared" si="85"/>
        <v>0</v>
      </c>
      <c r="AV161" s="23">
        <f t="shared" si="86"/>
        <v>0</v>
      </c>
      <c r="AW161" s="23">
        <f t="shared" si="87"/>
        <v>0</v>
      </c>
      <c r="AX161" s="23">
        <f t="shared" si="88"/>
        <v>0</v>
      </c>
      <c r="AY161" s="23">
        <f t="shared" si="89"/>
        <v>0</v>
      </c>
      <c r="AZ161" s="23">
        <f t="shared" si="90"/>
        <v>1607</v>
      </c>
      <c r="BA161" s="23">
        <f t="shared" si="91"/>
        <v>2843.62</v>
      </c>
      <c r="BB161" s="23">
        <f t="shared" si="92"/>
        <v>193.42</v>
      </c>
      <c r="BC161" s="23">
        <f t="shared" si="93"/>
        <v>74.069999999999993</v>
      </c>
      <c r="BD161" s="23">
        <f t="shared" si="94"/>
        <v>2022.63</v>
      </c>
      <c r="BE161" s="23">
        <f t="shared" si="95"/>
        <v>666.67</v>
      </c>
      <c r="BF161" s="23">
        <f t="shared" si="96"/>
        <v>2090.5300000000002</v>
      </c>
      <c r="BG161" s="23">
        <f t="shared" si="97"/>
        <v>14551.44</v>
      </c>
      <c r="BH161" s="23">
        <f t="shared" si="98"/>
        <v>17300.41</v>
      </c>
      <c r="BI161" s="23">
        <f t="shared" si="99"/>
        <v>14148.15</v>
      </c>
      <c r="BJ161" s="23">
        <f t="shared" si="100"/>
        <v>15228.4</v>
      </c>
      <c r="BK161" s="23">
        <f t="shared" si="101"/>
        <v>3516.46</v>
      </c>
      <c r="BL161" s="23">
        <f t="shared" si="102"/>
        <v>3135.85</v>
      </c>
      <c r="BM161" s="23">
        <f t="shared" si="103"/>
        <v>1541.38</v>
      </c>
      <c r="BN161" s="23">
        <f t="shared" si="104"/>
        <v>2866.7</v>
      </c>
      <c r="BO161" s="23">
        <f t="shared" si="105"/>
        <v>0</v>
      </c>
      <c r="BP161" s="23">
        <f t="shared" si="106"/>
        <v>0</v>
      </c>
      <c r="BQ161" s="23">
        <f t="shared" si="107"/>
        <v>1713.7</v>
      </c>
      <c r="BR161" s="23">
        <f t="shared" si="108"/>
        <v>1644.03</v>
      </c>
      <c r="BS161" s="23">
        <f t="shared" si="109"/>
        <v>7843.19</v>
      </c>
      <c r="BT161" s="23">
        <f t="shared" si="113"/>
        <v>3152.26</v>
      </c>
      <c r="BU161" s="23">
        <f t="shared" si="113"/>
        <v>1170.78</v>
      </c>
      <c r="BV161" s="23">
        <f t="shared" si="113"/>
        <v>57063.79</v>
      </c>
      <c r="BW161" s="23">
        <f t="shared" si="113"/>
        <v>51176.95</v>
      </c>
      <c r="BX161" s="23">
        <f t="shared" si="113"/>
        <v>53061.73</v>
      </c>
      <c r="BY161" t="s">
        <v>270</v>
      </c>
      <c r="CE161" t="s">
        <v>267</v>
      </c>
      <c r="CF161" t="s">
        <v>266</v>
      </c>
      <c r="CG161" t="s">
        <v>266</v>
      </c>
      <c r="CH161" t="s">
        <v>266</v>
      </c>
      <c r="CI161" t="s">
        <v>266</v>
      </c>
      <c r="CJ161" t="s">
        <v>266</v>
      </c>
      <c r="CK161" t="s">
        <v>267</v>
      </c>
      <c r="CL161" t="s">
        <v>267</v>
      </c>
      <c r="CM161" t="s">
        <v>267</v>
      </c>
      <c r="CN161" t="s">
        <v>267</v>
      </c>
      <c r="CO161" t="s">
        <v>266</v>
      </c>
    </row>
    <row r="162" spans="1:93" x14ac:dyDescent="0.25">
      <c r="A162" s="2" t="s">
        <v>168</v>
      </c>
      <c r="B162" s="17">
        <v>2619.9</v>
      </c>
      <c r="C162" s="17">
        <v>913</v>
      </c>
      <c r="D162" s="17">
        <v>0</v>
      </c>
      <c r="E162" s="17">
        <v>236</v>
      </c>
      <c r="F162" s="17">
        <v>0</v>
      </c>
      <c r="G162" s="17">
        <v>263.10000000000002</v>
      </c>
      <c r="H162" s="17">
        <v>0</v>
      </c>
      <c r="I162" s="17">
        <v>0</v>
      </c>
      <c r="J162" s="17">
        <v>0</v>
      </c>
      <c r="K162" s="17">
        <v>0</v>
      </c>
      <c r="L162" s="17">
        <v>0</v>
      </c>
      <c r="M162" s="17">
        <v>0</v>
      </c>
      <c r="N162" s="17">
        <v>828</v>
      </c>
      <c r="O162" s="17">
        <v>1399</v>
      </c>
      <c r="P162" s="17">
        <v>94</v>
      </c>
      <c r="Q162" s="17">
        <v>38</v>
      </c>
      <c r="R162" s="17">
        <v>1075</v>
      </c>
      <c r="S162" s="17">
        <v>345</v>
      </c>
      <c r="T162" s="17">
        <v>1140</v>
      </c>
      <c r="U162" s="17">
        <v>7429</v>
      </c>
      <c r="V162" s="17">
        <f t="shared" si="111"/>
        <v>8951</v>
      </c>
      <c r="W162" s="18">
        <v>7330</v>
      </c>
      <c r="X162" s="19">
        <v>7920</v>
      </c>
      <c r="Y162" s="19">
        <v>1808</v>
      </c>
      <c r="Z162" s="19">
        <v>1583.3832005291172</v>
      </c>
      <c r="AA162" s="19">
        <v>812.37044317369555</v>
      </c>
      <c r="AB162" s="19">
        <v>1433.8657626645133</v>
      </c>
      <c r="AC162" s="17">
        <v>0</v>
      </c>
      <c r="AD162" s="17">
        <v>0</v>
      </c>
      <c r="AE162" s="19">
        <v>905.8561897702001</v>
      </c>
      <c r="AF162" s="19">
        <v>888</v>
      </c>
      <c r="AG162" s="24">
        <v>4104.5244038624751</v>
      </c>
      <c r="AH162" s="17">
        <f t="shared" si="112"/>
        <v>1621</v>
      </c>
      <c r="AI162" s="20">
        <v>662</v>
      </c>
      <c r="AJ162" s="21">
        <v>28252</v>
      </c>
      <c r="AK162" s="22">
        <v>26641</v>
      </c>
      <c r="AL162" s="22">
        <v>27584</v>
      </c>
      <c r="AM162" s="16">
        <v>49.1</v>
      </c>
      <c r="AN162" s="23">
        <f t="shared" si="78"/>
        <v>5335.85</v>
      </c>
      <c r="AO162" s="23">
        <f t="shared" si="79"/>
        <v>1859.47</v>
      </c>
      <c r="AP162" s="23">
        <f t="shared" si="80"/>
        <v>0</v>
      </c>
      <c r="AQ162" s="23">
        <f t="shared" si="81"/>
        <v>480.65</v>
      </c>
      <c r="AR162" s="23">
        <f t="shared" si="82"/>
        <v>0</v>
      </c>
      <c r="AS162" s="23">
        <f t="shared" si="83"/>
        <v>535.85</v>
      </c>
      <c r="AT162" s="23">
        <f t="shared" si="84"/>
        <v>0</v>
      </c>
      <c r="AU162" s="23">
        <f t="shared" si="85"/>
        <v>0</v>
      </c>
      <c r="AV162" s="23">
        <f t="shared" si="86"/>
        <v>0</v>
      </c>
      <c r="AW162" s="23">
        <f t="shared" si="87"/>
        <v>0</v>
      </c>
      <c r="AX162" s="23">
        <f t="shared" si="88"/>
        <v>0</v>
      </c>
      <c r="AY162" s="23">
        <f t="shared" si="89"/>
        <v>0</v>
      </c>
      <c r="AZ162" s="23">
        <f t="shared" si="90"/>
        <v>1686.35</v>
      </c>
      <c r="BA162" s="23">
        <f t="shared" si="91"/>
        <v>2849.29</v>
      </c>
      <c r="BB162" s="23">
        <f t="shared" si="92"/>
        <v>191.45</v>
      </c>
      <c r="BC162" s="23">
        <f t="shared" si="93"/>
        <v>77.39</v>
      </c>
      <c r="BD162" s="23">
        <f t="shared" si="94"/>
        <v>2189.41</v>
      </c>
      <c r="BE162" s="23">
        <f t="shared" si="95"/>
        <v>702.65</v>
      </c>
      <c r="BF162" s="23">
        <f t="shared" si="96"/>
        <v>2321.79</v>
      </c>
      <c r="BG162" s="23">
        <f t="shared" si="97"/>
        <v>15130.35</v>
      </c>
      <c r="BH162" s="23">
        <f t="shared" si="98"/>
        <v>18230.14</v>
      </c>
      <c r="BI162" s="23">
        <f t="shared" si="99"/>
        <v>14928.72</v>
      </c>
      <c r="BJ162" s="23">
        <f t="shared" si="100"/>
        <v>16130.35</v>
      </c>
      <c r="BK162" s="23">
        <f t="shared" si="101"/>
        <v>3682.28</v>
      </c>
      <c r="BL162" s="23">
        <f t="shared" si="102"/>
        <v>3224.81</v>
      </c>
      <c r="BM162" s="23">
        <f t="shared" si="103"/>
        <v>1654.52</v>
      </c>
      <c r="BN162" s="23">
        <f t="shared" si="104"/>
        <v>2920.3</v>
      </c>
      <c r="BO162" s="23">
        <f t="shared" si="105"/>
        <v>0</v>
      </c>
      <c r="BP162" s="23">
        <f t="shared" si="106"/>
        <v>0</v>
      </c>
      <c r="BQ162" s="23">
        <f t="shared" si="107"/>
        <v>1844.92</v>
      </c>
      <c r="BR162" s="23">
        <f t="shared" si="108"/>
        <v>1808.55</v>
      </c>
      <c r="BS162" s="23">
        <f t="shared" si="109"/>
        <v>8359.52</v>
      </c>
      <c r="BT162" s="23">
        <f t="shared" ref="BT162:BX177" si="114">_xlfn.SINGLE(ROUND((AH162/$AM162)*100,2))</f>
        <v>3301.43</v>
      </c>
      <c r="BU162" s="23">
        <f t="shared" si="114"/>
        <v>1348.27</v>
      </c>
      <c r="BV162" s="23">
        <f t="shared" si="114"/>
        <v>57539.71</v>
      </c>
      <c r="BW162" s="23">
        <f t="shared" si="114"/>
        <v>54258.66</v>
      </c>
      <c r="BX162" s="23">
        <f t="shared" si="114"/>
        <v>56179.23</v>
      </c>
      <c r="BY162" t="s">
        <v>270</v>
      </c>
      <c r="CE162" t="s">
        <v>267</v>
      </c>
      <c r="CF162" t="s">
        <v>266</v>
      </c>
      <c r="CG162" t="s">
        <v>266</v>
      </c>
      <c r="CH162" t="s">
        <v>266</v>
      </c>
      <c r="CI162" t="s">
        <v>266</v>
      </c>
      <c r="CJ162" t="s">
        <v>266</v>
      </c>
      <c r="CK162" t="s">
        <v>267</v>
      </c>
      <c r="CL162" t="s">
        <v>267</v>
      </c>
      <c r="CM162" t="s">
        <v>267</v>
      </c>
      <c r="CN162" t="s">
        <v>267</v>
      </c>
      <c r="CO162" t="s">
        <v>266</v>
      </c>
    </row>
    <row r="163" spans="1:93" x14ac:dyDescent="0.25">
      <c r="A163" s="2" t="s">
        <v>169</v>
      </c>
      <c r="B163" s="17">
        <v>2942.9</v>
      </c>
      <c r="C163" s="17">
        <v>1144</v>
      </c>
      <c r="D163" s="17">
        <v>0</v>
      </c>
      <c r="E163" s="17">
        <v>261</v>
      </c>
      <c r="F163" s="17">
        <v>0</v>
      </c>
      <c r="G163" s="17">
        <v>335.1</v>
      </c>
      <c r="H163" s="17">
        <v>0</v>
      </c>
      <c r="I163" s="17">
        <v>0</v>
      </c>
      <c r="J163" s="17">
        <v>0</v>
      </c>
      <c r="K163" s="17">
        <v>0</v>
      </c>
      <c r="L163" s="17">
        <v>0</v>
      </c>
      <c r="M163" s="17">
        <v>0</v>
      </c>
      <c r="N163" s="17">
        <v>863</v>
      </c>
      <c r="O163" s="17">
        <v>1576</v>
      </c>
      <c r="P163" s="17">
        <v>97</v>
      </c>
      <c r="Q163" s="17">
        <v>38</v>
      </c>
      <c r="R163" s="17">
        <v>1061</v>
      </c>
      <c r="S163" s="17">
        <v>373</v>
      </c>
      <c r="T163" s="17">
        <v>1327</v>
      </c>
      <c r="U163" s="17">
        <v>8400</v>
      </c>
      <c r="V163" s="17">
        <f t="shared" si="111"/>
        <v>10018</v>
      </c>
      <c r="W163" s="18">
        <v>7861</v>
      </c>
      <c r="X163" s="19">
        <v>8578</v>
      </c>
      <c r="Y163" s="19">
        <v>2104</v>
      </c>
      <c r="Z163" s="19">
        <v>1679.1282164341276</v>
      </c>
      <c r="AA163" s="19">
        <v>868.0620085775555</v>
      </c>
      <c r="AB163" s="19">
        <v>1602.3434422177691</v>
      </c>
      <c r="AC163" s="17">
        <v>0</v>
      </c>
      <c r="AD163" s="17">
        <v>0</v>
      </c>
      <c r="AE163" s="19">
        <v>1014.0289103039288</v>
      </c>
      <c r="AF163" s="19">
        <v>928</v>
      </c>
      <c r="AG163" s="24">
        <v>4590.4374224666199</v>
      </c>
      <c r="AH163" s="17">
        <f t="shared" si="112"/>
        <v>2157</v>
      </c>
      <c r="AI163" s="20">
        <v>610</v>
      </c>
      <c r="AJ163" s="21">
        <v>28674</v>
      </c>
      <c r="AK163" s="22">
        <v>28140</v>
      </c>
      <c r="AL163" s="22">
        <v>28844</v>
      </c>
      <c r="AM163" s="16">
        <v>50.8</v>
      </c>
      <c r="AN163" s="23">
        <f t="shared" si="78"/>
        <v>5793.11</v>
      </c>
      <c r="AO163" s="23">
        <f t="shared" si="79"/>
        <v>2251.9699999999998</v>
      </c>
      <c r="AP163" s="23">
        <f t="shared" si="80"/>
        <v>0</v>
      </c>
      <c r="AQ163" s="23">
        <f t="shared" si="81"/>
        <v>513.78</v>
      </c>
      <c r="AR163" s="23">
        <f t="shared" si="82"/>
        <v>0</v>
      </c>
      <c r="AS163" s="23">
        <f t="shared" si="83"/>
        <v>659.65</v>
      </c>
      <c r="AT163" s="23">
        <f t="shared" si="84"/>
        <v>0</v>
      </c>
      <c r="AU163" s="23">
        <f t="shared" si="85"/>
        <v>0</v>
      </c>
      <c r="AV163" s="23">
        <f t="shared" si="86"/>
        <v>0</v>
      </c>
      <c r="AW163" s="23">
        <f t="shared" si="87"/>
        <v>0</v>
      </c>
      <c r="AX163" s="23">
        <f t="shared" si="88"/>
        <v>0</v>
      </c>
      <c r="AY163" s="23">
        <f t="shared" si="89"/>
        <v>0</v>
      </c>
      <c r="AZ163" s="23">
        <f t="shared" si="90"/>
        <v>1698.82</v>
      </c>
      <c r="BA163" s="23">
        <f t="shared" si="91"/>
        <v>3102.36</v>
      </c>
      <c r="BB163" s="23">
        <f t="shared" si="92"/>
        <v>190.94</v>
      </c>
      <c r="BC163" s="23">
        <f t="shared" si="93"/>
        <v>74.8</v>
      </c>
      <c r="BD163" s="23">
        <f t="shared" si="94"/>
        <v>2088.58</v>
      </c>
      <c r="BE163" s="23">
        <f t="shared" si="95"/>
        <v>734.25</v>
      </c>
      <c r="BF163" s="23">
        <f t="shared" si="96"/>
        <v>2612.1999999999998</v>
      </c>
      <c r="BG163" s="23">
        <f t="shared" si="97"/>
        <v>16535.43</v>
      </c>
      <c r="BH163" s="23">
        <f t="shared" si="98"/>
        <v>19720.47</v>
      </c>
      <c r="BI163" s="23">
        <f t="shared" si="99"/>
        <v>15474.41</v>
      </c>
      <c r="BJ163" s="23">
        <f t="shared" si="100"/>
        <v>16885.830000000002</v>
      </c>
      <c r="BK163" s="23">
        <f t="shared" si="101"/>
        <v>4141.7299999999996</v>
      </c>
      <c r="BL163" s="23">
        <f t="shared" si="102"/>
        <v>3305.37</v>
      </c>
      <c r="BM163" s="23">
        <f t="shared" si="103"/>
        <v>1708.78</v>
      </c>
      <c r="BN163" s="23">
        <f t="shared" si="104"/>
        <v>3154.22</v>
      </c>
      <c r="BO163" s="23">
        <f t="shared" si="105"/>
        <v>0</v>
      </c>
      <c r="BP163" s="23">
        <f t="shared" si="106"/>
        <v>0</v>
      </c>
      <c r="BQ163" s="23">
        <f t="shared" si="107"/>
        <v>1996.12</v>
      </c>
      <c r="BR163" s="23">
        <f t="shared" si="108"/>
        <v>1826.77</v>
      </c>
      <c r="BS163" s="23">
        <f t="shared" si="109"/>
        <v>9036.2900000000009</v>
      </c>
      <c r="BT163" s="23">
        <f t="shared" si="114"/>
        <v>4246.0600000000004</v>
      </c>
      <c r="BU163" s="23">
        <f t="shared" si="114"/>
        <v>1200.79</v>
      </c>
      <c r="BV163" s="23">
        <f t="shared" si="114"/>
        <v>56444.88</v>
      </c>
      <c r="BW163" s="23">
        <f t="shared" si="114"/>
        <v>55393.7</v>
      </c>
      <c r="BX163" s="23">
        <f t="shared" si="114"/>
        <v>56779.53</v>
      </c>
      <c r="BY163" t="s">
        <v>270</v>
      </c>
      <c r="CE163" t="s">
        <v>267</v>
      </c>
      <c r="CF163" t="s">
        <v>266</v>
      </c>
      <c r="CG163" t="s">
        <v>266</v>
      </c>
      <c r="CH163" t="s">
        <v>266</v>
      </c>
      <c r="CI163" t="s">
        <v>266</v>
      </c>
      <c r="CJ163" t="s">
        <v>266</v>
      </c>
      <c r="CK163" t="s">
        <v>267</v>
      </c>
      <c r="CL163" t="s">
        <v>267</v>
      </c>
      <c r="CM163" t="s">
        <v>267</v>
      </c>
      <c r="CN163" t="s">
        <v>267</v>
      </c>
      <c r="CO163" t="s">
        <v>266</v>
      </c>
    </row>
    <row r="164" spans="1:93" x14ac:dyDescent="0.25">
      <c r="A164" s="2" t="s">
        <v>170</v>
      </c>
      <c r="B164" s="17">
        <v>2971.9</v>
      </c>
      <c r="C164" s="17">
        <v>1194</v>
      </c>
      <c r="D164" s="17">
        <v>0</v>
      </c>
      <c r="E164" s="17">
        <v>270</v>
      </c>
      <c r="F164" s="17">
        <v>0</v>
      </c>
      <c r="G164" s="17">
        <v>383.1</v>
      </c>
      <c r="H164" s="17">
        <v>0</v>
      </c>
      <c r="I164" s="17">
        <v>0</v>
      </c>
      <c r="J164" s="17">
        <v>0</v>
      </c>
      <c r="K164" s="17">
        <v>0</v>
      </c>
      <c r="L164" s="17">
        <v>0</v>
      </c>
      <c r="M164" s="17">
        <v>0</v>
      </c>
      <c r="N164" s="17">
        <v>883</v>
      </c>
      <c r="O164" s="17">
        <v>1624</v>
      </c>
      <c r="P164" s="17">
        <v>97</v>
      </c>
      <c r="Q164" s="17">
        <v>42</v>
      </c>
      <c r="R164" s="17">
        <v>1164</v>
      </c>
      <c r="S164" s="17">
        <v>412</v>
      </c>
      <c r="T164" s="17">
        <v>1450</v>
      </c>
      <c r="U164" s="17">
        <v>8731</v>
      </c>
      <c r="V164" s="17">
        <f t="shared" si="111"/>
        <v>10491</v>
      </c>
      <c r="W164" s="18">
        <v>8229</v>
      </c>
      <c r="X164" s="19">
        <v>8920</v>
      </c>
      <c r="Y164" s="19">
        <v>2179</v>
      </c>
      <c r="Z164" s="19">
        <v>1774.1551447198513</v>
      </c>
      <c r="AA164" s="19">
        <v>911.22297176554684</v>
      </c>
      <c r="AB164" s="19">
        <v>1697.982639367719</v>
      </c>
      <c r="AC164" s="17">
        <v>0</v>
      </c>
      <c r="AD164" s="17">
        <v>0</v>
      </c>
      <c r="AE164" s="19">
        <v>1156.653076352854</v>
      </c>
      <c r="AF164" s="19">
        <v>910</v>
      </c>
      <c r="AG164" s="24">
        <v>4648.9861677940289</v>
      </c>
      <c r="AH164" s="17">
        <f t="shared" si="112"/>
        <v>2262</v>
      </c>
      <c r="AI164" s="20">
        <v>538</v>
      </c>
      <c r="AJ164" s="21">
        <v>29848</v>
      </c>
      <c r="AK164" s="22">
        <v>29451</v>
      </c>
      <c r="AL164" s="22">
        <v>30385</v>
      </c>
      <c r="AM164" s="16">
        <v>53</v>
      </c>
      <c r="AN164" s="23">
        <f t="shared" si="78"/>
        <v>5607.36</v>
      </c>
      <c r="AO164" s="23">
        <f t="shared" si="79"/>
        <v>2252.83</v>
      </c>
      <c r="AP164" s="23">
        <f t="shared" si="80"/>
        <v>0</v>
      </c>
      <c r="AQ164" s="23">
        <f t="shared" si="81"/>
        <v>509.43</v>
      </c>
      <c r="AR164" s="23">
        <f t="shared" si="82"/>
        <v>0</v>
      </c>
      <c r="AS164" s="23">
        <f t="shared" si="83"/>
        <v>722.83</v>
      </c>
      <c r="AT164" s="23">
        <f t="shared" si="84"/>
        <v>0</v>
      </c>
      <c r="AU164" s="23">
        <f t="shared" si="85"/>
        <v>0</v>
      </c>
      <c r="AV164" s="23">
        <f t="shared" si="86"/>
        <v>0</v>
      </c>
      <c r="AW164" s="23">
        <f t="shared" si="87"/>
        <v>0</v>
      </c>
      <c r="AX164" s="23">
        <f t="shared" si="88"/>
        <v>0</v>
      </c>
      <c r="AY164" s="23">
        <f t="shared" si="89"/>
        <v>0</v>
      </c>
      <c r="AZ164" s="23">
        <f t="shared" si="90"/>
        <v>1666.04</v>
      </c>
      <c r="BA164" s="23">
        <f t="shared" si="91"/>
        <v>3064.15</v>
      </c>
      <c r="BB164" s="23">
        <f t="shared" si="92"/>
        <v>183.02</v>
      </c>
      <c r="BC164" s="23">
        <f t="shared" si="93"/>
        <v>79.25</v>
      </c>
      <c r="BD164" s="23">
        <f t="shared" si="94"/>
        <v>2196.23</v>
      </c>
      <c r="BE164" s="23">
        <f t="shared" si="95"/>
        <v>777.36</v>
      </c>
      <c r="BF164" s="23">
        <f t="shared" si="96"/>
        <v>2735.85</v>
      </c>
      <c r="BG164" s="23">
        <f t="shared" si="97"/>
        <v>16473.580000000002</v>
      </c>
      <c r="BH164" s="23">
        <f t="shared" si="98"/>
        <v>19794.34</v>
      </c>
      <c r="BI164" s="23">
        <f t="shared" si="99"/>
        <v>15526.42</v>
      </c>
      <c r="BJ164" s="23">
        <f t="shared" si="100"/>
        <v>16830.189999999999</v>
      </c>
      <c r="BK164" s="23">
        <f t="shared" si="101"/>
        <v>4111.32</v>
      </c>
      <c r="BL164" s="23">
        <f t="shared" si="102"/>
        <v>3347.46</v>
      </c>
      <c r="BM164" s="23">
        <f t="shared" si="103"/>
        <v>1719.29</v>
      </c>
      <c r="BN164" s="23">
        <f t="shared" si="104"/>
        <v>3203.74</v>
      </c>
      <c r="BO164" s="23">
        <f t="shared" si="105"/>
        <v>0</v>
      </c>
      <c r="BP164" s="23">
        <f t="shared" si="106"/>
        <v>0</v>
      </c>
      <c r="BQ164" s="23">
        <f t="shared" si="107"/>
        <v>2182.36</v>
      </c>
      <c r="BR164" s="23">
        <f t="shared" si="108"/>
        <v>1716.98</v>
      </c>
      <c r="BS164" s="23">
        <f t="shared" si="109"/>
        <v>8771.67</v>
      </c>
      <c r="BT164" s="23">
        <f t="shared" si="114"/>
        <v>4267.92</v>
      </c>
      <c r="BU164" s="23">
        <f t="shared" si="114"/>
        <v>1015.09</v>
      </c>
      <c r="BV164" s="23">
        <f t="shared" si="114"/>
        <v>56316.98</v>
      </c>
      <c r="BW164" s="23">
        <f t="shared" si="114"/>
        <v>55567.92</v>
      </c>
      <c r="BX164" s="23">
        <f t="shared" si="114"/>
        <v>57330.19</v>
      </c>
      <c r="BY164" t="s">
        <v>270</v>
      </c>
      <c r="CE164" t="s">
        <v>267</v>
      </c>
      <c r="CF164" t="s">
        <v>266</v>
      </c>
      <c r="CG164" t="s">
        <v>266</v>
      </c>
      <c r="CH164" t="s">
        <v>266</v>
      </c>
      <c r="CI164" t="s">
        <v>266</v>
      </c>
      <c r="CJ164" t="s">
        <v>266</v>
      </c>
      <c r="CK164" t="s">
        <v>267</v>
      </c>
      <c r="CL164" t="s">
        <v>267</v>
      </c>
      <c r="CM164" t="s">
        <v>267</v>
      </c>
      <c r="CN164" t="s">
        <v>267</v>
      </c>
      <c r="CO164" t="s">
        <v>266</v>
      </c>
    </row>
    <row r="165" spans="1:93" x14ac:dyDescent="0.25">
      <c r="A165" s="2" t="s">
        <v>171</v>
      </c>
      <c r="B165" s="17">
        <v>2943.6</v>
      </c>
      <c r="C165" s="17">
        <v>1361</v>
      </c>
      <c r="D165" s="17">
        <v>0</v>
      </c>
      <c r="E165" s="17">
        <v>313</v>
      </c>
      <c r="F165" s="17">
        <v>0</v>
      </c>
      <c r="G165" s="17">
        <v>390.4</v>
      </c>
      <c r="H165" s="17">
        <v>0</v>
      </c>
      <c r="I165" s="17">
        <v>0</v>
      </c>
      <c r="J165" s="17">
        <v>0</v>
      </c>
      <c r="K165" s="17">
        <v>0</v>
      </c>
      <c r="L165" s="17">
        <v>0</v>
      </c>
      <c r="M165" s="17">
        <v>0</v>
      </c>
      <c r="N165" s="17">
        <v>906</v>
      </c>
      <c r="O165" s="17">
        <v>1696</v>
      </c>
      <c r="P165" s="17">
        <v>87</v>
      </c>
      <c r="Q165" s="17">
        <v>55</v>
      </c>
      <c r="R165" s="17">
        <v>1239</v>
      </c>
      <c r="S165" s="17">
        <v>450</v>
      </c>
      <c r="T165" s="17">
        <v>1670</v>
      </c>
      <c r="U165" s="17">
        <v>9160</v>
      </c>
      <c r="V165" s="17">
        <f t="shared" si="111"/>
        <v>11111</v>
      </c>
      <c r="W165" s="18">
        <v>9222</v>
      </c>
      <c r="X165" s="19">
        <v>9342</v>
      </c>
      <c r="Y165" s="19">
        <v>2769</v>
      </c>
      <c r="Z165" s="19">
        <v>1834.9532298195331</v>
      </c>
      <c r="AA165" s="19">
        <v>980.95849714081498</v>
      </c>
      <c r="AB165" s="19">
        <v>1950.5444027151593</v>
      </c>
      <c r="AC165" s="17">
        <v>0</v>
      </c>
      <c r="AD165" s="17">
        <v>0</v>
      </c>
      <c r="AE165" s="19">
        <v>1267.9577464788731</v>
      </c>
      <c r="AF165" s="19">
        <v>969</v>
      </c>
      <c r="AG165" s="24">
        <v>5107.5861238456191</v>
      </c>
      <c r="AH165" s="17">
        <f t="shared" si="112"/>
        <v>1889</v>
      </c>
      <c r="AI165" s="20">
        <v>863</v>
      </c>
      <c r="AJ165" s="21">
        <v>30226</v>
      </c>
      <c r="AK165" s="22">
        <v>31925</v>
      </c>
      <c r="AL165" s="22">
        <v>33343</v>
      </c>
      <c r="AM165" s="16">
        <v>54</v>
      </c>
      <c r="AN165" s="23">
        <f t="shared" si="78"/>
        <v>5451.11</v>
      </c>
      <c r="AO165" s="23">
        <f t="shared" si="79"/>
        <v>2520.37</v>
      </c>
      <c r="AP165" s="23">
        <f t="shared" si="80"/>
        <v>0</v>
      </c>
      <c r="AQ165" s="23">
        <f t="shared" si="81"/>
        <v>579.63</v>
      </c>
      <c r="AR165" s="23">
        <f t="shared" si="82"/>
        <v>0</v>
      </c>
      <c r="AS165" s="23">
        <f t="shared" si="83"/>
        <v>722.96</v>
      </c>
      <c r="AT165" s="23">
        <f t="shared" si="84"/>
        <v>0</v>
      </c>
      <c r="AU165" s="23">
        <f t="shared" si="85"/>
        <v>0</v>
      </c>
      <c r="AV165" s="23">
        <f t="shared" si="86"/>
        <v>0</v>
      </c>
      <c r="AW165" s="23">
        <f t="shared" si="87"/>
        <v>0</v>
      </c>
      <c r="AX165" s="23">
        <f t="shared" si="88"/>
        <v>0</v>
      </c>
      <c r="AY165" s="23">
        <f t="shared" si="89"/>
        <v>0</v>
      </c>
      <c r="AZ165" s="23">
        <f t="shared" si="90"/>
        <v>1677.78</v>
      </c>
      <c r="BA165" s="23">
        <f t="shared" si="91"/>
        <v>3140.74</v>
      </c>
      <c r="BB165" s="23">
        <f t="shared" si="92"/>
        <v>161.11000000000001</v>
      </c>
      <c r="BC165" s="23">
        <f t="shared" si="93"/>
        <v>101.85</v>
      </c>
      <c r="BD165" s="23">
        <f t="shared" si="94"/>
        <v>2294.44</v>
      </c>
      <c r="BE165" s="23">
        <f t="shared" si="95"/>
        <v>833.33</v>
      </c>
      <c r="BF165" s="23">
        <f t="shared" si="96"/>
        <v>3092.59</v>
      </c>
      <c r="BG165" s="23">
        <f t="shared" si="97"/>
        <v>16962.96</v>
      </c>
      <c r="BH165" s="23">
        <f t="shared" si="98"/>
        <v>20575.93</v>
      </c>
      <c r="BI165" s="23">
        <f t="shared" si="99"/>
        <v>17077.78</v>
      </c>
      <c r="BJ165" s="23">
        <f t="shared" si="100"/>
        <v>17300</v>
      </c>
      <c r="BK165" s="23">
        <f t="shared" si="101"/>
        <v>5127.78</v>
      </c>
      <c r="BL165" s="23">
        <f t="shared" si="102"/>
        <v>3398.06</v>
      </c>
      <c r="BM165" s="23">
        <f t="shared" si="103"/>
        <v>1816.59</v>
      </c>
      <c r="BN165" s="23">
        <f t="shared" si="104"/>
        <v>3612.12</v>
      </c>
      <c r="BO165" s="23">
        <f t="shared" si="105"/>
        <v>0</v>
      </c>
      <c r="BP165" s="23">
        <f t="shared" si="106"/>
        <v>0</v>
      </c>
      <c r="BQ165" s="23">
        <f t="shared" si="107"/>
        <v>2348.0700000000002</v>
      </c>
      <c r="BR165" s="23">
        <f t="shared" si="108"/>
        <v>1794.44</v>
      </c>
      <c r="BS165" s="23">
        <f t="shared" si="109"/>
        <v>9458.49</v>
      </c>
      <c r="BT165" s="23">
        <f t="shared" si="114"/>
        <v>3498.15</v>
      </c>
      <c r="BU165" s="23">
        <f t="shared" si="114"/>
        <v>1598.15</v>
      </c>
      <c r="BV165" s="23">
        <f t="shared" si="114"/>
        <v>55974.07</v>
      </c>
      <c r="BW165" s="23">
        <f t="shared" si="114"/>
        <v>59120.37</v>
      </c>
      <c r="BX165" s="23">
        <f t="shared" si="114"/>
        <v>61746.3</v>
      </c>
      <c r="BY165" t="s">
        <v>270</v>
      </c>
      <c r="CE165" t="s">
        <v>267</v>
      </c>
      <c r="CF165" t="s">
        <v>266</v>
      </c>
      <c r="CG165" t="s">
        <v>266</v>
      </c>
      <c r="CH165" t="s">
        <v>266</v>
      </c>
      <c r="CI165" t="s">
        <v>266</v>
      </c>
      <c r="CJ165" t="s">
        <v>266</v>
      </c>
      <c r="CK165" t="s">
        <v>267</v>
      </c>
      <c r="CL165" t="s">
        <v>267</v>
      </c>
      <c r="CM165" t="s">
        <v>267</v>
      </c>
      <c r="CN165" t="s">
        <v>267</v>
      </c>
      <c r="CO165" t="s">
        <v>266</v>
      </c>
    </row>
    <row r="166" spans="1:93" x14ac:dyDescent="0.25">
      <c r="A166" s="2" t="s">
        <v>172</v>
      </c>
      <c r="B166" s="17">
        <v>3316.4</v>
      </c>
      <c r="C166" s="17">
        <v>1461</v>
      </c>
      <c r="D166" s="17">
        <v>0</v>
      </c>
      <c r="E166" s="17">
        <v>297</v>
      </c>
      <c r="F166" s="17">
        <v>0</v>
      </c>
      <c r="G166" s="17">
        <v>422.6</v>
      </c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956</v>
      </c>
      <c r="O166" s="17">
        <v>1977</v>
      </c>
      <c r="P166" s="17">
        <v>80</v>
      </c>
      <c r="Q166" s="17">
        <v>56</v>
      </c>
      <c r="R166" s="17">
        <v>1410</v>
      </c>
      <c r="S166" s="17">
        <v>490</v>
      </c>
      <c r="T166" s="17">
        <v>1847</v>
      </c>
      <c r="U166" s="17">
        <v>10137</v>
      </c>
      <c r="V166" s="17">
        <f t="shared" si="111"/>
        <v>12313</v>
      </c>
      <c r="W166" s="18">
        <v>9327</v>
      </c>
      <c r="X166" s="19">
        <v>9922.9999999999982</v>
      </c>
      <c r="Y166" s="19">
        <v>3184</v>
      </c>
      <c r="Z166" s="19">
        <v>1932.8525085824065</v>
      </c>
      <c r="AA166" s="19">
        <v>1087.8015546819158</v>
      </c>
      <c r="AB166" s="19">
        <v>2024.3114210131257</v>
      </c>
      <c r="AC166" s="17">
        <v>0</v>
      </c>
      <c r="AD166" s="17">
        <v>0</v>
      </c>
      <c r="AE166" s="19">
        <v>1406.0044477390661</v>
      </c>
      <c r="AF166" s="19">
        <v>980</v>
      </c>
      <c r="AG166" s="24">
        <v>5676.0300679834845</v>
      </c>
      <c r="AH166" s="17">
        <f t="shared" si="112"/>
        <v>2986</v>
      </c>
      <c r="AI166" s="20">
        <v>651</v>
      </c>
      <c r="AJ166" s="21">
        <v>30441</v>
      </c>
      <c r="AK166" s="22">
        <v>34856</v>
      </c>
      <c r="AL166" s="22">
        <v>36165</v>
      </c>
      <c r="AM166" s="16">
        <v>55.8</v>
      </c>
      <c r="AN166" s="23">
        <f t="shared" si="78"/>
        <v>5943.37</v>
      </c>
      <c r="AO166" s="23">
        <f t="shared" si="79"/>
        <v>2618.2800000000002</v>
      </c>
      <c r="AP166" s="23">
        <f t="shared" si="80"/>
        <v>0</v>
      </c>
      <c r="AQ166" s="23">
        <f t="shared" si="81"/>
        <v>532.26</v>
      </c>
      <c r="AR166" s="23">
        <f t="shared" si="82"/>
        <v>0</v>
      </c>
      <c r="AS166" s="23">
        <f t="shared" si="83"/>
        <v>757.35</v>
      </c>
      <c r="AT166" s="23">
        <f t="shared" si="84"/>
        <v>0</v>
      </c>
      <c r="AU166" s="23">
        <f t="shared" si="85"/>
        <v>0</v>
      </c>
      <c r="AV166" s="23">
        <f t="shared" si="86"/>
        <v>0</v>
      </c>
      <c r="AW166" s="23">
        <f t="shared" si="87"/>
        <v>0</v>
      </c>
      <c r="AX166" s="23">
        <f t="shared" si="88"/>
        <v>0</v>
      </c>
      <c r="AY166" s="23">
        <f t="shared" si="89"/>
        <v>0</v>
      </c>
      <c r="AZ166" s="23">
        <f t="shared" si="90"/>
        <v>1713.26</v>
      </c>
      <c r="BA166" s="23">
        <f t="shared" si="91"/>
        <v>3543.01</v>
      </c>
      <c r="BB166" s="23">
        <f t="shared" si="92"/>
        <v>143.37</v>
      </c>
      <c r="BC166" s="23">
        <f t="shared" si="93"/>
        <v>100.36</v>
      </c>
      <c r="BD166" s="23">
        <f t="shared" si="94"/>
        <v>2526.88</v>
      </c>
      <c r="BE166" s="23">
        <f t="shared" si="95"/>
        <v>878.14</v>
      </c>
      <c r="BF166" s="23">
        <f t="shared" si="96"/>
        <v>3310.04</v>
      </c>
      <c r="BG166" s="23">
        <f t="shared" si="97"/>
        <v>18166.669999999998</v>
      </c>
      <c r="BH166" s="23">
        <f t="shared" si="98"/>
        <v>22066.31</v>
      </c>
      <c r="BI166" s="23">
        <f t="shared" si="99"/>
        <v>16715.05</v>
      </c>
      <c r="BJ166" s="23">
        <f t="shared" si="100"/>
        <v>17783.150000000001</v>
      </c>
      <c r="BK166" s="23">
        <f t="shared" si="101"/>
        <v>5706.09</v>
      </c>
      <c r="BL166" s="23">
        <f t="shared" si="102"/>
        <v>3463.89</v>
      </c>
      <c r="BM166" s="23">
        <f t="shared" si="103"/>
        <v>1949.47</v>
      </c>
      <c r="BN166" s="23">
        <f t="shared" si="104"/>
        <v>3627.8</v>
      </c>
      <c r="BO166" s="23">
        <f t="shared" si="105"/>
        <v>0</v>
      </c>
      <c r="BP166" s="23">
        <f t="shared" si="106"/>
        <v>0</v>
      </c>
      <c r="BQ166" s="23">
        <f t="shared" si="107"/>
        <v>2519.7199999999998</v>
      </c>
      <c r="BR166" s="23">
        <f t="shared" si="108"/>
        <v>1756.27</v>
      </c>
      <c r="BS166" s="23">
        <f t="shared" si="109"/>
        <v>10172.1</v>
      </c>
      <c r="BT166" s="23">
        <f t="shared" si="114"/>
        <v>5351.25</v>
      </c>
      <c r="BU166" s="23">
        <f t="shared" si="114"/>
        <v>1166.67</v>
      </c>
      <c r="BV166" s="23">
        <f t="shared" si="114"/>
        <v>54553.760000000002</v>
      </c>
      <c r="BW166" s="23">
        <f t="shared" si="114"/>
        <v>62465.95</v>
      </c>
      <c r="BX166" s="23">
        <f t="shared" si="114"/>
        <v>64811.83</v>
      </c>
      <c r="BY166" t="s">
        <v>270</v>
      </c>
      <c r="CE166" t="s">
        <v>267</v>
      </c>
      <c r="CF166" t="s">
        <v>266</v>
      </c>
      <c r="CG166" t="s">
        <v>266</v>
      </c>
      <c r="CH166" t="s">
        <v>266</v>
      </c>
      <c r="CI166" t="s">
        <v>266</v>
      </c>
      <c r="CJ166" t="s">
        <v>266</v>
      </c>
      <c r="CK166" t="s">
        <v>267</v>
      </c>
      <c r="CL166" t="s">
        <v>267</v>
      </c>
      <c r="CM166" t="s">
        <v>267</v>
      </c>
      <c r="CN166" t="s">
        <v>267</v>
      </c>
      <c r="CO166" t="s">
        <v>266</v>
      </c>
    </row>
    <row r="167" spans="1:93" x14ac:dyDescent="0.25">
      <c r="A167" s="2" t="s">
        <v>173</v>
      </c>
      <c r="B167" s="17">
        <v>3955.3</v>
      </c>
      <c r="C167" s="17">
        <v>1755</v>
      </c>
      <c r="D167" s="17">
        <v>0</v>
      </c>
      <c r="E167" s="17">
        <v>293</v>
      </c>
      <c r="F167" s="17">
        <v>0</v>
      </c>
      <c r="G167" s="17">
        <v>437.7</v>
      </c>
      <c r="H167" s="17">
        <v>0</v>
      </c>
      <c r="I167" s="17">
        <v>0</v>
      </c>
      <c r="J167" s="17">
        <v>0</v>
      </c>
      <c r="K167" s="17">
        <v>0</v>
      </c>
      <c r="L167" s="17">
        <v>0</v>
      </c>
      <c r="M167" s="17">
        <v>0</v>
      </c>
      <c r="N167" s="17">
        <v>1007</v>
      </c>
      <c r="O167" s="17">
        <v>2097</v>
      </c>
      <c r="P167" s="17">
        <v>77</v>
      </c>
      <c r="Q167" s="17">
        <v>73</v>
      </c>
      <c r="R167" s="17">
        <v>1629</v>
      </c>
      <c r="S167" s="17">
        <v>555</v>
      </c>
      <c r="T167" s="17">
        <v>2040</v>
      </c>
      <c r="U167" s="17">
        <v>11498</v>
      </c>
      <c r="V167" s="17">
        <f t="shared" si="111"/>
        <v>13919</v>
      </c>
      <c r="W167" s="18">
        <v>10996</v>
      </c>
      <c r="X167" s="19">
        <v>11166</v>
      </c>
      <c r="Y167" s="19">
        <v>3451</v>
      </c>
      <c r="Z167" s="19">
        <v>2039.8475638562563</v>
      </c>
      <c r="AA167" s="19">
        <v>1232.9022962830593</v>
      </c>
      <c r="AB167" s="19">
        <v>2396.0352908418949</v>
      </c>
      <c r="AC167" s="17">
        <v>0</v>
      </c>
      <c r="AD167" s="17">
        <v>0</v>
      </c>
      <c r="AE167" s="19">
        <v>1571.5159377316529</v>
      </c>
      <c r="AF167" s="19">
        <v>1010.9999999999999</v>
      </c>
      <c r="AG167" s="24">
        <v>6365.6989112871361</v>
      </c>
      <c r="AH167" s="17">
        <f t="shared" si="112"/>
        <v>2923</v>
      </c>
      <c r="AI167" s="20">
        <v>571</v>
      </c>
      <c r="AJ167" s="21">
        <v>31341</v>
      </c>
      <c r="AK167" s="22">
        <v>37465</v>
      </c>
      <c r="AL167" s="22">
        <v>38759</v>
      </c>
      <c r="AM167" s="16">
        <v>58.4</v>
      </c>
      <c r="AN167" s="23">
        <f t="shared" si="78"/>
        <v>6772.77</v>
      </c>
      <c r="AO167" s="23">
        <f t="shared" si="79"/>
        <v>3005.14</v>
      </c>
      <c r="AP167" s="23">
        <f t="shared" si="80"/>
        <v>0</v>
      </c>
      <c r="AQ167" s="23">
        <f t="shared" si="81"/>
        <v>501.71</v>
      </c>
      <c r="AR167" s="23">
        <f t="shared" si="82"/>
        <v>0</v>
      </c>
      <c r="AS167" s="23">
        <f t="shared" si="83"/>
        <v>749.49</v>
      </c>
      <c r="AT167" s="23">
        <f t="shared" si="84"/>
        <v>0</v>
      </c>
      <c r="AU167" s="23">
        <f t="shared" si="85"/>
        <v>0</v>
      </c>
      <c r="AV167" s="23">
        <f t="shared" si="86"/>
        <v>0</v>
      </c>
      <c r="AW167" s="23">
        <f t="shared" si="87"/>
        <v>0</v>
      </c>
      <c r="AX167" s="23">
        <f t="shared" si="88"/>
        <v>0</v>
      </c>
      <c r="AY167" s="23">
        <f t="shared" si="89"/>
        <v>0</v>
      </c>
      <c r="AZ167" s="23">
        <f t="shared" si="90"/>
        <v>1724.32</v>
      </c>
      <c r="BA167" s="23">
        <f t="shared" si="91"/>
        <v>3590.75</v>
      </c>
      <c r="BB167" s="23">
        <f t="shared" si="92"/>
        <v>131.85</v>
      </c>
      <c r="BC167" s="23">
        <f t="shared" si="93"/>
        <v>125</v>
      </c>
      <c r="BD167" s="23">
        <f t="shared" si="94"/>
        <v>2789.38</v>
      </c>
      <c r="BE167" s="23">
        <f t="shared" si="95"/>
        <v>950.34</v>
      </c>
      <c r="BF167" s="23">
        <f t="shared" si="96"/>
        <v>3493.15</v>
      </c>
      <c r="BG167" s="23">
        <f t="shared" si="97"/>
        <v>19688.36</v>
      </c>
      <c r="BH167" s="23">
        <f t="shared" si="98"/>
        <v>23833.9</v>
      </c>
      <c r="BI167" s="23">
        <f t="shared" si="99"/>
        <v>18828.77</v>
      </c>
      <c r="BJ167" s="23">
        <f t="shared" si="100"/>
        <v>19119.86</v>
      </c>
      <c r="BK167" s="23">
        <f t="shared" si="101"/>
        <v>5909.25</v>
      </c>
      <c r="BL167" s="23">
        <f t="shared" si="102"/>
        <v>3492.89</v>
      </c>
      <c r="BM167" s="23">
        <f t="shared" si="103"/>
        <v>2111.13</v>
      </c>
      <c r="BN167" s="23">
        <f t="shared" si="104"/>
        <v>4102.8</v>
      </c>
      <c r="BO167" s="23">
        <f t="shared" si="105"/>
        <v>0</v>
      </c>
      <c r="BP167" s="23">
        <f t="shared" si="106"/>
        <v>0</v>
      </c>
      <c r="BQ167" s="23">
        <f t="shared" si="107"/>
        <v>2690.95</v>
      </c>
      <c r="BR167" s="23">
        <f t="shared" si="108"/>
        <v>1731.16</v>
      </c>
      <c r="BS167" s="23">
        <f t="shared" si="109"/>
        <v>10900.17</v>
      </c>
      <c r="BT167" s="23">
        <f t="shared" si="114"/>
        <v>5005.1400000000003</v>
      </c>
      <c r="BU167" s="23">
        <f t="shared" si="114"/>
        <v>977.74</v>
      </c>
      <c r="BV167" s="23">
        <f t="shared" si="114"/>
        <v>53666.1</v>
      </c>
      <c r="BW167" s="23">
        <f t="shared" si="114"/>
        <v>64152.4</v>
      </c>
      <c r="BX167" s="23">
        <f t="shared" si="114"/>
        <v>66368.149999999994</v>
      </c>
      <c r="BY167" t="s">
        <v>273</v>
      </c>
      <c r="CE167" t="s">
        <v>267</v>
      </c>
      <c r="CF167" t="s">
        <v>266</v>
      </c>
      <c r="CG167" t="s">
        <v>266</v>
      </c>
      <c r="CH167" t="s">
        <v>266</v>
      </c>
      <c r="CI167" t="s">
        <v>266</v>
      </c>
      <c r="CJ167" t="s">
        <v>266</v>
      </c>
      <c r="CK167" t="s">
        <v>267</v>
      </c>
      <c r="CL167" t="s">
        <v>267</v>
      </c>
      <c r="CM167" t="s">
        <v>267</v>
      </c>
      <c r="CN167" t="s">
        <v>267</v>
      </c>
      <c r="CO167" t="s">
        <v>266</v>
      </c>
    </row>
    <row r="168" spans="1:93" x14ac:dyDescent="0.25">
      <c r="A168" s="2" t="s">
        <v>174</v>
      </c>
      <c r="B168" s="17">
        <v>3747</v>
      </c>
      <c r="C168" s="17">
        <v>1827</v>
      </c>
      <c r="D168" s="17">
        <v>7</v>
      </c>
      <c r="E168" s="17">
        <v>301</v>
      </c>
      <c r="F168" s="17">
        <v>0</v>
      </c>
      <c r="G168" s="17">
        <v>1049</v>
      </c>
      <c r="H168" s="17">
        <v>0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7">
        <v>1032</v>
      </c>
      <c r="O168" s="17">
        <v>2276</v>
      </c>
      <c r="P168" s="17">
        <v>78</v>
      </c>
      <c r="Q168" s="17">
        <v>75</v>
      </c>
      <c r="R168" s="17">
        <v>1960</v>
      </c>
      <c r="S168" s="17">
        <v>614</v>
      </c>
      <c r="T168" s="17">
        <v>2146</v>
      </c>
      <c r="U168" s="17">
        <v>12541</v>
      </c>
      <c r="V168" s="17">
        <f t="shared" si="111"/>
        <v>15112</v>
      </c>
      <c r="W168" s="18">
        <v>11480</v>
      </c>
      <c r="X168" s="19">
        <v>12139.999999999998</v>
      </c>
      <c r="Y168" s="19">
        <v>4035.9999999999995</v>
      </c>
      <c r="Z168" s="19">
        <v>2162.1618216749075</v>
      </c>
      <c r="AA168" s="19">
        <v>1358.5715243030736</v>
      </c>
      <c r="AB168" s="19">
        <v>2534.3871391461912</v>
      </c>
      <c r="AC168" s="17">
        <v>0</v>
      </c>
      <c r="AD168" s="17">
        <v>0</v>
      </c>
      <c r="AE168" s="19">
        <v>1733.8954781319496</v>
      </c>
      <c r="AF168" s="19">
        <v>1088</v>
      </c>
      <c r="AG168" s="24">
        <v>7298.9840367438792</v>
      </c>
      <c r="AH168" s="17">
        <f t="shared" si="112"/>
        <v>3632</v>
      </c>
      <c r="AI168" s="20">
        <v>957</v>
      </c>
      <c r="AJ168" s="21">
        <v>31986</v>
      </c>
      <c r="AK168" s="22">
        <v>39955</v>
      </c>
      <c r="AL168" s="22">
        <v>41156</v>
      </c>
      <c r="AM168" s="16">
        <v>60.7</v>
      </c>
      <c r="AN168" s="23">
        <f t="shared" si="78"/>
        <v>6172.98</v>
      </c>
      <c r="AO168" s="23">
        <f t="shared" si="79"/>
        <v>3009.88</v>
      </c>
      <c r="AP168" s="23">
        <f t="shared" si="80"/>
        <v>11.53</v>
      </c>
      <c r="AQ168" s="23">
        <f t="shared" si="81"/>
        <v>495.88</v>
      </c>
      <c r="AR168" s="23">
        <f t="shared" si="82"/>
        <v>0</v>
      </c>
      <c r="AS168" s="23">
        <f t="shared" si="83"/>
        <v>1728.17</v>
      </c>
      <c r="AT168" s="23">
        <f t="shared" si="84"/>
        <v>0</v>
      </c>
      <c r="AU168" s="23">
        <f t="shared" si="85"/>
        <v>0</v>
      </c>
      <c r="AV168" s="23">
        <f t="shared" si="86"/>
        <v>0</v>
      </c>
      <c r="AW168" s="23">
        <f t="shared" si="87"/>
        <v>0</v>
      </c>
      <c r="AX168" s="23">
        <f t="shared" si="88"/>
        <v>0</v>
      </c>
      <c r="AY168" s="23">
        <f t="shared" si="89"/>
        <v>0</v>
      </c>
      <c r="AZ168" s="23">
        <f t="shared" si="90"/>
        <v>1700.16</v>
      </c>
      <c r="BA168" s="23">
        <f t="shared" si="91"/>
        <v>3749.59</v>
      </c>
      <c r="BB168" s="23">
        <f t="shared" si="92"/>
        <v>128.5</v>
      </c>
      <c r="BC168" s="23">
        <f t="shared" si="93"/>
        <v>123.56</v>
      </c>
      <c r="BD168" s="23">
        <f t="shared" si="94"/>
        <v>3229</v>
      </c>
      <c r="BE168" s="23">
        <f t="shared" si="95"/>
        <v>1011.53</v>
      </c>
      <c r="BF168" s="23">
        <f t="shared" si="96"/>
        <v>3535.42</v>
      </c>
      <c r="BG168" s="23">
        <f t="shared" si="97"/>
        <v>20660.63</v>
      </c>
      <c r="BH168" s="23">
        <f t="shared" si="98"/>
        <v>24896.21</v>
      </c>
      <c r="BI168" s="23">
        <f t="shared" si="99"/>
        <v>18912.689999999999</v>
      </c>
      <c r="BJ168" s="23">
        <f t="shared" si="100"/>
        <v>20000</v>
      </c>
      <c r="BK168" s="23">
        <f t="shared" si="101"/>
        <v>6649.09</v>
      </c>
      <c r="BL168" s="23">
        <f t="shared" si="102"/>
        <v>3562.05</v>
      </c>
      <c r="BM168" s="23">
        <f t="shared" si="103"/>
        <v>2238.17</v>
      </c>
      <c r="BN168" s="23">
        <f t="shared" si="104"/>
        <v>4175.2700000000004</v>
      </c>
      <c r="BO168" s="23">
        <f t="shared" si="105"/>
        <v>0</v>
      </c>
      <c r="BP168" s="23">
        <f t="shared" si="106"/>
        <v>0</v>
      </c>
      <c r="BQ168" s="23">
        <f t="shared" si="107"/>
        <v>2856.5</v>
      </c>
      <c r="BR168" s="23">
        <f t="shared" si="108"/>
        <v>1792.42</v>
      </c>
      <c r="BS168" s="23">
        <f t="shared" si="109"/>
        <v>12024.69</v>
      </c>
      <c r="BT168" s="23">
        <f t="shared" si="114"/>
        <v>5983.53</v>
      </c>
      <c r="BU168" s="23">
        <f t="shared" si="114"/>
        <v>1576.61</v>
      </c>
      <c r="BV168" s="23">
        <f t="shared" si="114"/>
        <v>52695.22</v>
      </c>
      <c r="BW168" s="23">
        <f t="shared" si="114"/>
        <v>65823.72</v>
      </c>
      <c r="BX168" s="23">
        <f t="shared" si="114"/>
        <v>67802.31</v>
      </c>
      <c r="BY168" t="s">
        <v>273</v>
      </c>
      <c r="CE168" t="s">
        <v>267</v>
      </c>
      <c r="CF168" t="s">
        <v>266</v>
      </c>
      <c r="CG168" t="s">
        <v>266</v>
      </c>
      <c r="CH168" t="s">
        <v>266</v>
      </c>
      <c r="CI168" t="s">
        <v>266</v>
      </c>
      <c r="CJ168" t="s">
        <v>266</v>
      </c>
      <c r="CK168" t="s">
        <v>267</v>
      </c>
      <c r="CL168" t="s">
        <v>267</v>
      </c>
      <c r="CM168" t="s">
        <v>267</v>
      </c>
      <c r="CN168" t="s">
        <v>267</v>
      </c>
      <c r="CO168" t="s">
        <v>266</v>
      </c>
    </row>
    <row r="169" spans="1:93" x14ac:dyDescent="0.25">
      <c r="A169" s="2" t="s">
        <v>175</v>
      </c>
      <c r="B169" s="17">
        <v>4134</v>
      </c>
      <c r="C169" s="17">
        <v>1975</v>
      </c>
      <c r="D169" s="17">
        <v>16</v>
      </c>
      <c r="E169" s="17">
        <v>329</v>
      </c>
      <c r="F169" s="17">
        <v>0</v>
      </c>
      <c r="G169" s="17">
        <v>1214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1049</v>
      </c>
      <c r="O169" s="17">
        <v>2557</v>
      </c>
      <c r="P169" s="17">
        <v>99</v>
      </c>
      <c r="Q169" s="17">
        <v>79</v>
      </c>
      <c r="R169" s="17">
        <v>2261</v>
      </c>
      <c r="S169" s="17">
        <v>627</v>
      </c>
      <c r="T169" s="17">
        <v>2354</v>
      </c>
      <c r="U169" s="17">
        <v>13861</v>
      </c>
      <c r="V169" s="17">
        <f t="shared" si="111"/>
        <v>16694</v>
      </c>
      <c r="W169" s="18">
        <v>13282</v>
      </c>
      <c r="X169" s="19">
        <v>13629</v>
      </c>
      <c r="Y169" s="19">
        <v>4833</v>
      </c>
      <c r="Z169" s="19">
        <v>2316.7900223615002</v>
      </c>
      <c r="AA169" s="19">
        <v>1475.463277340958</v>
      </c>
      <c r="AB169" s="19">
        <v>2878.0485908252458</v>
      </c>
      <c r="AC169" s="17">
        <v>0</v>
      </c>
      <c r="AD169" s="17">
        <v>0</v>
      </c>
      <c r="AE169" s="19">
        <v>1873.1467753891773</v>
      </c>
      <c r="AF169" s="19">
        <v>1158</v>
      </c>
      <c r="AG169" s="24">
        <v>8760.5513340831203</v>
      </c>
      <c r="AH169" s="17">
        <f t="shared" si="112"/>
        <v>3412</v>
      </c>
      <c r="AI169" s="20">
        <v>1637</v>
      </c>
      <c r="AJ169" s="21">
        <v>34194</v>
      </c>
      <c r="AK169" s="22">
        <v>42518</v>
      </c>
      <c r="AL169" s="22">
        <v>44400</v>
      </c>
      <c r="AM169" s="16">
        <v>62.3</v>
      </c>
      <c r="AN169" s="23">
        <f t="shared" si="78"/>
        <v>6635.63</v>
      </c>
      <c r="AO169" s="23">
        <f t="shared" si="79"/>
        <v>3170.14</v>
      </c>
      <c r="AP169" s="23">
        <f t="shared" si="80"/>
        <v>25.68</v>
      </c>
      <c r="AQ169" s="23">
        <f t="shared" si="81"/>
        <v>528.09</v>
      </c>
      <c r="AR169" s="23">
        <f t="shared" si="82"/>
        <v>0</v>
      </c>
      <c r="AS169" s="23">
        <f t="shared" si="83"/>
        <v>1948.64</v>
      </c>
      <c r="AT169" s="23">
        <f t="shared" si="84"/>
        <v>0</v>
      </c>
      <c r="AU169" s="23">
        <f t="shared" si="85"/>
        <v>0</v>
      </c>
      <c r="AV169" s="23">
        <f t="shared" si="86"/>
        <v>0</v>
      </c>
      <c r="AW169" s="23">
        <f t="shared" si="87"/>
        <v>0</v>
      </c>
      <c r="AX169" s="23">
        <f t="shared" si="88"/>
        <v>0</v>
      </c>
      <c r="AY169" s="23">
        <f t="shared" si="89"/>
        <v>0</v>
      </c>
      <c r="AZ169" s="23">
        <f t="shared" si="90"/>
        <v>1683.79</v>
      </c>
      <c r="BA169" s="23">
        <f t="shared" si="91"/>
        <v>4104.33</v>
      </c>
      <c r="BB169" s="23">
        <f t="shared" si="92"/>
        <v>158.91</v>
      </c>
      <c r="BC169" s="23">
        <f t="shared" si="93"/>
        <v>126.81</v>
      </c>
      <c r="BD169" s="23">
        <f t="shared" si="94"/>
        <v>3629.21</v>
      </c>
      <c r="BE169" s="23">
        <f t="shared" si="95"/>
        <v>1006.42</v>
      </c>
      <c r="BF169" s="23">
        <f t="shared" si="96"/>
        <v>3778.49</v>
      </c>
      <c r="BG169" s="23">
        <f t="shared" si="97"/>
        <v>22248.799999999999</v>
      </c>
      <c r="BH169" s="23">
        <f t="shared" si="98"/>
        <v>26796.15</v>
      </c>
      <c r="BI169" s="23">
        <f t="shared" si="99"/>
        <v>21319.42</v>
      </c>
      <c r="BJ169" s="23">
        <f t="shared" si="100"/>
        <v>21876.400000000001</v>
      </c>
      <c r="BK169" s="23">
        <f t="shared" si="101"/>
        <v>7757.62</v>
      </c>
      <c r="BL169" s="23">
        <f t="shared" si="102"/>
        <v>3718.76</v>
      </c>
      <c r="BM169" s="23">
        <f t="shared" si="103"/>
        <v>2368.3200000000002</v>
      </c>
      <c r="BN169" s="23">
        <f t="shared" si="104"/>
        <v>4619.66</v>
      </c>
      <c r="BO169" s="23">
        <f t="shared" si="105"/>
        <v>0</v>
      </c>
      <c r="BP169" s="23">
        <f t="shared" si="106"/>
        <v>0</v>
      </c>
      <c r="BQ169" s="23">
        <f t="shared" si="107"/>
        <v>3006.66</v>
      </c>
      <c r="BR169" s="23">
        <f t="shared" si="108"/>
        <v>1858.75</v>
      </c>
      <c r="BS169" s="23">
        <f t="shared" si="109"/>
        <v>14061.88</v>
      </c>
      <c r="BT169" s="23">
        <f t="shared" si="114"/>
        <v>5476.73</v>
      </c>
      <c r="BU169" s="23">
        <f t="shared" si="114"/>
        <v>2627.61</v>
      </c>
      <c r="BV169" s="23">
        <f t="shared" si="114"/>
        <v>54886.04</v>
      </c>
      <c r="BW169" s="23">
        <f t="shared" si="114"/>
        <v>68247.19</v>
      </c>
      <c r="BX169" s="23">
        <f t="shared" si="114"/>
        <v>71268.06</v>
      </c>
      <c r="BY169" t="s">
        <v>273</v>
      </c>
      <c r="CE169" t="s">
        <v>267</v>
      </c>
      <c r="CF169" t="s">
        <v>266</v>
      </c>
      <c r="CG169" t="s">
        <v>266</v>
      </c>
      <c r="CH169" t="s">
        <v>266</v>
      </c>
      <c r="CI169" t="s">
        <v>266</v>
      </c>
      <c r="CJ169" t="s">
        <v>266</v>
      </c>
      <c r="CK169" t="s">
        <v>267</v>
      </c>
      <c r="CL169" t="s">
        <v>267</v>
      </c>
      <c r="CM169" t="s">
        <v>267</v>
      </c>
      <c r="CN169" t="s">
        <v>267</v>
      </c>
      <c r="CO169" t="s">
        <v>266</v>
      </c>
    </row>
    <row r="170" spans="1:93" x14ac:dyDescent="0.25">
      <c r="A170" s="2" t="s">
        <v>176</v>
      </c>
      <c r="B170" s="17">
        <v>4757</v>
      </c>
      <c r="C170" s="17">
        <v>2192</v>
      </c>
      <c r="D170" s="17">
        <v>47</v>
      </c>
      <c r="E170" s="17">
        <v>382</v>
      </c>
      <c r="F170" s="17">
        <v>0</v>
      </c>
      <c r="G170" s="17">
        <v>1342</v>
      </c>
      <c r="H170" s="17">
        <v>0</v>
      </c>
      <c r="I170" s="17">
        <v>1</v>
      </c>
      <c r="J170" s="17">
        <v>0</v>
      </c>
      <c r="K170" s="17">
        <v>0</v>
      </c>
      <c r="L170" s="17">
        <v>0</v>
      </c>
      <c r="M170" s="17">
        <v>0</v>
      </c>
      <c r="N170" s="17">
        <v>1104</v>
      </c>
      <c r="O170" s="17">
        <v>3018</v>
      </c>
      <c r="P170" s="17">
        <v>126</v>
      </c>
      <c r="Q170" s="17">
        <v>86</v>
      </c>
      <c r="R170" s="17">
        <v>2809</v>
      </c>
      <c r="S170" s="17">
        <v>658</v>
      </c>
      <c r="T170" s="17">
        <v>2647</v>
      </c>
      <c r="U170" s="17">
        <v>15814</v>
      </c>
      <c r="V170" s="17">
        <f t="shared" si="111"/>
        <v>19169</v>
      </c>
      <c r="W170" s="18">
        <v>14382</v>
      </c>
      <c r="X170" s="19">
        <v>14617</v>
      </c>
      <c r="Y170" s="19">
        <v>4888</v>
      </c>
      <c r="Z170" s="19">
        <v>2303.3857201347982</v>
      </c>
      <c r="AA170" s="19">
        <v>1578.5532076483205</v>
      </c>
      <c r="AB170" s="19">
        <v>3272.7795167105842</v>
      </c>
      <c r="AC170" s="17">
        <v>0</v>
      </c>
      <c r="AD170" s="17">
        <v>0</v>
      </c>
      <c r="AE170" s="19">
        <v>2056.9681245366937</v>
      </c>
      <c r="AF170" s="19">
        <v>1295</v>
      </c>
      <c r="AG170" s="24">
        <v>8998.3134309696034</v>
      </c>
      <c r="AH170" s="17">
        <f t="shared" si="112"/>
        <v>4787</v>
      </c>
      <c r="AI170" s="20">
        <v>270</v>
      </c>
      <c r="AJ170" s="21">
        <v>33984</v>
      </c>
      <c r="AK170" s="22">
        <v>46778</v>
      </c>
      <c r="AL170" s="22">
        <v>48714</v>
      </c>
      <c r="AM170" s="16">
        <v>65.2</v>
      </c>
      <c r="AN170" s="23">
        <f t="shared" si="78"/>
        <v>7296.01</v>
      </c>
      <c r="AO170" s="23">
        <f t="shared" si="79"/>
        <v>3361.96</v>
      </c>
      <c r="AP170" s="23">
        <f t="shared" si="80"/>
        <v>72.09</v>
      </c>
      <c r="AQ170" s="23">
        <f t="shared" si="81"/>
        <v>585.89</v>
      </c>
      <c r="AR170" s="23">
        <f t="shared" si="82"/>
        <v>0</v>
      </c>
      <c r="AS170" s="23">
        <f t="shared" si="83"/>
        <v>2058.2800000000002</v>
      </c>
      <c r="AT170" s="23">
        <f t="shared" si="84"/>
        <v>0</v>
      </c>
      <c r="AU170" s="23">
        <f t="shared" si="85"/>
        <v>1.53</v>
      </c>
      <c r="AV170" s="23">
        <f t="shared" si="86"/>
        <v>0</v>
      </c>
      <c r="AW170" s="23">
        <f t="shared" si="87"/>
        <v>0</v>
      </c>
      <c r="AX170" s="23">
        <f t="shared" si="88"/>
        <v>0</v>
      </c>
      <c r="AY170" s="23">
        <f t="shared" si="89"/>
        <v>0</v>
      </c>
      <c r="AZ170" s="23">
        <f t="shared" si="90"/>
        <v>1693.25</v>
      </c>
      <c r="BA170" s="23">
        <f t="shared" si="91"/>
        <v>4628.83</v>
      </c>
      <c r="BB170" s="23">
        <f t="shared" si="92"/>
        <v>193.25</v>
      </c>
      <c r="BC170" s="23">
        <f t="shared" si="93"/>
        <v>131.9</v>
      </c>
      <c r="BD170" s="23">
        <f t="shared" si="94"/>
        <v>4308.28</v>
      </c>
      <c r="BE170" s="23">
        <f t="shared" si="95"/>
        <v>1009.2</v>
      </c>
      <c r="BF170" s="23">
        <f t="shared" si="96"/>
        <v>4059.82</v>
      </c>
      <c r="BG170" s="23">
        <f t="shared" si="97"/>
        <v>24254.6</v>
      </c>
      <c r="BH170" s="23">
        <f t="shared" si="98"/>
        <v>29400.31</v>
      </c>
      <c r="BI170" s="23">
        <f t="shared" si="99"/>
        <v>22058.28</v>
      </c>
      <c r="BJ170" s="23">
        <f t="shared" si="100"/>
        <v>22418.71</v>
      </c>
      <c r="BK170" s="23">
        <f t="shared" si="101"/>
        <v>7496.93</v>
      </c>
      <c r="BL170" s="23">
        <f t="shared" si="102"/>
        <v>3532.8</v>
      </c>
      <c r="BM170" s="23">
        <f t="shared" si="103"/>
        <v>2421.09</v>
      </c>
      <c r="BN170" s="23">
        <f t="shared" si="104"/>
        <v>5019.6000000000004</v>
      </c>
      <c r="BO170" s="23">
        <f t="shared" si="105"/>
        <v>0</v>
      </c>
      <c r="BP170" s="23">
        <f t="shared" si="106"/>
        <v>0</v>
      </c>
      <c r="BQ170" s="23">
        <f t="shared" si="107"/>
        <v>3154.86</v>
      </c>
      <c r="BR170" s="23">
        <f t="shared" si="108"/>
        <v>1986.2</v>
      </c>
      <c r="BS170" s="23">
        <f t="shared" si="109"/>
        <v>13801.09</v>
      </c>
      <c r="BT170" s="23">
        <f t="shared" si="114"/>
        <v>7342.02</v>
      </c>
      <c r="BU170" s="23">
        <f t="shared" si="114"/>
        <v>414.11</v>
      </c>
      <c r="BV170" s="23">
        <f t="shared" si="114"/>
        <v>52122.7</v>
      </c>
      <c r="BW170" s="23">
        <f t="shared" si="114"/>
        <v>71745.399999999994</v>
      </c>
      <c r="BX170" s="23">
        <f t="shared" si="114"/>
        <v>74714.720000000001</v>
      </c>
      <c r="BY170" t="s">
        <v>273</v>
      </c>
      <c r="CE170" t="s">
        <v>267</v>
      </c>
      <c r="CF170" t="s">
        <v>266</v>
      </c>
      <c r="CG170" t="s">
        <v>266</v>
      </c>
      <c r="CH170" t="s">
        <v>266</v>
      </c>
      <c r="CI170" t="s">
        <v>266</v>
      </c>
      <c r="CJ170" t="s">
        <v>266</v>
      </c>
      <c r="CK170" t="s">
        <v>267</v>
      </c>
      <c r="CL170" t="s">
        <v>267</v>
      </c>
      <c r="CM170" t="s">
        <v>267</v>
      </c>
      <c r="CN170" t="s">
        <v>267</v>
      </c>
      <c r="CO170" t="s">
        <v>267</v>
      </c>
    </row>
    <row r="171" spans="1:93" x14ac:dyDescent="0.25">
      <c r="A171" s="2" t="s">
        <v>177</v>
      </c>
      <c r="B171" s="17">
        <v>5298</v>
      </c>
      <c r="C171" s="17">
        <v>2324</v>
      </c>
      <c r="D171" s="17">
        <v>126</v>
      </c>
      <c r="E171" s="17">
        <v>364</v>
      </c>
      <c r="F171" s="17">
        <v>0</v>
      </c>
      <c r="G171" s="17">
        <v>1696</v>
      </c>
      <c r="H171" s="17">
        <v>0</v>
      </c>
      <c r="I171" s="17">
        <v>2</v>
      </c>
      <c r="J171" s="17">
        <v>0</v>
      </c>
      <c r="K171" s="17">
        <v>0</v>
      </c>
      <c r="L171" s="17">
        <v>0</v>
      </c>
      <c r="M171" s="17">
        <v>0</v>
      </c>
      <c r="N171" s="17">
        <v>1140</v>
      </c>
      <c r="O171" s="17">
        <v>3430</v>
      </c>
      <c r="P171" s="17">
        <v>120</v>
      </c>
      <c r="Q171" s="17">
        <v>100</v>
      </c>
      <c r="R171" s="17">
        <v>3326</v>
      </c>
      <c r="S171" s="17">
        <v>699</v>
      </c>
      <c r="T171" s="17">
        <v>2754</v>
      </c>
      <c r="U171" s="17">
        <v>17863</v>
      </c>
      <c r="V171" s="17">
        <f t="shared" si="111"/>
        <v>21379</v>
      </c>
      <c r="W171" s="18">
        <v>16567</v>
      </c>
      <c r="X171" s="19">
        <v>15486</v>
      </c>
      <c r="Y171" s="19">
        <v>5002</v>
      </c>
      <c r="Z171" s="19">
        <v>2236.1248464615287</v>
      </c>
      <c r="AA171" s="19">
        <v>1683.5197015725521</v>
      </c>
      <c r="AB171" s="19">
        <v>3499.6517869724394</v>
      </c>
      <c r="AC171" s="17">
        <v>0</v>
      </c>
      <c r="AD171" s="17">
        <v>0</v>
      </c>
      <c r="AE171" s="19">
        <v>2236.212008895478</v>
      </c>
      <c r="AF171" s="19">
        <v>1333</v>
      </c>
      <c r="AG171" s="24">
        <v>9499.491656098</v>
      </c>
      <c r="AH171" s="17">
        <f t="shared" si="112"/>
        <v>4812</v>
      </c>
      <c r="AI171" s="20">
        <v>872</v>
      </c>
      <c r="AJ171" s="21">
        <v>33079</v>
      </c>
      <c r="AK171" s="22">
        <v>50863</v>
      </c>
      <c r="AL171" s="22">
        <v>54113</v>
      </c>
      <c r="AM171" s="16">
        <v>68.7</v>
      </c>
      <c r="AN171" s="23">
        <f t="shared" si="78"/>
        <v>7711.79</v>
      </c>
      <c r="AO171" s="23">
        <f t="shared" si="79"/>
        <v>3382.82</v>
      </c>
      <c r="AP171" s="23">
        <f t="shared" si="80"/>
        <v>183.41</v>
      </c>
      <c r="AQ171" s="23">
        <f t="shared" si="81"/>
        <v>529.84</v>
      </c>
      <c r="AR171" s="23">
        <f t="shared" si="82"/>
        <v>0</v>
      </c>
      <c r="AS171" s="23">
        <f t="shared" si="83"/>
        <v>2468.6999999999998</v>
      </c>
      <c r="AT171" s="23">
        <f t="shared" si="84"/>
        <v>0</v>
      </c>
      <c r="AU171" s="23">
        <f t="shared" si="85"/>
        <v>2.91</v>
      </c>
      <c r="AV171" s="23">
        <f t="shared" si="86"/>
        <v>0</v>
      </c>
      <c r="AW171" s="23">
        <f t="shared" si="87"/>
        <v>0</v>
      </c>
      <c r="AX171" s="23">
        <f t="shared" si="88"/>
        <v>0</v>
      </c>
      <c r="AY171" s="23">
        <f t="shared" si="89"/>
        <v>0</v>
      </c>
      <c r="AZ171" s="23">
        <f t="shared" si="90"/>
        <v>1659.39</v>
      </c>
      <c r="BA171" s="23">
        <f t="shared" si="91"/>
        <v>4992.72</v>
      </c>
      <c r="BB171" s="23">
        <f t="shared" si="92"/>
        <v>174.67</v>
      </c>
      <c r="BC171" s="23">
        <f t="shared" si="93"/>
        <v>145.56</v>
      </c>
      <c r="BD171" s="23">
        <f t="shared" si="94"/>
        <v>4841.34</v>
      </c>
      <c r="BE171" s="23">
        <f t="shared" si="95"/>
        <v>1017.47</v>
      </c>
      <c r="BF171" s="23">
        <f t="shared" si="96"/>
        <v>4008.73</v>
      </c>
      <c r="BG171" s="23">
        <f t="shared" si="97"/>
        <v>26001.46</v>
      </c>
      <c r="BH171" s="23">
        <f t="shared" si="98"/>
        <v>31119.360000000001</v>
      </c>
      <c r="BI171" s="23">
        <f t="shared" si="99"/>
        <v>24114.99</v>
      </c>
      <c r="BJ171" s="23">
        <f t="shared" si="100"/>
        <v>22541.48</v>
      </c>
      <c r="BK171" s="23">
        <f t="shared" si="101"/>
        <v>7280.93</v>
      </c>
      <c r="BL171" s="23">
        <f t="shared" si="102"/>
        <v>3254.91</v>
      </c>
      <c r="BM171" s="23">
        <f t="shared" si="103"/>
        <v>2450.54</v>
      </c>
      <c r="BN171" s="23">
        <f t="shared" si="104"/>
        <v>5094.1099999999997</v>
      </c>
      <c r="BO171" s="23">
        <f t="shared" si="105"/>
        <v>0</v>
      </c>
      <c r="BP171" s="23">
        <f t="shared" si="106"/>
        <v>0</v>
      </c>
      <c r="BQ171" s="23">
        <f t="shared" si="107"/>
        <v>3255.04</v>
      </c>
      <c r="BR171" s="23">
        <f t="shared" si="108"/>
        <v>1940.32</v>
      </c>
      <c r="BS171" s="23">
        <f t="shared" si="109"/>
        <v>13827.5</v>
      </c>
      <c r="BT171" s="23">
        <f t="shared" si="114"/>
        <v>7004.37</v>
      </c>
      <c r="BU171" s="23">
        <f t="shared" si="114"/>
        <v>1269.29</v>
      </c>
      <c r="BV171" s="23">
        <f t="shared" si="114"/>
        <v>48149.93</v>
      </c>
      <c r="BW171" s="23">
        <f t="shared" si="114"/>
        <v>74036.39</v>
      </c>
      <c r="BX171" s="23">
        <f t="shared" si="114"/>
        <v>78767.100000000006</v>
      </c>
      <c r="BY171" t="s">
        <v>273</v>
      </c>
      <c r="CE171" t="s">
        <v>267</v>
      </c>
      <c r="CF171" t="s">
        <v>266</v>
      </c>
      <c r="CG171" t="s">
        <v>266</v>
      </c>
      <c r="CH171" t="s">
        <v>266</v>
      </c>
      <c r="CI171" t="s">
        <v>266</v>
      </c>
      <c r="CJ171" t="s">
        <v>266</v>
      </c>
      <c r="CK171" t="s">
        <v>267</v>
      </c>
      <c r="CL171" t="s">
        <v>267</v>
      </c>
      <c r="CM171" t="s">
        <v>267</v>
      </c>
      <c r="CN171" t="s">
        <v>267</v>
      </c>
      <c r="CO171" t="s">
        <v>267</v>
      </c>
    </row>
    <row r="172" spans="1:93" x14ac:dyDescent="0.25">
      <c r="A172" s="2" t="s">
        <v>178</v>
      </c>
      <c r="B172" s="17">
        <v>6129</v>
      </c>
      <c r="C172" s="17">
        <v>2660</v>
      </c>
      <c r="D172" s="17">
        <v>136</v>
      </c>
      <c r="E172" s="17">
        <v>356</v>
      </c>
      <c r="F172" s="17">
        <v>0</v>
      </c>
      <c r="G172" s="17">
        <v>1582</v>
      </c>
      <c r="H172" s="17">
        <v>0</v>
      </c>
      <c r="I172" s="17">
        <v>3</v>
      </c>
      <c r="J172" s="17">
        <v>0</v>
      </c>
      <c r="K172" s="17">
        <v>0</v>
      </c>
      <c r="L172" s="17">
        <v>0</v>
      </c>
      <c r="M172" s="17">
        <v>0</v>
      </c>
      <c r="N172" s="17">
        <v>1143</v>
      </c>
      <c r="O172" s="17">
        <v>3777</v>
      </c>
      <c r="P172" s="17">
        <v>118</v>
      </c>
      <c r="Q172" s="17">
        <v>103</v>
      </c>
      <c r="R172" s="17">
        <v>3651</v>
      </c>
      <c r="S172" s="17">
        <v>745</v>
      </c>
      <c r="T172" s="17">
        <v>2817</v>
      </c>
      <c r="U172" s="17">
        <v>19457</v>
      </c>
      <c r="V172" s="17">
        <f t="shared" si="111"/>
        <v>23220</v>
      </c>
      <c r="W172" s="18">
        <v>17217</v>
      </c>
      <c r="X172" s="19">
        <v>17142</v>
      </c>
      <c r="Y172" s="19">
        <v>5744</v>
      </c>
      <c r="Z172" s="19">
        <v>2426.1787030329747</v>
      </c>
      <c r="AA172" s="19">
        <v>1920.2693888491781</v>
      </c>
      <c r="AB172" s="19">
        <v>3751.8008677000307</v>
      </c>
      <c r="AC172" s="17">
        <v>0</v>
      </c>
      <c r="AD172" s="17">
        <v>0</v>
      </c>
      <c r="AE172" s="19">
        <v>2528.4469977761305</v>
      </c>
      <c r="AF172" s="19">
        <v>1347</v>
      </c>
      <c r="AG172" s="24">
        <v>10912.304042641686</v>
      </c>
      <c r="AH172" s="17">
        <f t="shared" si="112"/>
        <v>6003</v>
      </c>
      <c r="AI172" s="20">
        <v>323</v>
      </c>
      <c r="AJ172" s="21">
        <v>33442</v>
      </c>
      <c r="AK172" s="22">
        <v>57742</v>
      </c>
      <c r="AL172" s="22">
        <v>61180</v>
      </c>
      <c r="AM172" s="16">
        <v>73.099999999999994</v>
      </c>
      <c r="AN172" s="23">
        <f t="shared" si="78"/>
        <v>8384.4</v>
      </c>
      <c r="AO172" s="23">
        <f t="shared" si="79"/>
        <v>3638.85</v>
      </c>
      <c r="AP172" s="23">
        <f t="shared" si="80"/>
        <v>186.05</v>
      </c>
      <c r="AQ172" s="23">
        <f t="shared" si="81"/>
        <v>487</v>
      </c>
      <c r="AR172" s="23">
        <f t="shared" si="82"/>
        <v>0</v>
      </c>
      <c r="AS172" s="23">
        <f t="shared" si="83"/>
        <v>2164.16</v>
      </c>
      <c r="AT172" s="23">
        <f t="shared" si="84"/>
        <v>0</v>
      </c>
      <c r="AU172" s="23">
        <f t="shared" si="85"/>
        <v>4.0999999999999996</v>
      </c>
      <c r="AV172" s="23">
        <f t="shared" si="86"/>
        <v>0</v>
      </c>
      <c r="AW172" s="23">
        <f t="shared" si="87"/>
        <v>0</v>
      </c>
      <c r="AX172" s="23">
        <f t="shared" si="88"/>
        <v>0</v>
      </c>
      <c r="AY172" s="23">
        <f t="shared" si="89"/>
        <v>0</v>
      </c>
      <c r="AZ172" s="23">
        <f t="shared" si="90"/>
        <v>1563.61</v>
      </c>
      <c r="BA172" s="23">
        <f t="shared" si="91"/>
        <v>5166.8900000000003</v>
      </c>
      <c r="BB172" s="23">
        <f t="shared" si="92"/>
        <v>161.41999999999999</v>
      </c>
      <c r="BC172" s="23">
        <f t="shared" si="93"/>
        <v>140.9</v>
      </c>
      <c r="BD172" s="23">
        <f t="shared" si="94"/>
        <v>4994.53</v>
      </c>
      <c r="BE172" s="23">
        <f t="shared" si="95"/>
        <v>1019.15</v>
      </c>
      <c r="BF172" s="23">
        <f t="shared" si="96"/>
        <v>3853.63</v>
      </c>
      <c r="BG172" s="23">
        <f t="shared" si="97"/>
        <v>26616.959999999999</v>
      </c>
      <c r="BH172" s="23">
        <f t="shared" si="98"/>
        <v>31764.71</v>
      </c>
      <c r="BI172" s="23">
        <f t="shared" si="99"/>
        <v>23552.67</v>
      </c>
      <c r="BJ172" s="23">
        <f t="shared" si="100"/>
        <v>23450.07</v>
      </c>
      <c r="BK172" s="23">
        <f t="shared" si="101"/>
        <v>7857.73</v>
      </c>
      <c r="BL172" s="23">
        <f t="shared" si="102"/>
        <v>3318.99</v>
      </c>
      <c r="BM172" s="23">
        <f t="shared" si="103"/>
        <v>2626.91</v>
      </c>
      <c r="BN172" s="23">
        <f t="shared" si="104"/>
        <v>5132.42</v>
      </c>
      <c r="BO172" s="23">
        <f t="shared" si="105"/>
        <v>0</v>
      </c>
      <c r="BP172" s="23">
        <f t="shared" si="106"/>
        <v>0</v>
      </c>
      <c r="BQ172" s="23">
        <f t="shared" si="107"/>
        <v>3458.89</v>
      </c>
      <c r="BR172" s="23">
        <f t="shared" si="108"/>
        <v>1842.68</v>
      </c>
      <c r="BS172" s="23">
        <f t="shared" si="109"/>
        <v>14927.91</v>
      </c>
      <c r="BT172" s="23">
        <f t="shared" si="114"/>
        <v>8212.0400000000009</v>
      </c>
      <c r="BU172" s="23">
        <f t="shared" si="114"/>
        <v>441.86</v>
      </c>
      <c r="BV172" s="23">
        <f t="shared" si="114"/>
        <v>45748.29</v>
      </c>
      <c r="BW172" s="23">
        <f t="shared" si="114"/>
        <v>78990.42</v>
      </c>
      <c r="BX172" s="23">
        <f t="shared" si="114"/>
        <v>83693.570000000007</v>
      </c>
      <c r="BY172" t="s">
        <v>270</v>
      </c>
      <c r="CE172" t="s">
        <v>267</v>
      </c>
      <c r="CF172" t="s">
        <v>266</v>
      </c>
      <c r="CG172" t="s">
        <v>266</v>
      </c>
      <c r="CH172" t="s">
        <v>266</v>
      </c>
      <c r="CI172" t="s">
        <v>266</v>
      </c>
      <c r="CJ172" t="s">
        <v>266</v>
      </c>
      <c r="CK172" t="s">
        <v>267</v>
      </c>
      <c r="CL172" t="s">
        <v>267</v>
      </c>
      <c r="CM172" t="s">
        <v>267</v>
      </c>
      <c r="CN172" t="s">
        <v>267</v>
      </c>
      <c r="CO172" t="s">
        <v>267</v>
      </c>
    </row>
    <row r="173" spans="1:93" x14ac:dyDescent="0.25">
      <c r="A173" s="2" t="s">
        <v>179</v>
      </c>
      <c r="B173" s="17">
        <v>6640</v>
      </c>
      <c r="C173" s="17">
        <v>2985</v>
      </c>
      <c r="D173" s="17">
        <v>155</v>
      </c>
      <c r="E173" s="17">
        <v>452</v>
      </c>
      <c r="F173" s="17">
        <v>0</v>
      </c>
      <c r="G173" s="17">
        <v>1552</v>
      </c>
      <c r="H173" s="17">
        <v>0</v>
      </c>
      <c r="I173" s="17">
        <v>6</v>
      </c>
      <c r="J173" s="17">
        <v>0</v>
      </c>
      <c r="K173" s="17">
        <v>0</v>
      </c>
      <c r="L173" s="17">
        <v>0</v>
      </c>
      <c r="M173" s="17">
        <v>0</v>
      </c>
      <c r="N173" s="17">
        <v>1125</v>
      </c>
      <c r="O173" s="17">
        <v>3991</v>
      </c>
      <c r="P173" s="17">
        <v>168</v>
      </c>
      <c r="Q173" s="17">
        <v>121</v>
      </c>
      <c r="R173" s="17">
        <v>3760</v>
      </c>
      <c r="S173" s="17">
        <v>870</v>
      </c>
      <c r="T173" s="17">
        <v>3076</v>
      </c>
      <c r="U173" s="17">
        <v>20708</v>
      </c>
      <c r="V173" s="17">
        <f t="shared" si="111"/>
        <v>24901</v>
      </c>
      <c r="W173" s="18">
        <v>19294</v>
      </c>
      <c r="X173" s="19">
        <v>19583</v>
      </c>
      <c r="Y173" s="19">
        <v>5919.0000000000009</v>
      </c>
      <c r="Z173" s="19">
        <v>2711.7382129696698</v>
      </c>
      <c r="AA173" s="19">
        <v>2186.1966136526094</v>
      </c>
      <c r="AB173" s="19">
        <v>4363.9123635907026</v>
      </c>
      <c r="AC173" s="17">
        <v>0</v>
      </c>
      <c r="AD173" s="17">
        <v>0</v>
      </c>
      <c r="AE173" s="19">
        <v>2916.0859896219422</v>
      </c>
      <c r="AF173" s="19">
        <v>1461</v>
      </c>
      <c r="AG173" s="24">
        <v>11863.066820165073</v>
      </c>
      <c r="AH173" s="17">
        <f t="shared" si="112"/>
        <v>5607</v>
      </c>
      <c r="AI173" s="20">
        <v>634</v>
      </c>
      <c r="AJ173" s="21">
        <v>35840</v>
      </c>
      <c r="AK173" s="22">
        <v>64593</v>
      </c>
      <c r="AL173" s="22">
        <v>68143</v>
      </c>
      <c r="AM173" s="16">
        <v>80</v>
      </c>
      <c r="AN173" s="23">
        <f t="shared" si="78"/>
        <v>8300</v>
      </c>
      <c r="AO173" s="23">
        <f t="shared" si="79"/>
        <v>3731.25</v>
      </c>
      <c r="AP173" s="23">
        <f t="shared" si="80"/>
        <v>193.75</v>
      </c>
      <c r="AQ173" s="23">
        <f t="shared" si="81"/>
        <v>565</v>
      </c>
      <c r="AR173" s="23">
        <f t="shared" si="82"/>
        <v>0</v>
      </c>
      <c r="AS173" s="23">
        <f t="shared" si="83"/>
        <v>1940</v>
      </c>
      <c r="AT173" s="23">
        <f t="shared" si="84"/>
        <v>0</v>
      </c>
      <c r="AU173" s="23">
        <f t="shared" si="85"/>
        <v>7.5</v>
      </c>
      <c r="AV173" s="23">
        <f t="shared" si="86"/>
        <v>0</v>
      </c>
      <c r="AW173" s="23">
        <f t="shared" si="87"/>
        <v>0</v>
      </c>
      <c r="AX173" s="23">
        <f t="shared" si="88"/>
        <v>0</v>
      </c>
      <c r="AY173" s="23">
        <f t="shared" si="89"/>
        <v>0</v>
      </c>
      <c r="AZ173" s="23">
        <f t="shared" si="90"/>
        <v>1406.25</v>
      </c>
      <c r="BA173" s="23">
        <f t="shared" si="91"/>
        <v>4988.75</v>
      </c>
      <c r="BB173" s="23">
        <f t="shared" si="92"/>
        <v>210</v>
      </c>
      <c r="BC173" s="23">
        <f t="shared" si="93"/>
        <v>151.25</v>
      </c>
      <c r="BD173" s="23">
        <f t="shared" si="94"/>
        <v>4700</v>
      </c>
      <c r="BE173" s="23">
        <f t="shared" si="95"/>
        <v>1087.5</v>
      </c>
      <c r="BF173" s="23">
        <f t="shared" si="96"/>
        <v>3845</v>
      </c>
      <c r="BG173" s="23">
        <f t="shared" si="97"/>
        <v>25885</v>
      </c>
      <c r="BH173" s="23">
        <f t="shared" si="98"/>
        <v>31126.25</v>
      </c>
      <c r="BI173" s="23">
        <f t="shared" si="99"/>
        <v>24117.5</v>
      </c>
      <c r="BJ173" s="23">
        <f t="shared" si="100"/>
        <v>24478.75</v>
      </c>
      <c r="BK173" s="23">
        <f t="shared" si="101"/>
        <v>7398.75</v>
      </c>
      <c r="BL173" s="23">
        <f t="shared" si="102"/>
        <v>3389.67</v>
      </c>
      <c r="BM173" s="23">
        <f t="shared" si="103"/>
        <v>2732.75</v>
      </c>
      <c r="BN173" s="23">
        <f t="shared" si="104"/>
        <v>5454.89</v>
      </c>
      <c r="BO173" s="23">
        <f t="shared" si="105"/>
        <v>0</v>
      </c>
      <c r="BP173" s="23">
        <f t="shared" si="106"/>
        <v>0</v>
      </c>
      <c r="BQ173" s="23">
        <f t="shared" si="107"/>
        <v>3645.11</v>
      </c>
      <c r="BR173" s="23">
        <f t="shared" si="108"/>
        <v>1826.25</v>
      </c>
      <c r="BS173" s="23">
        <f t="shared" si="109"/>
        <v>14828.83</v>
      </c>
      <c r="BT173" s="23">
        <f t="shared" si="114"/>
        <v>7008.75</v>
      </c>
      <c r="BU173" s="23">
        <f t="shared" si="114"/>
        <v>792.5</v>
      </c>
      <c r="BV173" s="23">
        <f t="shared" si="114"/>
        <v>44800</v>
      </c>
      <c r="BW173" s="23">
        <f t="shared" si="114"/>
        <v>80741.25</v>
      </c>
      <c r="BX173" s="23">
        <f t="shared" si="114"/>
        <v>85178.75</v>
      </c>
      <c r="BY173" t="s">
        <v>270</v>
      </c>
      <c r="CE173" t="s">
        <v>267</v>
      </c>
      <c r="CF173" t="s">
        <v>266</v>
      </c>
      <c r="CG173" t="s">
        <v>266</v>
      </c>
      <c r="CH173" t="s">
        <v>266</v>
      </c>
      <c r="CI173" t="s">
        <v>266</v>
      </c>
      <c r="CJ173" t="s">
        <v>266</v>
      </c>
      <c r="CK173" t="s">
        <v>267</v>
      </c>
      <c r="CL173" t="s">
        <v>267</v>
      </c>
      <c r="CM173" t="s">
        <v>267</v>
      </c>
      <c r="CN173" t="s">
        <v>267</v>
      </c>
      <c r="CO173" t="s">
        <v>267</v>
      </c>
    </row>
    <row r="174" spans="1:93" x14ac:dyDescent="0.25">
      <c r="A174" s="2" t="s">
        <v>180</v>
      </c>
      <c r="B174" s="17">
        <v>6794</v>
      </c>
      <c r="C174" s="17">
        <v>3492</v>
      </c>
      <c r="D174" s="17">
        <v>207</v>
      </c>
      <c r="E174" s="17">
        <v>459</v>
      </c>
      <c r="F174" s="17">
        <v>0</v>
      </c>
      <c r="G174" s="17">
        <v>1533</v>
      </c>
      <c r="H174" s="17">
        <v>0</v>
      </c>
      <c r="I174" s="17">
        <v>11</v>
      </c>
      <c r="J174" s="17">
        <v>0</v>
      </c>
      <c r="K174" s="17">
        <v>0</v>
      </c>
      <c r="L174" s="17">
        <v>0</v>
      </c>
      <c r="M174" s="17">
        <v>0</v>
      </c>
      <c r="N174" s="17">
        <v>1185</v>
      </c>
      <c r="O174" s="17">
        <v>4223</v>
      </c>
      <c r="P174" s="17">
        <v>227</v>
      </c>
      <c r="Q174" s="17">
        <v>138</v>
      </c>
      <c r="R174" s="17">
        <v>3884</v>
      </c>
      <c r="S174" s="17">
        <v>984</v>
      </c>
      <c r="T174" s="17">
        <v>3525</v>
      </c>
      <c r="U174" s="17">
        <v>22053</v>
      </c>
      <c r="V174" s="17">
        <f t="shared" si="111"/>
        <v>26662</v>
      </c>
      <c r="W174" s="18">
        <v>22028</v>
      </c>
      <c r="X174" s="19">
        <v>22126</v>
      </c>
      <c r="Y174" s="19">
        <v>6401</v>
      </c>
      <c r="Z174" s="19">
        <v>3028.1754905357307</v>
      </c>
      <c r="AA174" s="19">
        <v>2512.5370800571841</v>
      </c>
      <c r="AB174" s="19">
        <v>5052.9891680831661</v>
      </c>
      <c r="AC174" s="17">
        <v>0</v>
      </c>
      <c r="AD174" s="17">
        <v>0</v>
      </c>
      <c r="AE174" s="19">
        <v>3424.9073387694589</v>
      </c>
      <c r="AF174" s="19">
        <v>1696</v>
      </c>
      <c r="AG174" s="24">
        <v>12812.390922554461</v>
      </c>
      <c r="AH174" s="17">
        <f t="shared" si="112"/>
        <v>4634</v>
      </c>
      <c r="AI174" s="20">
        <v>1913</v>
      </c>
      <c r="AJ174" s="21">
        <v>36885</v>
      </c>
      <c r="AK174" s="22">
        <v>73937</v>
      </c>
      <c r="AL174" s="22">
        <v>79228</v>
      </c>
      <c r="AM174" s="16">
        <v>85.7</v>
      </c>
      <c r="AN174" s="23">
        <f t="shared" si="78"/>
        <v>7927.65</v>
      </c>
      <c r="AO174" s="23">
        <f t="shared" si="79"/>
        <v>4074.68</v>
      </c>
      <c r="AP174" s="23">
        <f t="shared" si="80"/>
        <v>241.54</v>
      </c>
      <c r="AQ174" s="23">
        <f t="shared" si="81"/>
        <v>535.59</v>
      </c>
      <c r="AR174" s="23">
        <f t="shared" si="82"/>
        <v>0</v>
      </c>
      <c r="AS174" s="23">
        <f t="shared" si="83"/>
        <v>1788.8</v>
      </c>
      <c r="AT174" s="23">
        <f t="shared" si="84"/>
        <v>0</v>
      </c>
      <c r="AU174" s="23">
        <f t="shared" si="85"/>
        <v>12.84</v>
      </c>
      <c r="AV174" s="23">
        <f t="shared" si="86"/>
        <v>0</v>
      </c>
      <c r="AW174" s="23">
        <f t="shared" si="87"/>
        <v>0</v>
      </c>
      <c r="AX174" s="23">
        <f t="shared" si="88"/>
        <v>0</v>
      </c>
      <c r="AY174" s="23">
        <f t="shared" si="89"/>
        <v>0</v>
      </c>
      <c r="AZ174" s="23">
        <f t="shared" si="90"/>
        <v>1382.73</v>
      </c>
      <c r="BA174" s="23">
        <f t="shared" si="91"/>
        <v>4927.6499999999996</v>
      </c>
      <c r="BB174" s="23">
        <f t="shared" si="92"/>
        <v>264.88</v>
      </c>
      <c r="BC174" s="23">
        <f t="shared" si="93"/>
        <v>161.03</v>
      </c>
      <c r="BD174" s="23">
        <f t="shared" si="94"/>
        <v>4532.09</v>
      </c>
      <c r="BE174" s="23">
        <f t="shared" si="95"/>
        <v>1148.19</v>
      </c>
      <c r="BF174" s="23">
        <f t="shared" si="96"/>
        <v>4113.1899999999996</v>
      </c>
      <c r="BG174" s="23">
        <f t="shared" si="97"/>
        <v>25732.79</v>
      </c>
      <c r="BH174" s="23">
        <f t="shared" si="98"/>
        <v>31110.85</v>
      </c>
      <c r="BI174" s="23">
        <f t="shared" si="99"/>
        <v>25703.62</v>
      </c>
      <c r="BJ174" s="23">
        <f t="shared" si="100"/>
        <v>25817.97</v>
      </c>
      <c r="BK174" s="23">
        <f t="shared" si="101"/>
        <v>7469.08</v>
      </c>
      <c r="BL174" s="23">
        <f t="shared" si="102"/>
        <v>3533.46</v>
      </c>
      <c r="BM174" s="23">
        <f t="shared" si="103"/>
        <v>2931.78</v>
      </c>
      <c r="BN174" s="23">
        <f t="shared" si="104"/>
        <v>5896.14</v>
      </c>
      <c r="BO174" s="23">
        <f t="shared" si="105"/>
        <v>0</v>
      </c>
      <c r="BP174" s="23">
        <f t="shared" si="106"/>
        <v>0</v>
      </c>
      <c r="BQ174" s="23">
        <f t="shared" si="107"/>
        <v>3996.39</v>
      </c>
      <c r="BR174" s="23">
        <f t="shared" si="108"/>
        <v>1979</v>
      </c>
      <c r="BS174" s="23">
        <f t="shared" si="109"/>
        <v>14950.28</v>
      </c>
      <c r="BT174" s="23">
        <f t="shared" si="114"/>
        <v>5407.23</v>
      </c>
      <c r="BU174" s="23">
        <f t="shared" si="114"/>
        <v>2232.21</v>
      </c>
      <c r="BV174" s="23">
        <f t="shared" si="114"/>
        <v>43039.67</v>
      </c>
      <c r="BW174" s="23">
        <f t="shared" si="114"/>
        <v>86274.21</v>
      </c>
      <c r="BX174" s="23">
        <f t="shared" si="114"/>
        <v>92448.07</v>
      </c>
      <c r="BY174" t="s">
        <v>270</v>
      </c>
      <c r="CE174" t="s">
        <v>267</v>
      </c>
      <c r="CF174" t="s">
        <v>266</v>
      </c>
      <c r="CG174" t="s">
        <v>266</v>
      </c>
      <c r="CH174" t="s">
        <v>266</v>
      </c>
      <c r="CI174" t="s">
        <v>266</v>
      </c>
      <c r="CJ174" t="s">
        <v>266</v>
      </c>
      <c r="CK174" t="s">
        <v>267</v>
      </c>
      <c r="CL174" t="s">
        <v>267</v>
      </c>
      <c r="CM174" t="s">
        <v>267</v>
      </c>
      <c r="CN174" t="s">
        <v>267</v>
      </c>
      <c r="CO174" t="s">
        <v>267</v>
      </c>
    </row>
    <row r="175" spans="1:93" x14ac:dyDescent="0.25">
      <c r="A175" s="2" t="s">
        <v>181</v>
      </c>
      <c r="B175" s="17">
        <v>7579</v>
      </c>
      <c r="C175" s="17">
        <v>4106</v>
      </c>
      <c r="D175" s="17">
        <v>322</v>
      </c>
      <c r="E175" s="17">
        <v>412</v>
      </c>
      <c r="F175" s="17">
        <v>0</v>
      </c>
      <c r="G175" s="17">
        <v>2264</v>
      </c>
      <c r="H175" s="17">
        <v>0</v>
      </c>
      <c r="I175" s="17">
        <v>12</v>
      </c>
      <c r="J175" s="17">
        <v>0</v>
      </c>
      <c r="K175" s="17">
        <v>0</v>
      </c>
      <c r="L175" s="17">
        <v>0</v>
      </c>
      <c r="M175" s="17">
        <v>0</v>
      </c>
      <c r="N175" s="17">
        <v>1971</v>
      </c>
      <c r="O175" s="17">
        <v>3945</v>
      </c>
      <c r="P175" s="17">
        <v>191</v>
      </c>
      <c r="Q175" s="17">
        <v>150</v>
      </c>
      <c r="R175" s="17">
        <v>3984</v>
      </c>
      <c r="S175" s="17">
        <v>1100</v>
      </c>
      <c r="T175" s="17">
        <v>4088</v>
      </c>
      <c r="U175" s="17">
        <v>24688</v>
      </c>
      <c r="V175" s="17">
        <f t="shared" si="111"/>
        <v>30124</v>
      </c>
      <c r="W175" s="18">
        <v>25496</v>
      </c>
      <c r="X175" s="19">
        <v>25769</v>
      </c>
      <c r="Y175" s="19">
        <v>7673</v>
      </c>
      <c r="Z175" s="19">
        <v>3467.4057509999684</v>
      </c>
      <c r="AA175" s="19">
        <v>2978.6512687634026</v>
      </c>
      <c r="AB175" s="19">
        <v>5679.5435239619965</v>
      </c>
      <c r="AC175" s="17">
        <v>0</v>
      </c>
      <c r="AD175" s="17">
        <v>0</v>
      </c>
      <c r="AE175" s="19">
        <v>4007.4499629355078</v>
      </c>
      <c r="AF175" s="19">
        <v>1896</v>
      </c>
      <c r="AG175" s="24">
        <v>15412.949493339123</v>
      </c>
      <c r="AH175" s="17">
        <f t="shared" si="112"/>
        <v>4628</v>
      </c>
      <c r="AI175" s="20">
        <v>3383</v>
      </c>
      <c r="AJ175" s="21">
        <v>40125</v>
      </c>
      <c r="AK175" s="22">
        <v>82863</v>
      </c>
      <c r="AL175" s="22">
        <v>88835</v>
      </c>
      <c r="AM175" s="16">
        <v>93.5</v>
      </c>
      <c r="AN175" s="23">
        <f t="shared" si="78"/>
        <v>8105.88</v>
      </c>
      <c r="AO175" s="23">
        <f t="shared" si="79"/>
        <v>4391.4399999999996</v>
      </c>
      <c r="AP175" s="23">
        <f t="shared" si="80"/>
        <v>344.39</v>
      </c>
      <c r="AQ175" s="23">
        <f t="shared" si="81"/>
        <v>440.64</v>
      </c>
      <c r="AR175" s="23">
        <f t="shared" si="82"/>
        <v>0</v>
      </c>
      <c r="AS175" s="23">
        <f t="shared" si="83"/>
        <v>2421.39</v>
      </c>
      <c r="AT175" s="23">
        <f t="shared" si="84"/>
        <v>0</v>
      </c>
      <c r="AU175" s="23">
        <f t="shared" si="85"/>
        <v>12.83</v>
      </c>
      <c r="AV175" s="23">
        <f t="shared" si="86"/>
        <v>0</v>
      </c>
      <c r="AW175" s="23">
        <f t="shared" si="87"/>
        <v>0</v>
      </c>
      <c r="AX175" s="23">
        <f t="shared" si="88"/>
        <v>0</v>
      </c>
      <c r="AY175" s="23">
        <f t="shared" si="89"/>
        <v>0</v>
      </c>
      <c r="AZ175" s="23">
        <f t="shared" si="90"/>
        <v>2108.02</v>
      </c>
      <c r="BA175" s="23">
        <f t="shared" si="91"/>
        <v>4219.25</v>
      </c>
      <c r="BB175" s="23">
        <f t="shared" si="92"/>
        <v>204.28</v>
      </c>
      <c r="BC175" s="23">
        <f t="shared" si="93"/>
        <v>160.43</v>
      </c>
      <c r="BD175" s="23">
        <f t="shared" si="94"/>
        <v>4260.96</v>
      </c>
      <c r="BE175" s="23">
        <f t="shared" si="95"/>
        <v>1176.47</v>
      </c>
      <c r="BF175" s="23">
        <f t="shared" si="96"/>
        <v>4372.1899999999996</v>
      </c>
      <c r="BG175" s="23">
        <f t="shared" si="97"/>
        <v>26404.28</v>
      </c>
      <c r="BH175" s="23">
        <f t="shared" si="98"/>
        <v>32218.18</v>
      </c>
      <c r="BI175" s="23">
        <f t="shared" si="99"/>
        <v>27268.45</v>
      </c>
      <c r="BJ175" s="23">
        <f t="shared" si="100"/>
        <v>27560.43</v>
      </c>
      <c r="BK175" s="23">
        <f t="shared" si="101"/>
        <v>8206.42</v>
      </c>
      <c r="BL175" s="23">
        <f t="shared" si="102"/>
        <v>3708.46</v>
      </c>
      <c r="BM175" s="23">
        <f t="shared" si="103"/>
        <v>3185.72</v>
      </c>
      <c r="BN175" s="23">
        <f t="shared" si="104"/>
        <v>6074.38</v>
      </c>
      <c r="BO175" s="23">
        <f t="shared" si="105"/>
        <v>0</v>
      </c>
      <c r="BP175" s="23">
        <f t="shared" si="106"/>
        <v>0</v>
      </c>
      <c r="BQ175" s="23">
        <f t="shared" si="107"/>
        <v>4286.04</v>
      </c>
      <c r="BR175" s="23">
        <f t="shared" si="108"/>
        <v>2027.81</v>
      </c>
      <c r="BS175" s="23">
        <f t="shared" si="109"/>
        <v>16484.439999999999</v>
      </c>
      <c r="BT175" s="23">
        <f t="shared" si="114"/>
        <v>4949.7299999999996</v>
      </c>
      <c r="BU175" s="23">
        <f t="shared" si="114"/>
        <v>3618.18</v>
      </c>
      <c r="BV175" s="23">
        <f t="shared" si="114"/>
        <v>42914.44</v>
      </c>
      <c r="BW175" s="23">
        <f t="shared" si="114"/>
        <v>88623.53</v>
      </c>
      <c r="BX175" s="23">
        <f t="shared" si="114"/>
        <v>95010.7</v>
      </c>
      <c r="BY175" t="s">
        <v>270</v>
      </c>
      <c r="CE175" t="s">
        <v>267</v>
      </c>
      <c r="CF175" t="s">
        <v>266</v>
      </c>
      <c r="CG175" t="s">
        <v>266</v>
      </c>
      <c r="CH175" t="s">
        <v>266</v>
      </c>
      <c r="CI175" t="s">
        <v>266</v>
      </c>
      <c r="CJ175" t="s">
        <v>266</v>
      </c>
      <c r="CK175" t="s">
        <v>267</v>
      </c>
      <c r="CL175" t="s">
        <v>267</v>
      </c>
      <c r="CM175" t="s">
        <v>267</v>
      </c>
      <c r="CN175" t="s">
        <v>267</v>
      </c>
      <c r="CO175" t="s">
        <v>267</v>
      </c>
    </row>
    <row r="176" spans="1:93" x14ac:dyDescent="0.25">
      <c r="A176" s="2" t="s">
        <v>182</v>
      </c>
      <c r="B176" s="17">
        <v>11044</v>
      </c>
      <c r="C176" s="17">
        <v>5410</v>
      </c>
      <c r="D176" s="17">
        <v>382</v>
      </c>
      <c r="E176" s="17">
        <v>338</v>
      </c>
      <c r="F176" s="17">
        <v>0</v>
      </c>
      <c r="G176" s="17">
        <v>2859</v>
      </c>
      <c r="H176" s="17">
        <v>0</v>
      </c>
      <c r="I176" s="17">
        <v>15</v>
      </c>
      <c r="J176" s="17">
        <v>0</v>
      </c>
      <c r="K176" s="17">
        <v>0</v>
      </c>
      <c r="L176" s="17">
        <v>0</v>
      </c>
      <c r="M176" s="17">
        <v>0</v>
      </c>
      <c r="N176" s="17">
        <v>2785</v>
      </c>
      <c r="O176" s="17">
        <v>4366</v>
      </c>
      <c r="P176" s="17">
        <v>198</v>
      </c>
      <c r="Q176" s="17">
        <v>164</v>
      </c>
      <c r="R176" s="17">
        <v>4559</v>
      </c>
      <c r="S176" s="17">
        <v>1264</v>
      </c>
      <c r="T176" s="17">
        <v>5083</v>
      </c>
      <c r="U176" s="17">
        <v>31902</v>
      </c>
      <c r="V176" s="17">
        <f t="shared" si="111"/>
        <v>38467</v>
      </c>
      <c r="W176" s="18">
        <v>32665</v>
      </c>
      <c r="X176" s="19">
        <v>34112</v>
      </c>
      <c r="Y176" s="19">
        <v>9756</v>
      </c>
      <c r="Z176" s="19">
        <v>4167.7805423451218</v>
      </c>
      <c r="AA176" s="19">
        <v>3921.049410293067</v>
      </c>
      <c r="AB176" s="19">
        <v>7120.5569496022908</v>
      </c>
      <c r="AC176" s="17">
        <v>0</v>
      </c>
      <c r="AD176" s="17">
        <v>0</v>
      </c>
      <c r="AE176" s="19">
        <v>4956.4306893995554</v>
      </c>
      <c r="AF176" s="19">
        <v>2257</v>
      </c>
      <c r="AG176" s="24">
        <v>21445.182408359971</v>
      </c>
      <c r="AH176" s="17">
        <f t="shared" si="112"/>
        <v>5802</v>
      </c>
      <c r="AI176" s="20">
        <v>5592</v>
      </c>
      <c r="AJ176" s="21">
        <v>52100</v>
      </c>
      <c r="AK176" s="22">
        <v>98190</v>
      </c>
      <c r="AL176" s="22">
        <v>109120</v>
      </c>
      <c r="AM176" s="16">
        <v>108.5</v>
      </c>
      <c r="AN176" s="23">
        <f t="shared" si="78"/>
        <v>10178.799999999999</v>
      </c>
      <c r="AO176" s="23">
        <f t="shared" si="79"/>
        <v>4986.18</v>
      </c>
      <c r="AP176" s="23">
        <f t="shared" si="80"/>
        <v>352.07</v>
      </c>
      <c r="AQ176" s="23">
        <f t="shared" si="81"/>
        <v>311.52</v>
      </c>
      <c r="AR176" s="23">
        <f t="shared" si="82"/>
        <v>0</v>
      </c>
      <c r="AS176" s="23">
        <f t="shared" si="83"/>
        <v>2635.02</v>
      </c>
      <c r="AT176" s="23">
        <f t="shared" si="84"/>
        <v>0</v>
      </c>
      <c r="AU176" s="23">
        <f t="shared" si="85"/>
        <v>13.82</v>
      </c>
      <c r="AV176" s="23">
        <f t="shared" si="86"/>
        <v>0</v>
      </c>
      <c r="AW176" s="23">
        <f t="shared" si="87"/>
        <v>0</v>
      </c>
      <c r="AX176" s="23">
        <f t="shared" si="88"/>
        <v>0</v>
      </c>
      <c r="AY176" s="23">
        <f t="shared" si="89"/>
        <v>0</v>
      </c>
      <c r="AZ176" s="23">
        <f t="shared" si="90"/>
        <v>2566.8200000000002</v>
      </c>
      <c r="BA176" s="23">
        <f t="shared" si="91"/>
        <v>4023.96</v>
      </c>
      <c r="BB176" s="23">
        <f t="shared" si="92"/>
        <v>182.49</v>
      </c>
      <c r="BC176" s="23">
        <f t="shared" si="93"/>
        <v>151.15</v>
      </c>
      <c r="BD176" s="23">
        <f t="shared" si="94"/>
        <v>4201.84</v>
      </c>
      <c r="BE176" s="23">
        <f t="shared" si="95"/>
        <v>1164.98</v>
      </c>
      <c r="BF176" s="23">
        <f t="shared" si="96"/>
        <v>4684.79</v>
      </c>
      <c r="BG176" s="23">
        <f t="shared" si="97"/>
        <v>29402.76</v>
      </c>
      <c r="BH176" s="23">
        <f t="shared" si="98"/>
        <v>35453.46</v>
      </c>
      <c r="BI176" s="23">
        <f t="shared" si="99"/>
        <v>30105.99</v>
      </c>
      <c r="BJ176" s="23">
        <f t="shared" si="100"/>
        <v>31439.63</v>
      </c>
      <c r="BK176" s="23">
        <f t="shared" si="101"/>
        <v>8991.7099999999991</v>
      </c>
      <c r="BL176" s="23">
        <f t="shared" si="102"/>
        <v>3841.27</v>
      </c>
      <c r="BM176" s="23">
        <f t="shared" si="103"/>
        <v>3613.87</v>
      </c>
      <c r="BN176" s="23">
        <f t="shared" si="104"/>
        <v>6562.73</v>
      </c>
      <c r="BO176" s="23">
        <f t="shared" si="105"/>
        <v>0</v>
      </c>
      <c r="BP176" s="23">
        <f t="shared" si="106"/>
        <v>0</v>
      </c>
      <c r="BQ176" s="23">
        <f t="shared" si="107"/>
        <v>4568.1400000000003</v>
      </c>
      <c r="BR176" s="23">
        <f t="shared" si="108"/>
        <v>2080.1799999999998</v>
      </c>
      <c r="BS176" s="23">
        <f t="shared" si="109"/>
        <v>19765.150000000001</v>
      </c>
      <c r="BT176" s="23">
        <f t="shared" si="114"/>
        <v>5347.47</v>
      </c>
      <c r="BU176" s="23">
        <f t="shared" si="114"/>
        <v>5153.92</v>
      </c>
      <c r="BV176" s="23">
        <f t="shared" si="114"/>
        <v>48018.43</v>
      </c>
      <c r="BW176" s="23">
        <f t="shared" si="114"/>
        <v>90497.7</v>
      </c>
      <c r="BX176" s="23">
        <f t="shared" si="114"/>
        <v>100571.43</v>
      </c>
      <c r="BY176" t="s">
        <v>273</v>
      </c>
      <c r="CE176" t="s">
        <v>267</v>
      </c>
      <c r="CF176" t="s">
        <v>266</v>
      </c>
      <c r="CG176" t="s">
        <v>266</v>
      </c>
      <c r="CH176" t="s">
        <v>266</v>
      </c>
      <c r="CI176" t="s">
        <v>266</v>
      </c>
      <c r="CJ176" t="s">
        <v>266</v>
      </c>
      <c r="CK176" t="s">
        <v>267</v>
      </c>
      <c r="CL176" t="s">
        <v>267</v>
      </c>
      <c r="CM176" t="s">
        <v>267</v>
      </c>
      <c r="CN176" t="s">
        <v>267</v>
      </c>
      <c r="CO176" t="s">
        <v>267</v>
      </c>
    </row>
    <row r="177" spans="1:93" x14ac:dyDescent="0.25">
      <c r="A177" s="2" t="s">
        <v>183</v>
      </c>
      <c r="B177" s="17">
        <v>15375</v>
      </c>
      <c r="C177" s="17">
        <v>7173</v>
      </c>
      <c r="D177" s="17">
        <v>387</v>
      </c>
      <c r="E177" s="17">
        <v>329</v>
      </c>
      <c r="F177" s="17">
        <v>0</v>
      </c>
      <c r="G177" s="17">
        <v>1996</v>
      </c>
      <c r="H177" s="17">
        <v>0</v>
      </c>
      <c r="I177" s="17">
        <v>20</v>
      </c>
      <c r="J177" s="17">
        <v>0</v>
      </c>
      <c r="K177" s="17">
        <v>0</v>
      </c>
      <c r="L177" s="17">
        <v>0</v>
      </c>
      <c r="M177" s="17">
        <v>0</v>
      </c>
      <c r="N177" s="17">
        <v>3707</v>
      </c>
      <c r="O177" s="17">
        <v>5208</v>
      </c>
      <c r="P177" s="17">
        <v>283</v>
      </c>
      <c r="Q177" s="17">
        <v>234</v>
      </c>
      <c r="R177" s="17">
        <v>5679</v>
      </c>
      <c r="S177" s="17">
        <v>1696</v>
      </c>
      <c r="T177" s="17">
        <v>6629</v>
      </c>
      <c r="U177" s="17">
        <v>40306</v>
      </c>
      <c r="V177" s="17">
        <f t="shared" si="111"/>
        <v>48716</v>
      </c>
      <c r="W177" s="18">
        <v>43234</v>
      </c>
      <c r="X177" s="19">
        <v>43885</v>
      </c>
      <c r="Y177" s="19">
        <v>12213.000000000002</v>
      </c>
      <c r="Z177" s="19">
        <v>5195.363925545651</v>
      </c>
      <c r="AA177" s="19">
        <v>5078.5864903502506</v>
      </c>
      <c r="AB177" s="19">
        <v>9633.6414119118908</v>
      </c>
      <c r="AC177" s="17">
        <v>0</v>
      </c>
      <c r="AD177" s="17">
        <v>0</v>
      </c>
      <c r="AE177" s="19">
        <v>6552.0385470719057</v>
      </c>
      <c r="AF177" s="19">
        <v>2840</v>
      </c>
      <c r="AG177" s="24">
        <v>26798.369625120307</v>
      </c>
      <c r="AH177" s="17">
        <f t="shared" si="112"/>
        <v>5482</v>
      </c>
      <c r="AI177" s="20">
        <v>7651</v>
      </c>
      <c r="AJ177" s="21">
        <v>64700</v>
      </c>
      <c r="AK177" s="22">
        <v>120851</v>
      </c>
      <c r="AL177" s="22">
        <v>131165</v>
      </c>
      <c r="AM177" s="16">
        <v>134.80000000000001</v>
      </c>
      <c r="AN177" s="23">
        <f t="shared" si="78"/>
        <v>11405.79</v>
      </c>
      <c r="AO177" s="23">
        <f t="shared" si="79"/>
        <v>5321.22</v>
      </c>
      <c r="AP177" s="23">
        <f t="shared" si="80"/>
        <v>287.08999999999997</v>
      </c>
      <c r="AQ177" s="23">
        <f t="shared" si="81"/>
        <v>244.07</v>
      </c>
      <c r="AR177" s="23">
        <f t="shared" si="82"/>
        <v>0</v>
      </c>
      <c r="AS177" s="23">
        <f t="shared" si="83"/>
        <v>1480.71</v>
      </c>
      <c r="AT177" s="23">
        <f t="shared" si="84"/>
        <v>0</v>
      </c>
      <c r="AU177" s="23">
        <f t="shared" si="85"/>
        <v>14.84</v>
      </c>
      <c r="AV177" s="23">
        <f t="shared" si="86"/>
        <v>0</v>
      </c>
      <c r="AW177" s="23">
        <f t="shared" si="87"/>
        <v>0</v>
      </c>
      <c r="AX177" s="23">
        <f t="shared" si="88"/>
        <v>0</v>
      </c>
      <c r="AY177" s="23">
        <f t="shared" si="89"/>
        <v>0</v>
      </c>
      <c r="AZ177" s="23">
        <f t="shared" si="90"/>
        <v>2750</v>
      </c>
      <c r="BA177" s="23">
        <f t="shared" si="91"/>
        <v>3863.5</v>
      </c>
      <c r="BB177" s="23">
        <f t="shared" si="92"/>
        <v>209.94</v>
      </c>
      <c r="BC177" s="23">
        <f t="shared" si="93"/>
        <v>173.59</v>
      </c>
      <c r="BD177" s="23">
        <f t="shared" si="94"/>
        <v>4212.91</v>
      </c>
      <c r="BE177" s="23">
        <f t="shared" si="95"/>
        <v>1258.1600000000001</v>
      </c>
      <c r="BF177" s="23">
        <f t="shared" si="96"/>
        <v>4917.66</v>
      </c>
      <c r="BG177" s="23">
        <f t="shared" si="97"/>
        <v>29900.59</v>
      </c>
      <c r="BH177" s="23">
        <f t="shared" si="98"/>
        <v>36139.47</v>
      </c>
      <c r="BI177" s="23">
        <f t="shared" si="99"/>
        <v>32072.7</v>
      </c>
      <c r="BJ177" s="23">
        <f t="shared" si="100"/>
        <v>32555.64</v>
      </c>
      <c r="BK177" s="23">
        <f t="shared" si="101"/>
        <v>9060.09</v>
      </c>
      <c r="BL177" s="23">
        <f t="shared" si="102"/>
        <v>3854.13</v>
      </c>
      <c r="BM177" s="23">
        <f t="shared" si="103"/>
        <v>3767.5</v>
      </c>
      <c r="BN177" s="23">
        <f t="shared" si="104"/>
        <v>7146.62</v>
      </c>
      <c r="BO177" s="23">
        <f t="shared" si="105"/>
        <v>0</v>
      </c>
      <c r="BP177" s="23">
        <f t="shared" si="106"/>
        <v>0</v>
      </c>
      <c r="BQ177" s="23">
        <f t="shared" si="107"/>
        <v>4860.5600000000004</v>
      </c>
      <c r="BR177" s="23">
        <f t="shared" si="108"/>
        <v>2106.8200000000002</v>
      </c>
      <c r="BS177" s="23">
        <f t="shared" si="109"/>
        <v>19880.099999999999</v>
      </c>
      <c r="BT177" s="23">
        <f t="shared" si="114"/>
        <v>4066.77</v>
      </c>
      <c r="BU177" s="23">
        <f t="shared" si="114"/>
        <v>5675.82</v>
      </c>
      <c r="BV177" s="23">
        <f t="shared" si="114"/>
        <v>47997.03</v>
      </c>
      <c r="BW177" s="23">
        <f t="shared" si="114"/>
        <v>89652.08</v>
      </c>
      <c r="BX177" s="23">
        <f t="shared" si="114"/>
        <v>97303.41</v>
      </c>
      <c r="BY177" t="s">
        <v>273</v>
      </c>
      <c r="CE177" t="s">
        <v>267</v>
      </c>
      <c r="CF177" t="s">
        <v>266</v>
      </c>
      <c r="CG177" t="s">
        <v>266</v>
      </c>
      <c r="CH177" t="s">
        <v>266</v>
      </c>
      <c r="CI177" t="s">
        <v>266</v>
      </c>
      <c r="CJ177" t="s">
        <v>266</v>
      </c>
      <c r="CK177" t="s">
        <v>267</v>
      </c>
      <c r="CL177" t="s">
        <v>267</v>
      </c>
      <c r="CM177" t="s">
        <v>267</v>
      </c>
      <c r="CN177" t="s">
        <v>267</v>
      </c>
      <c r="CO177" t="s">
        <v>267</v>
      </c>
    </row>
    <row r="178" spans="1:93" x14ac:dyDescent="0.25">
      <c r="A178" s="2" t="s">
        <v>184</v>
      </c>
      <c r="B178" s="17">
        <v>17293</v>
      </c>
      <c r="C178" s="17">
        <v>8833</v>
      </c>
      <c r="D178" s="17">
        <v>324</v>
      </c>
      <c r="E178" s="17">
        <v>384</v>
      </c>
      <c r="F178" s="17">
        <v>0</v>
      </c>
      <c r="G178" s="17">
        <v>2655</v>
      </c>
      <c r="H178" s="17">
        <v>0</v>
      </c>
      <c r="I178" s="17">
        <v>71</v>
      </c>
      <c r="J178" s="17">
        <v>0</v>
      </c>
      <c r="K178" s="17">
        <v>0</v>
      </c>
      <c r="L178" s="17">
        <v>0</v>
      </c>
      <c r="M178" s="17">
        <v>0</v>
      </c>
      <c r="N178" s="17">
        <v>3960</v>
      </c>
      <c r="O178" s="17">
        <v>6350</v>
      </c>
      <c r="P178" s="17">
        <v>271</v>
      </c>
      <c r="Q178" s="17">
        <v>249</v>
      </c>
      <c r="R178" s="17">
        <v>6533</v>
      </c>
      <c r="S178" s="17">
        <v>1868</v>
      </c>
      <c r="T178" s="17">
        <v>8586</v>
      </c>
      <c r="U178" s="17">
        <v>46543</v>
      </c>
      <c r="V178" s="17">
        <f t="shared" si="111"/>
        <v>57377</v>
      </c>
      <c r="W178" s="18">
        <v>49652</v>
      </c>
      <c r="X178" s="19">
        <v>51232</v>
      </c>
      <c r="Y178" s="19">
        <v>12866</v>
      </c>
      <c r="Z178" s="19">
        <v>6100.1543258480033</v>
      </c>
      <c r="AA178" s="19">
        <v>5901.4899035025019</v>
      </c>
      <c r="AB178" s="19">
        <v>11466.588806981499</v>
      </c>
      <c r="AC178" s="17">
        <v>0</v>
      </c>
      <c r="AD178" s="17">
        <v>0</v>
      </c>
      <c r="AE178" s="19">
        <v>7298.647146034099</v>
      </c>
      <c r="AF178" s="19">
        <v>3833</v>
      </c>
      <c r="AG178" s="24">
        <v>29498.119817633898</v>
      </c>
      <c r="AH178" s="17">
        <f t="shared" si="112"/>
        <v>7725</v>
      </c>
      <c r="AI178" s="20">
        <v>7004</v>
      </c>
      <c r="AJ178" s="21">
        <v>73600</v>
      </c>
      <c r="AK178" s="22">
        <v>142088</v>
      </c>
      <c r="AL178" s="22">
        <v>154027</v>
      </c>
      <c r="AM178" s="16">
        <v>157.1</v>
      </c>
      <c r="AN178" s="23">
        <f t="shared" si="78"/>
        <v>11007.64</v>
      </c>
      <c r="AO178" s="23">
        <f t="shared" si="79"/>
        <v>5622.53</v>
      </c>
      <c r="AP178" s="23">
        <f t="shared" si="80"/>
        <v>206.24</v>
      </c>
      <c r="AQ178" s="23">
        <f t="shared" si="81"/>
        <v>244.43</v>
      </c>
      <c r="AR178" s="23">
        <f t="shared" si="82"/>
        <v>0</v>
      </c>
      <c r="AS178" s="23">
        <f t="shared" si="83"/>
        <v>1690.01</v>
      </c>
      <c r="AT178" s="23">
        <f t="shared" si="84"/>
        <v>0</v>
      </c>
      <c r="AU178" s="23">
        <f t="shared" si="85"/>
        <v>45.19</v>
      </c>
      <c r="AV178" s="23">
        <f t="shared" si="86"/>
        <v>0</v>
      </c>
      <c r="AW178" s="23">
        <f t="shared" si="87"/>
        <v>0</v>
      </c>
      <c r="AX178" s="23">
        <f t="shared" si="88"/>
        <v>0</v>
      </c>
      <c r="AY178" s="23">
        <f t="shared" si="89"/>
        <v>0</v>
      </c>
      <c r="AZ178" s="23">
        <f t="shared" si="90"/>
        <v>2520.69</v>
      </c>
      <c r="BA178" s="23">
        <f t="shared" si="91"/>
        <v>4042.01</v>
      </c>
      <c r="BB178" s="23">
        <f t="shared" si="92"/>
        <v>172.5</v>
      </c>
      <c r="BC178" s="23">
        <f t="shared" si="93"/>
        <v>158.5</v>
      </c>
      <c r="BD178" s="23">
        <f t="shared" si="94"/>
        <v>4158.5</v>
      </c>
      <c r="BE178" s="23">
        <f t="shared" si="95"/>
        <v>1189.05</v>
      </c>
      <c r="BF178" s="23">
        <f t="shared" si="96"/>
        <v>5465.31</v>
      </c>
      <c r="BG178" s="23">
        <f t="shared" si="97"/>
        <v>29626.35</v>
      </c>
      <c r="BH178" s="23">
        <f t="shared" si="98"/>
        <v>36522.6</v>
      </c>
      <c r="BI178" s="23">
        <f t="shared" si="99"/>
        <v>31605.35</v>
      </c>
      <c r="BJ178" s="23">
        <f t="shared" si="100"/>
        <v>32611.08</v>
      </c>
      <c r="BK178" s="23">
        <f t="shared" si="101"/>
        <v>8189.69</v>
      </c>
      <c r="BL178" s="23">
        <f t="shared" si="102"/>
        <v>3882.98</v>
      </c>
      <c r="BM178" s="23">
        <f t="shared" si="103"/>
        <v>3756.52</v>
      </c>
      <c r="BN178" s="23">
        <f t="shared" si="104"/>
        <v>7298.91</v>
      </c>
      <c r="BO178" s="23">
        <f t="shared" si="105"/>
        <v>0</v>
      </c>
      <c r="BP178" s="23">
        <f t="shared" si="106"/>
        <v>0</v>
      </c>
      <c r="BQ178" s="23">
        <f t="shared" si="107"/>
        <v>4645.8599999999997</v>
      </c>
      <c r="BR178" s="23">
        <f t="shared" si="108"/>
        <v>2439.85</v>
      </c>
      <c r="BS178" s="23">
        <f t="shared" si="109"/>
        <v>18776.650000000001</v>
      </c>
      <c r="BT178" s="23">
        <f t="shared" ref="BT178:BX193" si="115">_xlfn.SINGLE(ROUND((AH178/$AM178)*100,2))</f>
        <v>4917.25</v>
      </c>
      <c r="BU178" s="23">
        <f t="shared" si="115"/>
        <v>4458.3100000000004</v>
      </c>
      <c r="BV178" s="23">
        <f t="shared" si="115"/>
        <v>46849.14</v>
      </c>
      <c r="BW178" s="23">
        <f t="shared" si="115"/>
        <v>90444.3</v>
      </c>
      <c r="BX178" s="23">
        <f t="shared" si="115"/>
        <v>98043.92</v>
      </c>
      <c r="BY178" t="s">
        <v>273</v>
      </c>
      <c r="CE178" t="s">
        <v>267</v>
      </c>
      <c r="CF178" t="s">
        <v>266</v>
      </c>
      <c r="CG178" t="s">
        <v>266</v>
      </c>
      <c r="CH178" t="s">
        <v>266</v>
      </c>
      <c r="CI178" t="s">
        <v>266</v>
      </c>
      <c r="CJ178" t="s">
        <v>266</v>
      </c>
      <c r="CK178" t="s">
        <v>267</v>
      </c>
      <c r="CL178" t="s">
        <v>267</v>
      </c>
      <c r="CM178" t="s">
        <v>267</v>
      </c>
      <c r="CN178" t="s">
        <v>267</v>
      </c>
      <c r="CO178" t="s">
        <v>267</v>
      </c>
    </row>
    <row r="179" spans="1:93" x14ac:dyDescent="0.25">
      <c r="A179" s="2" t="s">
        <v>185</v>
      </c>
      <c r="B179" s="17">
        <v>17571</v>
      </c>
      <c r="C179" s="17">
        <v>9751</v>
      </c>
      <c r="D179" s="17">
        <v>340</v>
      </c>
      <c r="E179" s="17">
        <v>399</v>
      </c>
      <c r="F179" s="17">
        <v>0</v>
      </c>
      <c r="G179" s="17">
        <v>3344</v>
      </c>
      <c r="H179" s="17">
        <v>0</v>
      </c>
      <c r="I179" s="17">
        <v>228</v>
      </c>
      <c r="J179" s="17">
        <v>0</v>
      </c>
      <c r="K179" s="17">
        <v>0</v>
      </c>
      <c r="L179" s="17">
        <v>0</v>
      </c>
      <c r="M179" s="17">
        <v>0</v>
      </c>
      <c r="N179" s="17">
        <v>4591</v>
      </c>
      <c r="O179" s="17">
        <v>7142</v>
      </c>
      <c r="P179" s="17">
        <v>376</v>
      </c>
      <c r="Q179" s="17">
        <v>287</v>
      </c>
      <c r="R179" s="17">
        <v>8559</v>
      </c>
      <c r="S179" s="17">
        <v>2247</v>
      </c>
      <c r="T179" s="17">
        <v>9211</v>
      </c>
      <c r="U179" s="17">
        <v>52516</v>
      </c>
      <c r="V179" s="17">
        <f t="shared" si="111"/>
        <v>64046</v>
      </c>
      <c r="W179" s="18">
        <v>56002</v>
      </c>
      <c r="X179" s="19">
        <v>57540.000000000007</v>
      </c>
      <c r="Y179" s="19">
        <v>12628</v>
      </c>
      <c r="Z179" s="19">
        <v>6746.6725457465891</v>
      </c>
      <c r="AA179" s="19">
        <v>6589.8255450321667</v>
      </c>
      <c r="AB179" s="19">
        <v>13790.94525358186</v>
      </c>
      <c r="AC179" s="17">
        <v>0</v>
      </c>
      <c r="AD179" s="17">
        <v>0</v>
      </c>
      <c r="AE179" s="19">
        <v>8233.8954781319499</v>
      </c>
      <c r="AF179" s="19">
        <v>4692</v>
      </c>
      <c r="AG179" s="24">
        <v>30114.661177507438</v>
      </c>
      <c r="AH179" s="17">
        <f t="shared" si="112"/>
        <v>8044</v>
      </c>
      <c r="AI179" s="20">
        <v>6424</v>
      </c>
      <c r="AJ179" s="21">
        <v>79500</v>
      </c>
      <c r="AK179" s="22">
        <v>166127</v>
      </c>
      <c r="AL179" s="22">
        <v>179407</v>
      </c>
      <c r="AM179" s="16">
        <v>182</v>
      </c>
      <c r="AN179" s="23">
        <f t="shared" si="78"/>
        <v>9654.4</v>
      </c>
      <c r="AO179" s="23">
        <f t="shared" si="79"/>
        <v>5357.69</v>
      </c>
      <c r="AP179" s="23">
        <f t="shared" si="80"/>
        <v>186.81</v>
      </c>
      <c r="AQ179" s="23">
        <f t="shared" si="81"/>
        <v>219.23</v>
      </c>
      <c r="AR179" s="23">
        <f t="shared" si="82"/>
        <v>0</v>
      </c>
      <c r="AS179" s="23">
        <f t="shared" si="83"/>
        <v>1837.36</v>
      </c>
      <c r="AT179" s="23">
        <f t="shared" si="84"/>
        <v>0</v>
      </c>
      <c r="AU179" s="23">
        <f t="shared" si="85"/>
        <v>125.27</v>
      </c>
      <c r="AV179" s="23">
        <f t="shared" si="86"/>
        <v>0</v>
      </c>
      <c r="AW179" s="23">
        <f t="shared" si="87"/>
        <v>0</v>
      </c>
      <c r="AX179" s="23">
        <f t="shared" si="88"/>
        <v>0</v>
      </c>
      <c r="AY179" s="23">
        <f t="shared" si="89"/>
        <v>0</v>
      </c>
      <c r="AZ179" s="23">
        <f t="shared" si="90"/>
        <v>2522.5300000000002</v>
      </c>
      <c r="BA179" s="23">
        <f t="shared" si="91"/>
        <v>3924.18</v>
      </c>
      <c r="BB179" s="23">
        <f t="shared" si="92"/>
        <v>206.59</v>
      </c>
      <c r="BC179" s="23">
        <f t="shared" si="93"/>
        <v>157.69</v>
      </c>
      <c r="BD179" s="23">
        <f t="shared" si="94"/>
        <v>4702.75</v>
      </c>
      <c r="BE179" s="23">
        <f t="shared" si="95"/>
        <v>1234.6199999999999</v>
      </c>
      <c r="BF179" s="23">
        <f t="shared" si="96"/>
        <v>5060.99</v>
      </c>
      <c r="BG179" s="23">
        <f t="shared" si="97"/>
        <v>28854.95</v>
      </c>
      <c r="BH179" s="23">
        <f t="shared" si="98"/>
        <v>35190.11</v>
      </c>
      <c r="BI179" s="23">
        <f t="shared" si="99"/>
        <v>30770.33</v>
      </c>
      <c r="BJ179" s="23">
        <f t="shared" si="100"/>
        <v>31615.38</v>
      </c>
      <c r="BK179" s="23">
        <f t="shared" si="101"/>
        <v>6938.46</v>
      </c>
      <c r="BL179" s="23">
        <f t="shared" si="102"/>
        <v>3706.96</v>
      </c>
      <c r="BM179" s="23">
        <f t="shared" si="103"/>
        <v>3620.78</v>
      </c>
      <c r="BN179" s="23">
        <f t="shared" si="104"/>
        <v>7577.44</v>
      </c>
      <c r="BO179" s="23">
        <f t="shared" si="105"/>
        <v>0</v>
      </c>
      <c r="BP179" s="23">
        <f t="shared" si="106"/>
        <v>0</v>
      </c>
      <c r="BQ179" s="23">
        <f t="shared" si="107"/>
        <v>4524.12</v>
      </c>
      <c r="BR179" s="23">
        <f t="shared" si="108"/>
        <v>2578.02</v>
      </c>
      <c r="BS179" s="23">
        <f t="shared" si="109"/>
        <v>16546.52</v>
      </c>
      <c r="BT179" s="23">
        <f t="shared" si="115"/>
        <v>4419.78</v>
      </c>
      <c r="BU179" s="23">
        <f t="shared" si="115"/>
        <v>3529.67</v>
      </c>
      <c r="BV179" s="23">
        <f t="shared" si="115"/>
        <v>43681.32</v>
      </c>
      <c r="BW179" s="23">
        <f t="shared" si="115"/>
        <v>91278.57</v>
      </c>
      <c r="BX179" s="23">
        <f t="shared" si="115"/>
        <v>98575.27</v>
      </c>
      <c r="BY179" t="s">
        <v>273</v>
      </c>
      <c r="CE179" t="s">
        <v>267</v>
      </c>
      <c r="CF179" t="s">
        <v>266</v>
      </c>
      <c r="CG179" t="s">
        <v>266</v>
      </c>
      <c r="CH179" t="s">
        <v>266</v>
      </c>
      <c r="CI179" t="s">
        <v>266</v>
      </c>
      <c r="CJ179" t="s">
        <v>266</v>
      </c>
      <c r="CK179" t="s">
        <v>267</v>
      </c>
      <c r="CL179" t="s">
        <v>267</v>
      </c>
      <c r="CM179" t="s">
        <v>267</v>
      </c>
      <c r="CN179" t="s">
        <v>267</v>
      </c>
      <c r="CO179" t="s">
        <v>267</v>
      </c>
    </row>
    <row r="180" spans="1:93" x14ac:dyDescent="0.25">
      <c r="A180" s="2" t="s">
        <v>186</v>
      </c>
      <c r="B180" s="17">
        <v>19214</v>
      </c>
      <c r="C180" s="17">
        <v>10238</v>
      </c>
      <c r="D180" s="17">
        <v>353</v>
      </c>
      <c r="E180" s="17">
        <v>369</v>
      </c>
      <c r="F180" s="17">
        <v>0</v>
      </c>
      <c r="G180" s="17">
        <v>3940</v>
      </c>
      <c r="H180" s="17">
        <v>183</v>
      </c>
      <c r="I180" s="17">
        <v>289</v>
      </c>
      <c r="J180" s="17">
        <v>0</v>
      </c>
      <c r="K180" s="17">
        <v>0</v>
      </c>
      <c r="L180" s="17">
        <v>0</v>
      </c>
      <c r="M180" s="17">
        <v>0</v>
      </c>
      <c r="N180" s="17">
        <v>5060</v>
      </c>
      <c r="O180" s="17">
        <v>8049</v>
      </c>
      <c r="P180" s="17">
        <v>434</v>
      </c>
      <c r="Q180" s="17">
        <v>337</v>
      </c>
      <c r="R180" s="17">
        <v>10004</v>
      </c>
      <c r="S180" s="17">
        <v>2474</v>
      </c>
      <c r="T180" s="17">
        <v>10377</v>
      </c>
      <c r="U180" s="17">
        <v>58432</v>
      </c>
      <c r="V180" s="17">
        <f t="shared" si="111"/>
        <v>71321</v>
      </c>
      <c r="W180" s="18">
        <v>63630</v>
      </c>
      <c r="X180" s="19">
        <v>66106</v>
      </c>
      <c r="Y180" s="19">
        <v>13598</v>
      </c>
      <c r="Z180" s="19">
        <v>7680.4232804232815</v>
      </c>
      <c r="AA180" s="19">
        <v>7506.2544674767705</v>
      </c>
      <c r="AB180" s="19">
        <v>16376.278062148383</v>
      </c>
      <c r="AC180" s="19">
        <v>9638.8285976533043</v>
      </c>
      <c r="AD180" s="19">
        <v>6737.4494644950782</v>
      </c>
      <c r="AE180" s="19">
        <v>9456.8627450980403</v>
      </c>
      <c r="AF180" s="19">
        <v>5645</v>
      </c>
      <c r="AG180" s="24">
        <v>33039.181444853522</v>
      </c>
      <c r="AH180" s="17">
        <f t="shared" si="112"/>
        <v>7691</v>
      </c>
      <c r="AI180" s="20">
        <v>8685</v>
      </c>
      <c r="AJ180" s="21">
        <v>88600</v>
      </c>
      <c r="AK180" s="22">
        <v>192400</v>
      </c>
      <c r="AL180" s="22">
        <v>210106</v>
      </c>
      <c r="AM180" s="16">
        <v>197.1</v>
      </c>
      <c r="AN180" s="23">
        <f t="shared" si="78"/>
        <v>9748.35</v>
      </c>
      <c r="AO180" s="23">
        <f t="shared" si="79"/>
        <v>5194.32</v>
      </c>
      <c r="AP180" s="23">
        <f t="shared" si="80"/>
        <v>179.1</v>
      </c>
      <c r="AQ180" s="23">
        <f t="shared" si="81"/>
        <v>187.21</v>
      </c>
      <c r="AR180" s="23">
        <f t="shared" si="82"/>
        <v>0</v>
      </c>
      <c r="AS180" s="23">
        <f t="shared" si="83"/>
        <v>1998.99</v>
      </c>
      <c r="AT180" s="23">
        <f t="shared" si="84"/>
        <v>92.85</v>
      </c>
      <c r="AU180" s="23">
        <f t="shared" si="85"/>
        <v>146.63</v>
      </c>
      <c r="AV180" s="23">
        <f t="shared" si="86"/>
        <v>0</v>
      </c>
      <c r="AW180" s="23">
        <f t="shared" si="87"/>
        <v>0</v>
      </c>
      <c r="AX180" s="23">
        <f t="shared" si="88"/>
        <v>0</v>
      </c>
      <c r="AY180" s="23">
        <f t="shared" si="89"/>
        <v>0</v>
      </c>
      <c r="AZ180" s="23">
        <f t="shared" si="90"/>
        <v>2567.2199999999998</v>
      </c>
      <c r="BA180" s="23">
        <f t="shared" si="91"/>
        <v>4083.71</v>
      </c>
      <c r="BB180" s="23">
        <f t="shared" si="92"/>
        <v>220.19</v>
      </c>
      <c r="BC180" s="23">
        <f t="shared" si="93"/>
        <v>170.98</v>
      </c>
      <c r="BD180" s="23">
        <f t="shared" si="94"/>
        <v>5075.6000000000004</v>
      </c>
      <c r="BE180" s="23">
        <f t="shared" si="95"/>
        <v>1255.2</v>
      </c>
      <c r="BF180" s="23">
        <f t="shared" si="96"/>
        <v>5264.84</v>
      </c>
      <c r="BG180" s="23">
        <f t="shared" si="97"/>
        <v>29645.87</v>
      </c>
      <c r="BH180" s="23">
        <f t="shared" si="98"/>
        <v>36185.19</v>
      </c>
      <c r="BI180" s="23">
        <f t="shared" si="99"/>
        <v>32283.11</v>
      </c>
      <c r="BJ180" s="23">
        <f t="shared" si="100"/>
        <v>33539.32</v>
      </c>
      <c r="BK180" s="23">
        <f t="shared" si="101"/>
        <v>6899.04</v>
      </c>
      <c r="BL180" s="23">
        <f t="shared" si="102"/>
        <v>3896.71</v>
      </c>
      <c r="BM180" s="23">
        <f t="shared" si="103"/>
        <v>3808.35</v>
      </c>
      <c r="BN180" s="23">
        <f t="shared" si="104"/>
        <v>8308.61</v>
      </c>
      <c r="BO180" s="23">
        <f t="shared" si="105"/>
        <v>4890.32</v>
      </c>
      <c r="BP180" s="23">
        <f t="shared" si="106"/>
        <v>3418.29</v>
      </c>
      <c r="BQ180" s="23">
        <f t="shared" si="107"/>
        <v>4798</v>
      </c>
      <c r="BR180" s="23">
        <f t="shared" si="108"/>
        <v>2864.03</v>
      </c>
      <c r="BS180" s="23">
        <f t="shared" si="109"/>
        <v>16762.650000000001</v>
      </c>
      <c r="BT180" s="23">
        <f t="shared" si="115"/>
        <v>3902.08</v>
      </c>
      <c r="BU180" s="23">
        <f t="shared" si="115"/>
        <v>4406.3900000000003</v>
      </c>
      <c r="BV180" s="23">
        <f t="shared" si="115"/>
        <v>44951.8</v>
      </c>
      <c r="BW180" s="23">
        <f t="shared" si="115"/>
        <v>97615.42</v>
      </c>
      <c r="BX180" s="23">
        <f t="shared" si="115"/>
        <v>106598.68</v>
      </c>
      <c r="BY180" t="s">
        <v>273</v>
      </c>
      <c r="CE180" t="s">
        <v>267</v>
      </c>
      <c r="CF180" t="s">
        <v>266</v>
      </c>
      <c r="CG180" t="s">
        <v>266</v>
      </c>
      <c r="CH180" t="s">
        <v>266</v>
      </c>
      <c r="CI180" t="s">
        <v>266</v>
      </c>
      <c r="CJ180" t="s">
        <v>266</v>
      </c>
      <c r="CK180" t="s">
        <v>267</v>
      </c>
      <c r="CL180" t="s">
        <v>267</v>
      </c>
      <c r="CM180" t="s">
        <v>267</v>
      </c>
      <c r="CN180" t="s">
        <v>267</v>
      </c>
      <c r="CO180" t="s">
        <v>267</v>
      </c>
    </row>
    <row r="181" spans="1:93" x14ac:dyDescent="0.25">
      <c r="A181" s="2" t="s">
        <v>187</v>
      </c>
      <c r="B181" s="17">
        <v>21568</v>
      </c>
      <c r="C181" s="17">
        <v>12020</v>
      </c>
      <c r="D181" s="17">
        <v>431</v>
      </c>
      <c r="E181" s="17">
        <v>435</v>
      </c>
      <c r="F181" s="17">
        <v>0</v>
      </c>
      <c r="G181" s="17">
        <v>4646</v>
      </c>
      <c r="H181" s="17">
        <v>1435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17">
        <v>9642</v>
      </c>
      <c r="O181" s="17">
        <v>8830</v>
      </c>
      <c r="P181" s="17">
        <v>622</v>
      </c>
      <c r="Q181" s="17">
        <v>427</v>
      </c>
      <c r="R181" s="17">
        <v>12608</v>
      </c>
      <c r="S181" s="17">
        <v>2921</v>
      </c>
      <c r="T181" s="17">
        <v>11519</v>
      </c>
      <c r="U181" s="17">
        <v>72543</v>
      </c>
      <c r="V181" s="17">
        <f t="shared" si="111"/>
        <v>87104</v>
      </c>
      <c r="W181" s="18">
        <v>75849</v>
      </c>
      <c r="X181" s="19">
        <v>79600</v>
      </c>
      <c r="Y181" s="19">
        <v>15732</v>
      </c>
      <c r="Z181" s="19">
        <v>9499.4708994708999</v>
      </c>
      <c r="AA181" s="19">
        <v>8955.5669228020033</v>
      </c>
      <c r="AB181" s="19">
        <v>19372.415784643352</v>
      </c>
      <c r="AC181" s="19">
        <v>11110.247194140748</v>
      </c>
      <c r="AD181" s="19">
        <v>8262.1685905026043</v>
      </c>
      <c r="AE181" s="19">
        <v>10911.764705882353</v>
      </c>
      <c r="AF181" s="19">
        <v>6915</v>
      </c>
      <c r="AG181" s="24">
        <v>39677.781687201372</v>
      </c>
      <c r="AH181" s="17">
        <f t="shared" si="112"/>
        <v>11255</v>
      </c>
      <c r="AI181" s="20">
        <v>8546</v>
      </c>
      <c r="AJ181" s="21">
        <v>98200</v>
      </c>
      <c r="AK181" s="22">
        <v>232651</v>
      </c>
      <c r="AL181" s="22">
        <v>251372</v>
      </c>
      <c r="AM181" s="16">
        <v>223.5</v>
      </c>
      <c r="AN181" s="23">
        <f t="shared" si="78"/>
        <v>9650.11</v>
      </c>
      <c r="AO181" s="23">
        <f t="shared" si="79"/>
        <v>5378.08</v>
      </c>
      <c r="AP181" s="23">
        <f t="shared" si="80"/>
        <v>192.84</v>
      </c>
      <c r="AQ181" s="23">
        <f t="shared" si="81"/>
        <v>194.63</v>
      </c>
      <c r="AR181" s="23">
        <f t="shared" si="82"/>
        <v>0</v>
      </c>
      <c r="AS181" s="23">
        <f t="shared" si="83"/>
        <v>2078.75</v>
      </c>
      <c r="AT181" s="23">
        <f t="shared" si="84"/>
        <v>642.05999999999995</v>
      </c>
      <c r="AU181" s="23">
        <f t="shared" si="85"/>
        <v>0</v>
      </c>
      <c r="AV181" s="23">
        <f t="shared" si="86"/>
        <v>0</v>
      </c>
      <c r="AW181" s="23">
        <f t="shared" si="87"/>
        <v>0</v>
      </c>
      <c r="AX181" s="23">
        <f t="shared" si="88"/>
        <v>0</v>
      </c>
      <c r="AY181" s="23">
        <f t="shared" si="89"/>
        <v>0</v>
      </c>
      <c r="AZ181" s="23">
        <f t="shared" si="90"/>
        <v>4314.09</v>
      </c>
      <c r="BA181" s="23">
        <f t="shared" si="91"/>
        <v>3950.78</v>
      </c>
      <c r="BB181" s="23">
        <f t="shared" si="92"/>
        <v>278.3</v>
      </c>
      <c r="BC181" s="23">
        <f t="shared" si="93"/>
        <v>191.05</v>
      </c>
      <c r="BD181" s="23">
        <f t="shared" si="94"/>
        <v>5641.16</v>
      </c>
      <c r="BE181" s="23">
        <f t="shared" si="95"/>
        <v>1306.94</v>
      </c>
      <c r="BF181" s="23">
        <f t="shared" si="96"/>
        <v>5153.91</v>
      </c>
      <c r="BG181" s="23">
        <f t="shared" si="97"/>
        <v>32457.72</v>
      </c>
      <c r="BH181" s="23">
        <f t="shared" si="98"/>
        <v>38972.71</v>
      </c>
      <c r="BI181" s="23">
        <f t="shared" si="99"/>
        <v>33936.910000000003</v>
      </c>
      <c r="BJ181" s="23">
        <f t="shared" si="100"/>
        <v>35615.21</v>
      </c>
      <c r="BK181" s="23">
        <f t="shared" si="101"/>
        <v>7038.93</v>
      </c>
      <c r="BL181" s="23">
        <f t="shared" si="102"/>
        <v>4250.32</v>
      </c>
      <c r="BM181" s="23">
        <f t="shared" si="103"/>
        <v>4006.97</v>
      </c>
      <c r="BN181" s="23">
        <f t="shared" si="104"/>
        <v>8667.75</v>
      </c>
      <c r="BO181" s="23">
        <f t="shared" si="105"/>
        <v>4971.03</v>
      </c>
      <c r="BP181" s="23">
        <f t="shared" si="106"/>
        <v>3696.72</v>
      </c>
      <c r="BQ181" s="23">
        <f t="shared" si="107"/>
        <v>4882.22</v>
      </c>
      <c r="BR181" s="23">
        <f t="shared" si="108"/>
        <v>3093.96</v>
      </c>
      <c r="BS181" s="23">
        <f t="shared" si="109"/>
        <v>17752.919999999998</v>
      </c>
      <c r="BT181" s="23">
        <f t="shared" si="115"/>
        <v>5035.79</v>
      </c>
      <c r="BU181" s="23">
        <f t="shared" si="115"/>
        <v>3823.71</v>
      </c>
      <c r="BV181" s="23">
        <f t="shared" si="115"/>
        <v>43937.36</v>
      </c>
      <c r="BW181" s="23">
        <f t="shared" si="115"/>
        <v>104094.41</v>
      </c>
      <c r="BX181" s="23">
        <f t="shared" si="115"/>
        <v>112470.69</v>
      </c>
      <c r="BY181" t="s">
        <v>270</v>
      </c>
      <c r="CE181" t="s">
        <v>267</v>
      </c>
      <c r="CF181" t="s">
        <v>266</v>
      </c>
      <c r="CG181" t="s">
        <v>266</v>
      </c>
      <c r="CH181" t="s">
        <v>266</v>
      </c>
      <c r="CI181" t="s">
        <v>266</v>
      </c>
      <c r="CJ181" t="s">
        <v>266</v>
      </c>
      <c r="CK181" t="s">
        <v>267</v>
      </c>
      <c r="CL181" t="s">
        <v>267</v>
      </c>
      <c r="CM181" t="s">
        <v>267</v>
      </c>
      <c r="CN181" t="s">
        <v>267</v>
      </c>
      <c r="CO181" t="s">
        <v>267</v>
      </c>
    </row>
    <row r="182" spans="1:93" x14ac:dyDescent="0.25">
      <c r="A182" s="2" t="s">
        <v>188</v>
      </c>
      <c r="B182" s="17">
        <v>25506</v>
      </c>
      <c r="C182" s="17">
        <v>14400</v>
      </c>
      <c r="D182" s="17">
        <v>508</v>
      </c>
      <c r="E182" s="17">
        <v>452</v>
      </c>
      <c r="F182" s="17">
        <v>0</v>
      </c>
      <c r="G182" s="17">
        <v>4645</v>
      </c>
      <c r="H182" s="17">
        <v>2410</v>
      </c>
      <c r="I182" s="17">
        <v>0</v>
      </c>
      <c r="J182" s="17">
        <v>129</v>
      </c>
      <c r="K182" s="17">
        <v>0</v>
      </c>
      <c r="L182" s="17">
        <v>0</v>
      </c>
      <c r="M182" s="17">
        <v>0</v>
      </c>
      <c r="N182" s="17">
        <v>11830</v>
      </c>
      <c r="O182" s="17">
        <v>9935</v>
      </c>
      <c r="P182" s="17">
        <v>641</v>
      </c>
      <c r="Q182" s="17">
        <v>533</v>
      </c>
      <c r="R182" s="17">
        <v>15070</v>
      </c>
      <c r="S182" s="17">
        <v>3755</v>
      </c>
      <c r="T182" s="17">
        <v>13703</v>
      </c>
      <c r="U182" s="17">
        <v>85908</v>
      </c>
      <c r="V182" s="17">
        <f t="shared" si="111"/>
        <v>103517</v>
      </c>
      <c r="W182" s="18">
        <v>92837</v>
      </c>
      <c r="X182" s="19">
        <v>96846</v>
      </c>
      <c r="Y182" s="19">
        <v>17884.999999999996</v>
      </c>
      <c r="Z182" s="19">
        <v>11621.693121693124</v>
      </c>
      <c r="AA182" s="19">
        <v>11037.462919942818</v>
      </c>
      <c r="AB182" s="19">
        <v>23376.468903725945</v>
      </c>
      <c r="AC182" s="19">
        <v>13302.981700836988</v>
      </c>
      <c r="AD182" s="19">
        <v>10073.487202888959</v>
      </c>
      <c r="AE182" s="19">
        <v>13301.960784313727</v>
      </c>
      <c r="AF182" s="19">
        <v>8674</v>
      </c>
      <c r="AG182" s="24">
        <v>46719.414270324363</v>
      </c>
      <c r="AH182" s="17">
        <f t="shared" si="112"/>
        <v>10680</v>
      </c>
      <c r="AI182" s="20">
        <v>11537</v>
      </c>
      <c r="AJ182" s="21">
        <v>113800</v>
      </c>
      <c r="AK182" s="22">
        <v>267589</v>
      </c>
      <c r="AL182" s="22">
        <v>282242</v>
      </c>
      <c r="AM182" s="16">
        <v>263.7</v>
      </c>
      <c r="AN182" s="23">
        <f t="shared" si="78"/>
        <v>9672.35</v>
      </c>
      <c r="AO182" s="23">
        <f t="shared" si="79"/>
        <v>5460.75</v>
      </c>
      <c r="AP182" s="23">
        <f t="shared" si="80"/>
        <v>192.64</v>
      </c>
      <c r="AQ182" s="23">
        <f t="shared" si="81"/>
        <v>171.41</v>
      </c>
      <c r="AR182" s="23">
        <f t="shared" si="82"/>
        <v>0</v>
      </c>
      <c r="AS182" s="23">
        <f t="shared" si="83"/>
        <v>1761.47</v>
      </c>
      <c r="AT182" s="23">
        <f t="shared" si="84"/>
        <v>913.92</v>
      </c>
      <c r="AU182" s="23">
        <f t="shared" si="85"/>
        <v>0</v>
      </c>
      <c r="AV182" s="23">
        <f t="shared" si="86"/>
        <v>48.92</v>
      </c>
      <c r="AW182" s="23">
        <f t="shared" si="87"/>
        <v>0</v>
      </c>
      <c r="AX182" s="23">
        <f t="shared" si="88"/>
        <v>0</v>
      </c>
      <c r="AY182" s="23">
        <f t="shared" si="89"/>
        <v>0</v>
      </c>
      <c r="AZ182" s="23">
        <f t="shared" si="90"/>
        <v>4486.16</v>
      </c>
      <c r="BA182" s="23">
        <f t="shared" si="91"/>
        <v>3767.54</v>
      </c>
      <c r="BB182" s="23">
        <f t="shared" si="92"/>
        <v>243.08</v>
      </c>
      <c r="BC182" s="23">
        <f t="shared" si="93"/>
        <v>202.12</v>
      </c>
      <c r="BD182" s="23">
        <f t="shared" si="94"/>
        <v>5714.83</v>
      </c>
      <c r="BE182" s="23">
        <f t="shared" si="95"/>
        <v>1423.97</v>
      </c>
      <c r="BF182" s="23">
        <f t="shared" si="96"/>
        <v>5196.4399999999996</v>
      </c>
      <c r="BG182" s="23">
        <f t="shared" si="97"/>
        <v>32577.93</v>
      </c>
      <c r="BH182" s="23">
        <f t="shared" si="98"/>
        <v>39255.589999999997</v>
      </c>
      <c r="BI182" s="23">
        <f t="shared" si="99"/>
        <v>35205.54</v>
      </c>
      <c r="BJ182" s="23">
        <f t="shared" si="100"/>
        <v>36725.82</v>
      </c>
      <c r="BK182" s="23">
        <f t="shared" si="101"/>
        <v>6782.33</v>
      </c>
      <c r="BL182" s="23">
        <f t="shared" si="102"/>
        <v>4407.16</v>
      </c>
      <c r="BM182" s="23">
        <f t="shared" si="103"/>
        <v>4185.6099999999997</v>
      </c>
      <c r="BN182" s="23">
        <f t="shared" si="104"/>
        <v>8864.7999999999993</v>
      </c>
      <c r="BO182" s="23">
        <f t="shared" si="105"/>
        <v>5044.74</v>
      </c>
      <c r="BP182" s="23">
        <f t="shared" si="106"/>
        <v>3820.06</v>
      </c>
      <c r="BQ182" s="23">
        <f t="shared" si="107"/>
        <v>5044.3500000000004</v>
      </c>
      <c r="BR182" s="23">
        <f t="shared" si="108"/>
        <v>3289.34</v>
      </c>
      <c r="BS182" s="23">
        <f t="shared" si="109"/>
        <v>17716.88</v>
      </c>
      <c r="BT182" s="23">
        <f t="shared" si="115"/>
        <v>4050.06</v>
      </c>
      <c r="BU182" s="23">
        <f t="shared" si="115"/>
        <v>4375.05</v>
      </c>
      <c r="BV182" s="23">
        <f t="shared" si="115"/>
        <v>43155.1</v>
      </c>
      <c r="BW182" s="23">
        <f t="shared" si="115"/>
        <v>101474.78</v>
      </c>
      <c r="BX182" s="23">
        <f t="shared" si="115"/>
        <v>107031.48</v>
      </c>
      <c r="BY182" t="s">
        <v>270</v>
      </c>
      <c r="CE182" t="s">
        <v>267</v>
      </c>
      <c r="CF182" t="s">
        <v>266</v>
      </c>
      <c r="CG182" t="s">
        <v>266</v>
      </c>
      <c r="CH182" t="s">
        <v>266</v>
      </c>
      <c r="CI182" t="s">
        <v>266</v>
      </c>
      <c r="CJ182" t="s">
        <v>266</v>
      </c>
      <c r="CK182" t="s">
        <v>267</v>
      </c>
      <c r="CL182" t="s">
        <v>267</v>
      </c>
      <c r="CM182" t="s">
        <v>267</v>
      </c>
      <c r="CN182" t="s">
        <v>267</v>
      </c>
      <c r="CO182" t="s">
        <v>267</v>
      </c>
    </row>
    <row r="183" spans="1:93" x14ac:dyDescent="0.25">
      <c r="A183" s="2" t="s">
        <v>189</v>
      </c>
      <c r="B183" s="17">
        <v>31807</v>
      </c>
      <c r="C183" s="17">
        <v>16477</v>
      </c>
      <c r="D183" s="17">
        <v>526</v>
      </c>
      <c r="E183" s="17">
        <v>497</v>
      </c>
      <c r="F183" s="17">
        <v>0</v>
      </c>
      <c r="G183" s="17">
        <v>4930</v>
      </c>
      <c r="H183" s="17">
        <v>4415</v>
      </c>
      <c r="I183" s="17">
        <v>0</v>
      </c>
      <c r="J183" s="17">
        <v>394</v>
      </c>
      <c r="K183" s="17">
        <v>0</v>
      </c>
      <c r="L183" s="17">
        <v>0</v>
      </c>
      <c r="M183" s="17">
        <v>0</v>
      </c>
      <c r="N183" s="17">
        <v>12825</v>
      </c>
      <c r="O183" s="17">
        <v>12667</v>
      </c>
      <c r="P183" s="17">
        <v>797</v>
      </c>
      <c r="Q183" s="17">
        <v>602</v>
      </c>
      <c r="R183" s="17">
        <v>15053</v>
      </c>
      <c r="S183" s="17">
        <v>4524</v>
      </c>
      <c r="T183" s="17">
        <v>17010</v>
      </c>
      <c r="U183" s="17">
        <v>101480</v>
      </c>
      <c r="V183" s="17">
        <f t="shared" si="111"/>
        <v>122524</v>
      </c>
      <c r="W183" s="18">
        <v>109378</v>
      </c>
      <c r="X183" s="19">
        <v>110820</v>
      </c>
      <c r="Y183" s="19">
        <v>17334</v>
      </c>
      <c r="Z183" s="19">
        <v>12935.449735449736</v>
      </c>
      <c r="AA183" s="19">
        <v>12477.695228734812</v>
      </c>
      <c r="AB183" s="19">
        <v>28576.527840457707</v>
      </c>
      <c r="AC183" s="19">
        <v>15749.503083299152</v>
      </c>
      <c r="AD183" s="19">
        <v>12827.024757158555</v>
      </c>
      <c r="AE183" s="19">
        <v>14445.098039215689</v>
      </c>
      <c r="AF183" s="19">
        <v>10623</v>
      </c>
      <c r="AG183" s="24">
        <v>49096.229156142057</v>
      </c>
      <c r="AH183" s="17">
        <f t="shared" si="112"/>
        <v>13146</v>
      </c>
      <c r="AI183" s="20">
        <v>5999</v>
      </c>
      <c r="AJ183" s="21">
        <v>125200</v>
      </c>
      <c r="AK183" s="22">
        <v>298340</v>
      </c>
      <c r="AL183" s="22">
        <v>312915</v>
      </c>
      <c r="AM183" s="16">
        <v>295</v>
      </c>
      <c r="AN183" s="23">
        <f t="shared" si="78"/>
        <v>10782.03</v>
      </c>
      <c r="AO183" s="23">
        <f t="shared" si="79"/>
        <v>5585.42</v>
      </c>
      <c r="AP183" s="23">
        <f t="shared" si="80"/>
        <v>178.31</v>
      </c>
      <c r="AQ183" s="23">
        <f t="shared" si="81"/>
        <v>168.47</v>
      </c>
      <c r="AR183" s="23">
        <f t="shared" si="82"/>
        <v>0</v>
      </c>
      <c r="AS183" s="23">
        <f t="shared" si="83"/>
        <v>1671.19</v>
      </c>
      <c r="AT183" s="23">
        <f t="shared" si="84"/>
        <v>1496.61</v>
      </c>
      <c r="AU183" s="23">
        <f t="shared" si="85"/>
        <v>0</v>
      </c>
      <c r="AV183" s="23">
        <f t="shared" si="86"/>
        <v>133.56</v>
      </c>
      <c r="AW183" s="23">
        <f t="shared" si="87"/>
        <v>0</v>
      </c>
      <c r="AX183" s="23">
        <f t="shared" si="88"/>
        <v>0</v>
      </c>
      <c r="AY183" s="23">
        <f t="shared" si="89"/>
        <v>0</v>
      </c>
      <c r="AZ183" s="23">
        <f t="shared" si="90"/>
        <v>4347.46</v>
      </c>
      <c r="BA183" s="23">
        <f t="shared" si="91"/>
        <v>4293.8999999999996</v>
      </c>
      <c r="BB183" s="23">
        <f t="shared" si="92"/>
        <v>270.17</v>
      </c>
      <c r="BC183" s="23">
        <f t="shared" si="93"/>
        <v>204.07</v>
      </c>
      <c r="BD183" s="23">
        <f t="shared" si="94"/>
        <v>5102.71</v>
      </c>
      <c r="BE183" s="23">
        <f t="shared" si="95"/>
        <v>1533.56</v>
      </c>
      <c r="BF183" s="23">
        <f t="shared" si="96"/>
        <v>5766.1</v>
      </c>
      <c r="BG183" s="23">
        <f t="shared" si="97"/>
        <v>34400</v>
      </c>
      <c r="BH183" s="23">
        <f t="shared" si="98"/>
        <v>41533.56</v>
      </c>
      <c r="BI183" s="23">
        <f t="shared" si="99"/>
        <v>37077.29</v>
      </c>
      <c r="BJ183" s="23">
        <f t="shared" si="100"/>
        <v>37566.1</v>
      </c>
      <c r="BK183" s="23">
        <f t="shared" si="101"/>
        <v>5875.93</v>
      </c>
      <c r="BL183" s="23">
        <f t="shared" si="102"/>
        <v>4384.8999999999996</v>
      </c>
      <c r="BM183" s="23">
        <f t="shared" si="103"/>
        <v>4229.7299999999996</v>
      </c>
      <c r="BN183" s="23">
        <f t="shared" si="104"/>
        <v>9686.9599999999991</v>
      </c>
      <c r="BO183" s="23">
        <f t="shared" si="105"/>
        <v>5338.81</v>
      </c>
      <c r="BP183" s="23">
        <f t="shared" si="106"/>
        <v>4348.1400000000003</v>
      </c>
      <c r="BQ183" s="23">
        <f t="shared" si="107"/>
        <v>4896.6400000000003</v>
      </c>
      <c r="BR183" s="23">
        <f t="shared" si="108"/>
        <v>3601.02</v>
      </c>
      <c r="BS183" s="23">
        <f t="shared" si="109"/>
        <v>16642.79</v>
      </c>
      <c r="BT183" s="23">
        <f t="shared" si="115"/>
        <v>4456.2700000000004</v>
      </c>
      <c r="BU183" s="23">
        <f t="shared" si="115"/>
        <v>2033.56</v>
      </c>
      <c r="BV183" s="23">
        <f t="shared" si="115"/>
        <v>42440.68</v>
      </c>
      <c r="BW183" s="23">
        <f t="shared" si="115"/>
        <v>101132.2</v>
      </c>
      <c r="BX183" s="23">
        <f t="shared" si="115"/>
        <v>106072.88</v>
      </c>
      <c r="BY183" t="s">
        <v>270</v>
      </c>
      <c r="CE183" t="s">
        <v>267</v>
      </c>
      <c r="CF183" t="s">
        <v>266</v>
      </c>
      <c r="CG183" t="s">
        <v>266</v>
      </c>
      <c r="CH183" t="s">
        <v>266</v>
      </c>
      <c r="CI183" t="s">
        <v>266</v>
      </c>
      <c r="CJ183" t="s">
        <v>266</v>
      </c>
      <c r="CK183" t="s">
        <v>267</v>
      </c>
      <c r="CL183" t="s">
        <v>267</v>
      </c>
      <c r="CM183" t="s">
        <v>267</v>
      </c>
      <c r="CN183" t="s">
        <v>267</v>
      </c>
      <c r="CO183" t="s">
        <v>267</v>
      </c>
    </row>
    <row r="184" spans="1:93" x14ac:dyDescent="0.25">
      <c r="A184" s="2" t="s">
        <v>190</v>
      </c>
      <c r="B184" s="17">
        <v>33506</v>
      </c>
      <c r="C184" s="17">
        <v>18732</v>
      </c>
      <c r="D184" s="17">
        <v>632</v>
      </c>
      <c r="E184" s="17">
        <v>511</v>
      </c>
      <c r="F184" s="17">
        <v>0</v>
      </c>
      <c r="G184" s="17">
        <v>5679</v>
      </c>
      <c r="H184" s="17">
        <v>5669</v>
      </c>
      <c r="I184" s="17">
        <v>0</v>
      </c>
      <c r="J184" s="17">
        <v>524</v>
      </c>
      <c r="K184" s="17">
        <v>0</v>
      </c>
      <c r="L184" s="17">
        <v>0</v>
      </c>
      <c r="M184" s="17">
        <v>0</v>
      </c>
      <c r="N184" s="17">
        <v>14767</v>
      </c>
      <c r="O184" s="17">
        <v>13696</v>
      </c>
      <c r="P184" s="17">
        <v>873</v>
      </c>
      <c r="Q184" s="17">
        <v>740</v>
      </c>
      <c r="R184" s="17">
        <v>14306</v>
      </c>
      <c r="S184" s="17">
        <v>5178</v>
      </c>
      <c r="T184" s="17">
        <v>18806</v>
      </c>
      <c r="U184" s="17">
        <v>110421</v>
      </c>
      <c r="V184" s="17">
        <f t="shared" si="111"/>
        <v>133619</v>
      </c>
      <c r="W184" s="18">
        <v>117455</v>
      </c>
      <c r="X184" s="19">
        <v>121642.99999999999</v>
      </c>
      <c r="Y184" s="19">
        <v>19985</v>
      </c>
      <c r="Z184" s="19">
        <v>14754.497354497356</v>
      </c>
      <c r="AA184" s="19">
        <v>13522.456888849179</v>
      </c>
      <c r="AB184" s="19">
        <v>32630.876653834363</v>
      </c>
      <c r="AC184" s="19">
        <v>17687.753441311736</v>
      </c>
      <c r="AD184" s="19">
        <v>14943.123212522629</v>
      </c>
      <c r="AE184" s="19">
        <v>15588.235294117649</v>
      </c>
      <c r="AF184" s="19">
        <v>12008</v>
      </c>
      <c r="AG184" s="24">
        <v>53123.93380870144</v>
      </c>
      <c r="AH184" s="17">
        <f t="shared" si="112"/>
        <v>16164</v>
      </c>
      <c r="AI184" s="20">
        <v>8542</v>
      </c>
      <c r="AJ184" s="21">
        <v>132500</v>
      </c>
      <c r="AK184" s="22">
        <v>327518</v>
      </c>
      <c r="AL184" s="22">
        <v>342781</v>
      </c>
      <c r="AM184" s="16">
        <v>320.39999999999998</v>
      </c>
      <c r="AN184" s="23">
        <f t="shared" si="78"/>
        <v>10457.549999999999</v>
      </c>
      <c r="AO184" s="23">
        <f t="shared" si="79"/>
        <v>5846.44</v>
      </c>
      <c r="AP184" s="23">
        <f t="shared" si="80"/>
        <v>197.25</v>
      </c>
      <c r="AQ184" s="23">
        <f t="shared" si="81"/>
        <v>159.49</v>
      </c>
      <c r="AR184" s="23">
        <f t="shared" si="82"/>
        <v>0</v>
      </c>
      <c r="AS184" s="23">
        <f t="shared" si="83"/>
        <v>1772.47</v>
      </c>
      <c r="AT184" s="23">
        <f t="shared" si="84"/>
        <v>1769.35</v>
      </c>
      <c r="AU184" s="23">
        <f t="shared" si="85"/>
        <v>0</v>
      </c>
      <c r="AV184" s="23">
        <f t="shared" si="86"/>
        <v>163.55000000000001</v>
      </c>
      <c r="AW184" s="23">
        <f t="shared" si="87"/>
        <v>0</v>
      </c>
      <c r="AX184" s="23">
        <f t="shared" si="88"/>
        <v>0</v>
      </c>
      <c r="AY184" s="23">
        <f t="shared" si="89"/>
        <v>0</v>
      </c>
      <c r="AZ184" s="23">
        <f t="shared" si="90"/>
        <v>4608.93</v>
      </c>
      <c r="BA184" s="23">
        <f t="shared" si="91"/>
        <v>4274.66</v>
      </c>
      <c r="BB184" s="23">
        <f t="shared" si="92"/>
        <v>272.47000000000003</v>
      </c>
      <c r="BC184" s="23">
        <f t="shared" si="93"/>
        <v>230.96</v>
      </c>
      <c r="BD184" s="23">
        <f t="shared" si="94"/>
        <v>4465.04</v>
      </c>
      <c r="BE184" s="23">
        <f t="shared" si="95"/>
        <v>1616.1</v>
      </c>
      <c r="BF184" s="23">
        <f t="shared" si="96"/>
        <v>5869.54</v>
      </c>
      <c r="BG184" s="23">
        <f t="shared" si="97"/>
        <v>34463.480000000003</v>
      </c>
      <c r="BH184" s="23">
        <f t="shared" si="98"/>
        <v>41703.81</v>
      </c>
      <c r="BI184" s="23">
        <f t="shared" si="99"/>
        <v>36658.86</v>
      </c>
      <c r="BJ184" s="23">
        <f t="shared" si="100"/>
        <v>37965.980000000003</v>
      </c>
      <c r="BK184" s="23">
        <f t="shared" si="101"/>
        <v>6237.52</v>
      </c>
      <c r="BL184" s="23">
        <f t="shared" si="102"/>
        <v>4605.0200000000004</v>
      </c>
      <c r="BM184" s="23">
        <f t="shared" si="103"/>
        <v>4220.49</v>
      </c>
      <c r="BN184" s="23">
        <f t="shared" si="104"/>
        <v>10184.42</v>
      </c>
      <c r="BO184" s="23">
        <f t="shared" si="105"/>
        <v>5520.52</v>
      </c>
      <c r="BP184" s="23">
        <f t="shared" si="106"/>
        <v>4663.8999999999996</v>
      </c>
      <c r="BQ184" s="23">
        <f t="shared" si="107"/>
        <v>4865.24</v>
      </c>
      <c r="BR184" s="23">
        <f t="shared" si="108"/>
        <v>3747.82</v>
      </c>
      <c r="BS184" s="23">
        <f t="shared" si="109"/>
        <v>16580.5</v>
      </c>
      <c r="BT184" s="23">
        <f t="shared" si="115"/>
        <v>5044.9399999999996</v>
      </c>
      <c r="BU184" s="23">
        <f t="shared" si="115"/>
        <v>2666.04</v>
      </c>
      <c r="BV184" s="23">
        <f t="shared" si="115"/>
        <v>41354.559999999998</v>
      </c>
      <c r="BW184" s="23">
        <f t="shared" si="115"/>
        <v>102221.6</v>
      </c>
      <c r="BX184" s="23">
        <f t="shared" si="115"/>
        <v>106985.33</v>
      </c>
      <c r="BY184" t="s">
        <v>270</v>
      </c>
      <c r="CE184" t="s">
        <v>267</v>
      </c>
      <c r="CF184" t="s">
        <v>266</v>
      </c>
      <c r="CG184" t="s">
        <v>266</v>
      </c>
      <c r="CH184" t="s">
        <v>266</v>
      </c>
      <c r="CI184" t="s">
        <v>266</v>
      </c>
      <c r="CJ184" t="s">
        <v>266</v>
      </c>
      <c r="CK184" t="s">
        <v>267</v>
      </c>
      <c r="CL184" t="s">
        <v>267</v>
      </c>
      <c r="CM184" t="s">
        <v>267</v>
      </c>
      <c r="CN184" t="s">
        <v>267</v>
      </c>
      <c r="CO184" t="s">
        <v>267</v>
      </c>
    </row>
    <row r="185" spans="1:93" x14ac:dyDescent="0.25">
      <c r="A185" s="2" t="s">
        <v>191</v>
      </c>
      <c r="B185" s="17">
        <v>32453</v>
      </c>
      <c r="C185" s="17">
        <v>21336</v>
      </c>
      <c r="D185" s="17">
        <v>671</v>
      </c>
      <c r="E185" s="17">
        <v>608</v>
      </c>
      <c r="F185" s="17">
        <v>0</v>
      </c>
      <c r="G185" s="17">
        <v>6184</v>
      </c>
      <c r="H185" s="17">
        <v>6017</v>
      </c>
      <c r="I185" s="17">
        <v>0</v>
      </c>
      <c r="J185" s="17">
        <v>528</v>
      </c>
      <c r="K185" s="17">
        <v>0</v>
      </c>
      <c r="L185" s="17">
        <v>0</v>
      </c>
      <c r="M185" s="17">
        <v>0</v>
      </c>
      <c r="N185" s="17">
        <v>16456</v>
      </c>
      <c r="O185" s="17">
        <v>15073</v>
      </c>
      <c r="P185" s="17">
        <v>1138</v>
      </c>
      <c r="Q185" s="17">
        <v>759</v>
      </c>
      <c r="R185" s="17">
        <v>16507</v>
      </c>
      <c r="S185" s="17">
        <v>4956</v>
      </c>
      <c r="T185" s="17">
        <v>19434</v>
      </c>
      <c r="U185" s="17">
        <v>118310</v>
      </c>
      <c r="V185" s="17">
        <f t="shared" si="111"/>
        <v>142120</v>
      </c>
      <c r="W185" s="18">
        <v>127289</v>
      </c>
      <c r="X185" s="19">
        <v>131273</v>
      </c>
      <c r="Y185" s="19">
        <v>22136</v>
      </c>
      <c r="Z185" s="19">
        <v>15866.137566137568</v>
      </c>
      <c r="AA185" s="19">
        <v>14456.622364188706</v>
      </c>
      <c r="AB185" s="19">
        <v>36452.317713633878</v>
      </c>
      <c r="AC185" s="19">
        <v>19221.847928448857</v>
      </c>
      <c r="AD185" s="19">
        <v>17230.469785185018</v>
      </c>
      <c r="AE185" s="19">
        <v>16419.607843137255</v>
      </c>
      <c r="AF185" s="19">
        <v>12885</v>
      </c>
      <c r="AG185" s="24">
        <v>57329.31451290258</v>
      </c>
      <c r="AH185" s="17">
        <f t="shared" si="112"/>
        <v>14831</v>
      </c>
      <c r="AI185" s="20">
        <v>11802</v>
      </c>
      <c r="AJ185" s="21">
        <v>143600</v>
      </c>
      <c r="AK185" s="22">
        <v>358116</v>
      </c>
      <c r="AL185" s="22">
        <v>369934</v>
      </c>
      <c r="AM185" s="16">
        <v>335.1</v>
      </c>
      <c r="AN185" s="23">
        <f t="shared" si="78"/>
        <v>9684.57</v>
      </c>
      <c r="AO185" s="23">
        <f t="shared" si="79"/>
        <v>6367.05</v>
      </c>
      <c r="AP185" s="23">
        <f t="shared" si="80"/>
        <v>200.24</v>
      </c>
      <c r="AQ185" s="23">
        <f t="shared" si="81"/>
        <v>181.44</v>
      </c>
      <c r="AR185" s="23">
        <f t="shared" si="82"/>
        <v>0</v>
      </c>
      <c r="AS185" s="23">
        <f t="shared" si="83"/>
        <v>1845.42</v>
      </c>
      <c r="AT185" s="23">
        <f t="shared" si="84"/>
        <v>1795.58</v>
      </c>
      <c r="AU185" s="23">
        <f t="shared" si="85"/>
        <v>0</v>
      </c>
      <c r="AV185" s="23">
        <f t="shared" si="86"/>
        <v>157.56</v>
      </c>
      <c r="AW185" s="23">
        <f t="shared" si="87"/>
        <v>0</v>
      </c>
      <c r="AX185" s="23">
        <f t="shared" si="88"/>
        <v>0</v>
      </c>
      <c r="AY185" s="23">
        <f t="shared" si="89"/>
        <v>0</v>
      </c>
      <c r="AZ185" s="23">
        <f t="shared" si="90"/>
        <v>4910.7700000000004</v>
      </c>
      <c r="BA185" s="23">
        <f t="shared" si="91"/>
        <v>4498.0600000000004</v>
      </c>
      <c r="BB185" s="23">
        <f t="shared" si="92"/>
        <v>339.6</v>
      </c>
      <c r="BC185" s="23">
        <f t="shared" si="93"/>
        <v>226.5</v>
      </c>
      <c r="BD185" s="23">
        <f t="shared" si="94"/>
        <v>4925.99</v>
      </c>
      <c r="BE185" s="23">
        <f t="shared" si="95"/>
        <v>1478.96</v>
      </c>
      <c r="BF185" s="23">
        <f t="shared" si="96"/>
        <v>5799.46</v>
      </c>
      <c r="BG185" s="23">
        <f t="shared" si="97"/>
        <v>35305.879999999997</v>
      </c>
      <c r="BH185" s="23">
        <f t="shared" si="98"/>
        <v>42411.22</v>
      </c>
      <c r="BI185" s="23">
        <f t="shared" si="99"/>
        <v>37985.379999999997</v>
      </c>
      <c r="BJ185" s="23">
        <f t="shared" si="100"/>
        <v>39174.28</v>
      </c>
      <c r="BK185" s="23">
        <f t="shared" si="101"/>
        <v>6605.79</v>
      </c>
      <c r="BL185" s="23">
        <f t="shared" si="102"/>
        <v>4734.75</v>
      </c>
      <c r="BM185" s="23">
        <f t="shared" si="103"/>
        <v>4314.12</v>
      </c>
      <c r="BN185" s="23">
        <f t="shared" si="104"/>
        <v>10878.04</v>
      </c>
      <c r="BO185" s="23">
        <f t="shared" si="105"/>
        <v>5736.15</v>
      </c>
      <c r="BP185" s="23">
        <f t="shared" si="106"/>
        <v>5141.8900000000003</v>
      </c>
      <c r="BQ185" s="23">
        <f t="shared" si="107"/>
        <v>4899.91</v>
      </c>
      <c r="BR185" s="23">
        <f t="shared" si="108"/>
        <v>3845.12</v>
      </c>
      <c r="BS185" s="23">
        <f t="shared" si="109"/>
        <v>17108.12</v>
      </c>
      <c r="BT185" s="23">
        <f t="shared" si="115"/>
        <v>4425.84</v>
      </c>
      <c r="BU185" s="23">
        <f t="shared" si="115"/>
        <v>3521.93</v>
      </c>
      <c r="BV185" s="23">
        <f t="shared" si="115"/>
        <v>42852.88</v>
      </c>
      <c r="BW185" s="23">
        <f t="shared" si="115"/>
        <v>106868.4</v>
      </c>
      <c r="BX185" s="23">
        <f t="shared" si="115"/>
        <v>110395.11</v>
      </c>
      <c r="BY185" t="s">
        <v>270</v>
      </c>
      <c r="BZ185" t="s">
        <v>307</v>
      </c>
      <c r="CE185" t="s">
        <v>267</v>
      </c>
      <c r="CF185" t="s">
        <v>266</v>
      </c>
      <c r="CG185" t="s">
        <v>266</v>
      </c>
      <c r="CH185" t="s">
        <v>266</v>
      </c>
      <c r="CI185" t="s">
        <v>266</v>
      </c>
      <c r="CJ185" t="s">
        <v>266</v>
      </c>
      <c r="CK185" t="s">
        <v>267</v>
      </c>
      <c r="CL185" t="s">
        <v>267</v>
      </c>
      <c r="CM185" t="s">
        <v>267</v>
      </c>
      <c r="CN185" t="s">
        <v>267</v>
      </c>
      <c r="CO185" t="s">
        <v>267</v>
      </c>
    </row>
    <row r="186" spans="1:93" x14ac:dyDescent="0.25">
      <c r="A186" s="2" t="s">
        <v>192</v>
      </c>
      <c r="B186" s="17">
        <v>34087</v>
      </c>
      <c r="C186" s="17">
        <v>22748</v>
      </c>
      <c r="D186" s="17">
        <v>730</v>
      </c>
      <c r="E186" s="17">
        <v>664</v>
      </c>
      <c r="F186" s="17">
        <v>0</v>
      </c>
      <c r="G186" s="17">
        <v>8341</v>
      </c>
      <c r="H186" s="17">
        <v>7177</v>
      </c>
      <c r="I186" s="17">
        <v>0</v>
      </c>
      <c r="J186" s="17">
        <v>504</v>
      </c>
      <c r="K186" s="17">
        <v>0</v>
      </c>
      <c r="L186" s="17">
        <v>0</v>
      </c>
      <c r="M186" s="17">
        <v>0</v>
      </c>
      <c r="N186" s="17">
        <v>20301</v>
      </c>
      <c r="O186" s="17">
        <v>16311</v>
      </c>
      <c r="P186" s="17">
        <v>911</v>
      </c>
      <c r="Q186" s="17">
        <v>775</v>
      </c>
      <c r="R186" s="17">
        <v>17219</v>
      </c>
      <c r="S186" s="17">
        <v>5314</v>
      </c>
      <c r="T186" s="17">
        <v>17058</v>
      </c>
      <c r="U186" s="17">
        <v>129747.00000000001</v>
      </c>
      <c r="V186" s="17">
        <f t="shared" si="111"/>
        <v>152140</v>
      </c>
      <c r="W186" s="18">
        <v>137337</v>
      </c>
      <c r="X186" s="19">
        <v>141970</v>
      </c>
      <c r="Y186" s="19">
        <v>22081</v>
      </c>
      <c r="Z186" s="19">
        <v>17584.126984126986</v>
      </c>
      <c r="AA186" s="19">
        <v>15372.930218012867</v>
      </c>
      <c r="AB186" s="19">
        <v>39463.869131980187</v>
      </c>
      <c r="AC186" s="19">
        <v>20480.29363324833</v>
      </c>
      <c r="AD186" s="19">
        <v>18983.575498731858</v>
      </c>
      <c r="AE186" s="19">
        <v>17043.137254901962</v>
      </c>
      <c r="AF186" s="19">
        <v>14884</v>
      </c>
      <c r="AG186" s="24">
        <v>59702.936410977985</v>
      </c>
      <c r="AH186" s="17">
        <f t="shared" si="112"/>
        <v>14803</v>
      </c>
      <c r="AI186" s="20">
        <v>12535</v>
      </c>
      <c r="AJ186" s="21">
        <v>157000</v>
      </c>
      <c r="AK186" s="22">
        <v>386018</v>
      </c>
      <c r="AL186" s="22">
        <v>405823</v>
      </c>
      <c r="AM186" s="16">
        <v>351.8</v>
      </c>
      <c r="AN186" s="23">
        <f t="shared" si="78"/>
        <v>9689.31</v>
      </c>
      <c r="AO186" s="23">
        <f t="shared" si="79"/>
        <v>6466.17</v>
      </c>
      <c r="AP186" s="23">
        <f t="shared" si="80"/>
        <v>207.5</v>
      </c>
      <c r="AQ186" s="23">
        <f t="shared" si="81"/>
        <v>188.74</v>
      </c>
      <c r="AR186" s="23">
        <f t="shared" si="82"/>
        <v>0</v>
      </c>
      <c r="AS186" s="23">
        <f t="shared" si="83"/>
        <v>2370.9499999999998</v>
      </c>
      <c r="AT186" s="23">
        <f t="shared" si="84"/>
        <v>2040.08</v>
      </c>
      <c r="AU186" s="23">
        <f t="shared" si="85"/>
        <v>0</v>
      </c>
      <c r="AV186" s="23">
        <f t="shared" si="86"/>
        <v>143.26</v>
      </c>
      <c r="AW186" s="23">
        <f t="shared" si="87"/>
        <v>0</v>
      </c>
      <c r="AX186" s="23">
        <f t="shared" si="88"/>
        <v>0</v>
      </c>
      <c r="AY186" s="23">
        <f t="shared" si="89"/>
        <v>0</v>
      </c>
      <c r="AZ186" s="23">
        <f t="shared" si="90"/>
        <v>5770.61</v>
      </c>
      <c r="BA186" s="23">
        <f t="shared" si="91"/>
        <v>4636.4399999999996</v>
      </c>
      <c r="BB186" s="23">
        <f t="shared" si="92"/>
        <v>258.95</v>
      </c>
      <c r="BC186" s="23">
        <f t="shared" si="93"/>
        <v>220.3</v>
      </c>
      <c r="BD186" s="23">
        <f t="shared" si="94"/>
        <v>4894.54</v>
      </c>
      <c r="BE186" s="23">
        <f t="shared" si="95"/>
        <v>1510.52</v>
      </c>
      <c r="BF186" s="23">
        <f t="shared" si="96"/>
        <v>4848.78</v>
      </c>
      <c r="BG186" s="23">
        <f t="shared" si="97"/>
        <v>36880.9</v>
      </c>
      <c r="BH186" s="23">
        <f t="shared" si="98"/>
        <v>43246.16</v>
      </c>
      <c r="BI186" s="23">
        <f t="shared" si="99"/>
        <v>39038.370000000003</v>
      </c>
      <c r="BJ186" s="23">
        <f t="shared" si="100"/>
        <v>40355.32</v>
      </c>
      <c r="BK186" s="23">
        <f t="shared" si="101"/>
        <v>6276.58</v>
      </c>
      <c r="BL186" s="23">
        <f t="shared" si="102"/>
        <v>4998.33</v>
      </c>
      <c r="BM186" s="23">
        <f t="shared" si="103"/>
        <v>4369.79</v>
      </c>
      <c r="BN186" s="23">
        <f t="shared" si="104"/>
        <v>11217.7</v>
      </c>
      <c r="BO186" s="23">
        <f t="shared" si="105"/>
        <v>5821.57</v>
      </c>
      <c r="BP186" s="23">
        <f t="shared" si="106"/>
        <v>5396.13</v>
      </c>
      <c r="BQ186" s="23">
        <f t="shared" si="107"/>
        <v>4844.55</v>
      </c>
      <c r="BR186" s="23">
        <f t="shared" si="108"/>
        <v>4230.8100000000004</v>
      </c>
      <c r="BS186" s="23">
        <f t="shared" si="109"/>
        <v>16970.7</v>
      </c>
      <c r="BT186" s="23">
        <f t="shared" si="115"/>
        <v>4207.79</v>
      </c>
      <c r="BU186" s="23">
        <f t="shared" si="115"/>
        <v>3563.1</v>
      </c>
      <c r="BV186" s="23">
        <f t="shared" si="115"/>
        <v>44627.63</v>
      </c>
      <c r="BW186" s="23">
        <f t="shared" si="115"/>
        <v>109726.55</v>
      </c>
      <c r="BX186" s="23">
        <f t="shared" si="115"/>
        <v>115356.17</v>
      </c>
      <c r="BY186" t="s">
        <v>270</v>
      </c>
      <c r="CE186" t="s">
        <v>267</v>
      </c>
      <c r="CF186" t="s">
        <v>266</v>
      </c>
      <c r="CG186" t="s">
        <v>266</v>
      </c>
      <c r="CH186" t="s">
        <v>266</v>
      </c>
      <c r="CI186" t="s">
        <v>266</v>
      </c>
      <c r="CJ186" t="s">
        <v>266</v>
      </c>
      <c r="CK186" t="s">
        <v>267</v>
      </c>
      <c r="CL186" t="s">
        <v>267</v>
      </c>
      <c r="CM186" t="s">
        <v>267</v>
      </c>
      <c r="CN186" t="s">
        <v>267</v>
      </c>
      <c r="CO186" t="s">
        <v>267</v>
      </c>
    </row>
    <row r="187" spans="1:93" x14ac:dyDescent="0.25">
      <c r="A187" s="2" t="s">
        <v>193</v>
      </c>
      <c r="B187" s="17">
        <v>36552</v>
      </c>
      <c r="C187" s="17">
        <v>24639</v>
      </c>
      <c r="D187" s="17">
        <v>908</v>
      </c>
      <c r="E187" s="17">
        <v>888</v>
      </c>
      <c r="F187" s="17">
        <v>0</v>
      </c>
      <c r="G187" s="17">
        <v>10708</v>
      </c>
      <c r="H187" s="17">
        <v>6375</v>
      </c>
      <c r="I187" s="17">
        <v>0</v>
      </c>
      <c r="J187" s="17">
        <v>520</v>
      </c>
      <c r="K187" s="17">
        <v>0</v>
      </c>
      <c r="L187" s="17">
        <v>0</v>
      </c>
      <c r="M187" s="17">
        <v>0</v>
      </c>
      <c r="N187" s="17">
        <v>20986</v>
      </c>
      <c r="O187" s="17">
        <v>17192</v>
      </c>
      <c r="P187" s="17">
        <v>1226</v>
      </c>
      <c r="Q187" s="17">
        <v>979</v>
      </c>
      <c r="R187" s="17">
        <v>18298</v>
      </c>
      <c r="S187" s="17">
        <v>5834</v>
      </c>
      <c r="T187" s="17">
        <v>18119</v>
      </c>
      <c r="U187" s="17">
        <v>138577</v>
      </c>
      <c r="V187" s="17">
        <f t="shared" si="111"/>
        <v>163224</v>
      </c>
      <c r="W187" s="18">
        <v>145364</v>
      </c>
      <c r="X187" s="19">
        <v>150543</v>
      </c>
      <c r="Y187" s="19">
        <v>20718</v>
      </c>
      <c r="Z187" s="19">
        <v>18392.592592592591</v>
      </c>
      <c r="AA187" s="19">
        <v>16477.257639385276</v>
      </c>
      <c r="AB187" s="19">
        <v>43092.38106700041</v>
      </c>
      <c r="AC187" s="19">
        <v>22474.187568475158</v>
      </c>
      <c r="AD187" s="19">
        <v>20618.193498525252</v>
      </c>
      <c r="AE187" s="19">
        <v>17562.745098039217</v>
      </c>
      <c r="AF187" s="19">
        <v>16197</v>
      </c>
      <c r="AG187" s="24">
        <v>59539.023602982496</v>
      </c>
      <c r="AH187" s="17">
        <f t="shared" si="112"/>
        <v>17860</v>
      </c>
      <c r="AI187" s="20">
        <v>9034</v>
      </c>
      <c r="AJ187" s="21">
        <v>162500</v>
      </c>
      <c r="AK187" s="22">
        <v>423777</v>
      </c>
      <c r="AL187" s="22">
        <v>438305</v>
      </c>
      <c r="AM187" s="16">
        <v>373.2</v>
      </c>
      <c r="AN187" s="23">
        <f t="shared" si="78"/>
        <v>9794.2099999999991</v>
      </c>
      <c r="AO187" s="23">
        <f t="shared" si="79"/>
        <v>6602.09</v>
      </c>
      <c r="AP187" s="23">
        <f t="shared" si="80"/>
        <v>243.3</v>
      </c>
      <c r="AQ187" s="23">
        <f t="shared" si="81"/>
        <v>237.94</v>
      </c>
      <c r="AR187" s="23">
        <f t="shared" si="82"/>
        <v>0</v>
      </c>
      <c r="AS187" s="23">
        <f t="shared" si="83"/>
        <v>2869.24</v>
      </c>
      <c r="AT187" s="23">
        <f t="shared" si="84"/>
        <v>1708.2</v>
      </c>
      <c r="AU187" s="23">
        <f t="shared" si="85"/>
        <v>0</v>
      </c>
      <c r="AV187" s="23">
        <f t="shared" si="86"/>
        <v>139.34</v>
      </c>
      <c r="AW187" s="23">
        <f t="shared" si="87"/>
        <v>0</v>
      </c>
      <c r="AX187" s="23">
        <f t="shared" si="88"/>
        <v>0</v>
      </c>
      <c r="AY187" s="23">
        <f t="shared" si="89"/>
        <v>0</v>
      </c>
      <c r="AZ187" s="23">
        <f t="shared" si="90"/>
        <v>5623.26</v>
      </c>
      <c r="BA187" s="23">
        <f t="shared" si="91"/>
        <v>4606.6499999999996</v>
      </c>
      <c r="BB187" s="23">
        <f t="shared" si="92"/>
        <v>328.51</v>
      </c>
      <c r="BC187" s="23">
        <f t="shared" si="93"/>
        <v>262.33</v>
      </c>
      <c r="BD187" s="23">
        <f t="shared" si="94"/>
        <v>4903</v>
      </c>
      <c r="BE187" s="23">
        <f t="shared" si="95"/>
        <v>1563.24</v>
      </c>
      <c r="BF187" s="23">
        <f t="shared" si="96"/>
        <v>4855.04</v>
      </c>
      <c r="BG187" s="23">
        <f t="shared" si="97"/>
        <v>37132.1</v>
      </c>
      <c r="BH187" s="23">
        <f t="shared" si="98"/>
        <v>43736.33</v>
      </c>
      <c r="BI187" s="23">
        <f t="shared" si="99"/>
        <v>38950.699999999997</v>
      </c>
      <c r="BJ187" s="23">
        <f t="shared" si="100"/>
        <v>40338.42</v>
      </c>
      <c r="BK187" s="23">
        <f t="shared" si="101"/>
        <v>5551.45</v>
      </c>
      <c r="BL187" s="23">
        <f t="shared" si="102"/>
        <v>4928.3500000000004</v>
      </c>
      <c r="BM187" s="23">
        <f t="shared" si="103"/>
        <v>4415.13</v>
      </c>
      <c r="BN187" s="23">
        <f t="shared" si="104"/>
        <v>11546.73</v>
      </c>
      <c r="BO187" s="23">
        <f t="shared" si="105"/>
        <v>6022.02</v>
      </c>
      <c r="BP187" s="23">
        <f t="shared" si="106"/>
        <v>5524.7</v>
      </c>
      <c r="BQ187" s="23">
        <f t="shared" si="107"/>
        <v>4705.99</v>
      </c>
      <c r="BR187" s="23">
        <f t="shared" si="108"/>
        <v>4340.03</v>
      </c>
      <c r="BS187" s="23">
        <f t="shared" si="109"/>
        <v>15953.65</v>
      </c>
      <c r="BT187" s="23">
        <f t="shared" si="115"/>
        <v>4785.6400000000003</v>
      </c>
      <c r="BU187" s="23">
        <f t="shared" si="115"/>
        <v>2420.69</v>
      </c>
      <c r="BV187" s="23">
        <f t="shared" si="115"/>
        <v>43542.34</v>
      </c>
      <c r="BW187" s="23">
        <f t="shared" si="115"/>
        <v>113552.25</v>
      </c>
      <c r="BX187" s="23">
        <f t="shared" si="115"/>
        <v>117445.07</v>
      </c>
      <c r="BY187" t="s">
        <v>270</v>
      </c>
      <c r="BZ187" t="s">
        <v>308</v>
      </c>
      <c r="CE187" t="s">
        <v>267</v>
      </c>
      <c r="CF187" t="s">
        <v>266</v>
      </c>
      <c r="CG187" t="s">
        <v>266</v>
      </c>
      <c r="CH187" t="s">
        <v>266</v>
      </c>
      <c r="CI187" t="s">
        <v>266</v>
      </c>
      <c r="CJ187" t="s">
        <v>266</v>
      </c>
      <c r="CK187" t="s">
        <v>267</v>
      </c>
      <c r="CL187" t="s">
        <v>267</v>
      </c>
      <c r="CM187" t="s">
        <v>267</v>
      </c>
      <c r="CN187" t="s">
        <v>267</v>
      </c>
      <c r="CO187" t="s">
        <v>267</v>
      </c>
    </row>
    <row r="188" spans="1:93" x14ac:dyDescent="0.25">
      <c r="A188" s="2" t="s">
        <v>194</v>
      </c>
      <c r="B188" s="17">
        <v>38943</v>
      </c>
      <c r="C188" s="17">
        <v>26687</v>
      </c>
      <c r="D188" s="17">
        <v>1064</v>
      </c>
      <c r="E188" s="17">
        <v>995</v>
      </c>
      <c r="F188" s="17">
        <v>0</v>
      </c>
      <c r="G188" s="17">
        <v>13495</v>
      </c>
      <c r="H188" s="17">
        <v>1188</v>
      </c>
      <c r="I188" s="17">
        <v>0</v>
      </c>
      <c r="J188" s="17">
        <v>504</v>
      </c>
      <c r="K188" s="17">
        <v>0</v>
      </c>
      <c r="L188" s="17">
        <v>0</v>
      </c>
      <c r="M188" s="17">
        <v>0</v>
      </c>
      <c r="N188" s="17">
        <v>23621</v>
      </c>
      <c r="O188" s="17">
        <v>18545</v>
      </c>
      <c r="P188" s="17">
        <v>1860</v>
      </c>
      <c r="Q188" s="17">
        <v>1021</v>
      </c>
      <c r="R188" s="17">
        <v>18238</v>
      </c>
      <c r="S188" s="17">
        <v>6746</v>
      </c>
      <c r="T188" s="17">
        <v>18390</v>
      </c>
      <c r="U188" s="17">
        <v>147979</v>
      </c>
      <c r="V188" s="17">
        <f t="shared" si="111"/>
        <v>171297</v>
      </c>
      <c r="W188" s="18">
        <v>152879</v>
      </c>
      <c r="X188" s="19">
        <v>158745</v>
      </c>
      <c r="Y188" s="19">
        <v>19731</v>
      </c>
      <c r="Z188" s="19">
        <v>18594.708994708995</v>
      </c>
      <c r="AA188" s="19">
        <v>17899.269120800571</v>
      </c>
      <c r="AB188" s="19">
        <v>46341.841952276445</v>
      </c>
      <c r="AC188" s="19">
        <v>24225.440476137777</v>
      </c>
      <c r="AD188" s="19">
        <v>22116.401476138668</v>
      </c>
      <c r="AE188" s="19">
        <v>19329.411764705885</v>
      </c>
      <c r="AF188" s="19">
        <v>17069</v>
      </c>
      <c r="AG188" s="24">
        <v>59241.768167508126</v>
      </c>
      <c r="AH188" s="17">
        <f t="shared" si="112"/>
        <v>18418</v>
      </c>
      <c r="AI188" s="20">
        <v>8740</v>
      </c>
      <c r="AJ188" s="21">
        <v>167800</v>
      </c>
      <c r="AK188" s="22">
        <v>455595</v>
      </c>
      <c r="AL188" s="22">
        <v>482008</v>
      </c>
      <c r="AM188" s="16">
        <v>385.9</v>
      </c>
      <c r="AN188" s="23">
        <f t="shared" si="78"/>
        <v>10091.469999999999</v>
      </c>
      <c r="AO188" s="23">
        <f t="shared" si="79"/>
        <v>6915.52</v>
      </c>
      <c r="AP188" s="23">
        <f t="shared" si="80"/>
        <v>275.72000000000003</v>
      </c>
      <c r="AQ188" s="23">
        <f t="shared" si="81"/>
        <v>257.83999999999997</v>
      </c>
      <c r="AR188" s="23">
        <f t="shared" si="82"/>
        <v>0</v>
      </c>
      <c r="AS188" s="23">
        <f t="shared" si="83"/>
        <v>3497.02</v>
      </c>
      <c r="AT188" s="23">
        <f t="shared" si="84"/>
        <v>307.85000000000002</v>
      </c>
      <c r="AU188" s="23">
        <f t="shared" si="85"/>
        <v>0</v>
      </c>
      <c r="AV188" s="23">
        <f t="shared" si="86"/>
        <v>130.6</v>
      </c>
      <c r="AW188" s="23">
        <f t="shared" si="87"/>
        <v>0</v>
      </c>
      <c r="AX188" s="23">
        <f t="shared" si="88"/>
        <v>0</v>
      </c>
      <c r="AY188" s="23">
        <f t="shared" si="89"/>
        <v>0</v>
      </c>
      <c r="AZ188" s="23">
        <f t="shared" si="90"/>
        <v>6121.02</v>
      </c>
      <c r="BA188" s="23">
        <f t="shared" si="91"/>
        <v>4805.6499999999996</v>
      </c>
      <c r="BB188" s="23">
        <f t="shared" si="92"/>
        <v>481.99</v>
      </c>
      <c r="BC188" s="23">
        <f t="shared" si="93"/>
        <v>264.58</v>
      </c>
      <c r="BD188" s="23">
        <f t="shared" si="94"/>
        <v>4726.09</v>
      </c>
      <c r="BE188" s="23">
        <f t="shared" si="95"/>
        <v>1748.12</v>
      </c>
      <c r="BF188" s="23">
        <f t="shared" si="96"/>
        <v>4765.4799999999996</v>
      </c>
      <c r="BG188" s="23">
        <f t="shared" si="97"/>
        <v>38346.46</v>
      </c>
      <c r="BH188" s="23">
        <f t="shared" si="98"/>
        <v>44388.959999999999</v>
      </c>
      <c r="BI188" s="23">
        <f t="shared" si="99"/>
        <v>39616.22</v>
      </c>
      <c r="BJ188" s="23">
        <f t="shared" si="100"/>
        <v>41136.300000000003</v>
      </c>
      <c r="BK188" s="23">
        <f t="shared" si="101"/>
        <v>5112.9799999999996</v>
      </c>
      <c r="BL188" s="23">
        <f t="shared" si="102"/>
        <v>4818.53</v>
      </c>
      <c r="BM188" s="23">
        <f t="shared" si="103"/>
        <v>4638.32</v>
      </c>
      <c r="BN188" s="23">
        <f t="shared" si="104"/>
        <v>12008.77</v>
      </c>
      <c r="BO188" s="23">
        <f t="shared" si="105"/>
        <v>6277.65</v>
      </c>
      <c r="BP188" s="23">
        <f t="shared" si="106"/>
        <v>5731.12</v>
      </c>
      <c r="BQ188" s="23">
        <f t="shared" si="107"/>
        <v>5008.92</v>
      </c>
      <c r="BR188" s="23">
        <f t="shared" si="108"/>
        <v>4423.17</v>
      </c>
      <c r="BS188" s="23">
        <f t="shared" si="109"/>
        <v>15351.59</v>
      </c>
      <c r="BT188" s="23">
        <f t="shared" si="115"/>
        <v>4772.74</v>
      </c>
      <c r="BU188" s="23">
        <f t="shared" si="115"/>
        <v>2264.84</v>
      </c>
      <c r="BV188" s="23">
        <f t="shared" si="115"/>
        <v>43482.77</v>
      </c>
      <c r="BW188" s="23">
        <f t="shared" si="115"/>
        <v>118060.38</v>
      </c>
      <c r="BX188" s="23">
        <f t="shared" si="115"/>
        <v>124904.9</v>
      </c>
      <c r="BY188" t="s">
        <v>270</v>
      </c>
      <c r="BZ188" t="s">
        <v>314</v>
      </c>
      <c r="CE188" t="s">
        <v>267</v>
      </c>
      <c r="CF188" t="s">
        <v>266</v>
      </c>
      <c r="CG188" t="s">
        <v>266</v>
      </c>
      <c r="CH188" t="s">
        <v>266</v>
      </c>
      <c r="CI188" t="s">
        <v>266</v>
      </c>
      <c r="CJ188" t="s">
        <v>266</v>
      </c>
      <c r="CK188" t="s">
        <v>267</v>
      </c>
      <c r="CL188" t="s">
        <v>267</v>
      </c>
      <c r="CM188" t="s">
        <v>267</v>
      </c>
      <c r="CN188" t="s">
        <v>267</v>
      </c>
      <c r="CO188" t="s">
        <v>267</v>
      </c>
    </row>
    <row r="189" spans="1:93" x14ac:dyDescent="0.25">
      <c r="A189" s="2" t="s">
        <v>195</v>
      </c>
      <c r="B189" s="17">
        <v>42023</v>
      </c>
      <c r="C189" s="17">
        <v>28140</v>
      </c>
      <c r="D189" s="17">
        <v>1379</v>
      </c>
      <c r="E189" s="17">
        <v>1078</v>
      </c>
      <c r="F189" s="17">
        <v>0</v>
      </c>
      <c r="G189" s="17">
        <v>15734</v>
      </c>
      <c r="H189" s="17">
        <v>2296</v>
      </c>
      <c r="I189" s="17">
        <v>0</v>
      </c>
      <c r="J189" s="17">
        <v>469</v>
      </c>
      <c r="K189" s="17">
        <v>0</v>
      </c>
      <c r="L189" s="17">
        <v>0</v>
      </c>
      <c r="M189" s="17">
        <v>0</v>
      </c>
      <c r="N189" s="17">
        <v>26313</v>
      </c>
      <c r="O189" s="17">
        <v>19467</v>
      </c>
      <c r="P189" s="17">
        <v>2440</v>
      </c>
      <c r="Q189" s="17">
        <v>1080</v>
      </c>
      <c r="R189" s="17">
        <v>20044</v>
      </c>
      <c r="S189" s="17">
        <v>7409</v>
      </c>
      <c r="T189" s="17">
        <v>18366</v>
      </c>
      <c r="U189" s="17">
        <v>161997</v>
      </c>
      <c r="V189" s="17">
        <f t="shared" si="111"/>
        <v>186238</v>
      </c>
      <c r="W189" s="18">
        <v>163222</v>
      </c>
      <c r="X189" s="19">
        <v>170354</v>
      </c>
      <c r="Y189" s="19">
        <v>19613</v>
      </c>
      <c r="Z189" s="19">
        <v>19100</v>
      </c>
      <c r="AA189" s="19">
        <v>20509.992852037169</v>
      </c>
      <c r="AB189" s="19">
        <v>48181.463457015569</v>
      </c>
      <c r="AC189" s="19">
        <v>25645.932825323223</v>
      </c>
      <c r="AD189" s="19">
        <v>22535.530631692342</v>
      </c>
      <c r="AE189" s="19">
        <v>21200</v>
      </c>
      <c r="AF189" s="19">
        <v>18604</v>
      </c>
      <c r="AG189" s="24">
        <v>62371.543690947292</v>
      </c>
      <c r="AH189" s="17">
        <f t="shared" si="112"/>
        <v>23016</v>
      </c>
      <c r="AI189" s="20">
        <v>5074</v>
      </c>
      <c r="AJ189" s="21">
        <v>167400</v>
      </c>
      <c r="AK189" s="22">
        <v>511862</v>
      </c>
      <c r="AL189" s="22">
        <v>541097</v>
      </c>
      <c r="AM189" s="16">
        <v>402</v>
      </c>
      <c r="AN189" s="23">
        <f t="shared" si="78"/>
        <v>10453.48</v>
      </c>
      <c r="AO189" s="23">
        <f t="shared" si="79"/>
        <v>7000</v>
      </c>
      <c r="AP189" s="23">
        <f t="shared" si="80"/>
        <v>343.03</v>
      </c>
      <c r="AQ189" s="23">
        <f t="shared" si="81"/>
        <v>268.16000000000003</v>
      </c>
      <c r="AR189" s="23">
        <f t="shared" si="82"/>
        <v>0</v>
      </c>
      <c r="AS189" s="23">
        <f t="shared" si="83"/>
        <v>3913.93</v>
      </c>
      <c r="AT189" s="23">
        <f t="shared" si="84"/>
        <v>571.14</v>
      </c>
      <c r="AU189" s="23">
        <f t="shared" si="85"/>
        <v>0</v>
      </c>
      <c r="AV189" s="23">
        <f t="shared" si="86"/>
        <v>116.67</v>
      </c>
      <c r="AW189" s="23">
        <f t="shared" si="87"/>
        <v>0</v>
      </c>
      <c r="AX189" s="23">
        <f t="shared" si="88"/>
        <v>0</v>
      </c>
      <c r="AY189" s="23">
        <f t="shared" si="89"/>
        <v>0</v>
      </c>
      <c r="AZ189" s="23">
        <f t="shared" si="90"/>
        <v>6545.52</v>
      </c>
      <c r="BA189" s="23">
        <f t="shared" si="91"/>
        <v>4842.54</v>
      </c>
      <c r="BB189" s="23">
        <f t="shared" si="92"/>
        <v>606.97</v>
      </c>
      <c r="BC189" s="23">
        <f t="shared" si="93"/>
        <v>268.66000000000003</v>
      </c>
      <c r="BD189" s="23">
        <f t="shared" si="94"/>
        <v>4986.07</v>
      </c>
      <c r="BE189" s="23">
        <f t="shared" si="95"/>
        <v>1843.03</v>
      </c>
      <c r="BF189" s="23">
        <f t="shared" si="96"/>
        <v>4568.66</v>
      </c>
      <c r="BG189" s="23">
        <f t="shared" si="97"/>
        <v>40297.760000000002</v>
      </c>
      <c r="BH189" s="23">
        <f t="shared" si="98"/>
        <v>46327.86</v>
      </c>
      <c r="BI189" s="23">
        <f t="shared" si="99"/>
        <v>40602.49</v>
      </c>
      <c r="BJ189" s="23">
        <f t="shared" si="100"/>
        <v>42376.62</v>
      </c>
      <c r="BK189" s="23">
        <f t="shared" si="101"/>
        <v>4878.8599999999997</v>
      </c>
      <c r="BL189" s="23">
        <f t="shared" si="102"/>
        <v>4751.24</v>
      </c>
      <c r="BM189" s="23">
        <f t="shared" si="103"/>
        <v>5101.99</v>
      </c>
      <c r="BN189" s="23">
        <f t="shared" si="104"/>
        <v>11985.44</v>
      </c>
      <c r="BO189" s="23">
        <f t="shared" si="105"/>
        <v>6379.59</v>
      </c>
      <c r="BP189" s="23">
        <f t="shared" si="106"/>
        <v>5605.85</v>
      </c>
      <c r="BQ189" s="23">
        <f t="shared" si="107"/>
        <v>5273.63</v>
      </c>
      <c r="BR189" s="23">
        <f t="shared" si="108"/>
        <v>4627.8599999999997</v>
      </c>
      <c r="BS189" s="23">
        <f t="shared" si="109"/>
        <v>15515.31</v>
      </c>
      <c r="BT189" s="23">
        <f t="shared" si="115"/>
        <v>5725.37</v>
      </c>
      <c r="BU189" s="23">
        <f t="shared" si="115"/>
        <v>1262.19</v>
      </c>
      <c r="BV189" s="23">
        <f t="shared" si="115"/>
        <v>41641.79</v>
      </c>
      <c r="BW189" s="23">
        <f t="shared" si="115"/>
        <v>127328.86</v>
      </c>
      <c r="BX189" s="23">
        <f t="shared" si="115"/>
        <v>134601.24</v>
      </c>
      <c r="BY189" t="s">
        <v>270</v>
      </c>
      <c r="BZ189" t="s">
        <v>313</v>
      </c>
      <c r="CE189" t="s">
        <v>267</v>
      </c>
      <c r="CF189" t="s">
        <v>266</v>
      </c>
      <c r="CG189" t="s">
        <v>266</v>
      </c>
      <c r="CH189" t="s">
        <v>266</v>
      </c>
      <c r="CI189" t="s">
        <v>266</v>
      </c>
      <c r="CJ189" t="s">
        <v>266</v>
      </c>
      <c r="CK189" t="s">
        <v>267</v>
      </c>
      <c r="CL189" t="s">
        <v>267</v>
      </c>
      <c r="CM189" t="s">
        <v>267</v>
      </c>
      <c r="CN189" t="s">
        <v>267</v>
      </c>
      <c r="CO189" t="s">
        <v>267</v>
      </c>
    </row>
    <row r="190" spans="1:93" x14ac:dyDescent="0.25">
      <c r="A190" s="2" t="s">
        <v>196</v>
      </c>
      <c r="B190" s="17">
        <v>44313</v>
      </c>
      <c r="C190" s="17">
        <v>31517</v>
      </c>
      <c r="D190" s="17">
        <v>2323</v>
      </c>
      <c r="E190" s="17">
        <v>1071</v>
      </c>
      <c r="F190" s="17">
        <v>0</v>
      </c>
      <c r="G190" s="17">
        <v>18537</v>
      </c>
      <c r="H190" s="17">
        <v>1371</v>
      </c>
      <c r="I190" s="17">
        <v>0</v>
      </c>
      <c r="J190" s="17">
        <v>377</v>
      </c>
      <c r="K190" s="17">
        <v>0</v>
      </c>
      <c r="L190" s="17">
        <v>0</v>
      </c>
      <c r="M190" s="17">
        <v>0</v>
      </c>
      <c r="N190" s="17">
        <v>29869</v>
      </c>
      <c r="O190" s="17">
        <v>20659</v>
      </c>
      <c r="P190" s="17">
        <v>2255</v>
      </c>
      <c r="Q190" s="17">
        <v>1150</v>
      </c>
      <c r="R190" s="17">
        <v>21293</v>
      </c>
      <c r="S190" s="17">
        <v>8668</v>
      </c>
      <c r="T190" s="17">
        <v>20541</v>
      </c>
      <c r="U190" s="17">
        <v>177701</v>
      </c>
      <c r="V190" s="17">
        <f t="shared" si="111"/>
        <v>203944</v>
      </c>
      <c r="W190" s="18">
        <v>168318</v>
      </c>
      <c r="X190" s="19">
        <v>177247</v>
      </c>
      <c r="Y190" s="19">
        <v>19583</v>
      </c>
      <c r="Z190" s="19">
        <v>19400</v>
      </c>
      <c r="AA190" s="19">
        <v>22684.385275196568</v>
      </c>
      <c r="AB190" s="19">
        <v>48818.03311454189</v>
      </c>
      <c r="AC190" s="19">
        <v>26882.903017406737</v>
      </c>
      <c r="AD190" s="19">
        <v>21935.130097135156</v>
      </c>
      <c r="AE190" s="19">
        <v>23100</v>
      </c>
      <c r="AF190" s="19">
        <v>18941</v>
      </c>
      <c r="AG190" s="24">
        <v>63886.581610261543</v>
      </c>
      <c r="AH190" s="17">
        <f t="shared" si="112"/>
        <v>35626</v>
      </c>
      <c r="AI190" s="20">
        <v>5530</v>
      </c>
      <c r="AJ190" s="21">
        <v>153700</v>
      </c>
      <c r="AK190" s="22">
        <v>570572</v>
      </c>
      <c r="AL190" s="22">
        <v>600032</v>
      </c>
      <c r="AM190" s="16">
        <v>421.7</v>
      </c>
      <c r="AN190" s="23">
        <f t="shared" si="78"/>
        <v>10508.18</v>
      </c>
      <c r="AO190" s="23">
        <f t="shared" si="79"/>
        <v>7473.8</v>
      </c>
      <c r="AP190" s="23">
        <f t="shared" si="80"/>
        <v>550.87</v>
      </c>
      <c r="AQ190" s="23">
        <f t="shared" si="81"/>
        <v>253.97</v>
      </c>
      <c r="AR190" s="23">
        <f t="shared" si="82"/>
        <v>0</v>
      </c>
      <c r="AS190" s="23">
        <f t="shared" si="83"/>
        <v>4395.78</v>
      </c>
      <c r="AT190" s="23">
        <f t="shared" si="84"/>
        <v>325.11</v>
      </c>
      <c r="AU190" s="23">
        <f t="shared" si="85"/>
        <v>0</v>
      </c>
      <c r="AV190" s="23">
        <f t="shared" si="86"/>
        <v>89.4</v>
      </c>
      <c r="AW190" s="23">
        <f t="shared" si="87"/>
        <v>0</v>
      </c>
      <c r="AX190" s="23">
        <f t="shared" si="88"/>
        <v>0</v>
      </c>
      <c r="AY190" s="23">
        <f t="shared" si="89"/>
        <v>0</v>
      </c>
      <c r="AZ190" s="23">
        <f t="shared" si="90"/>
        <v>7083</v>
      </c>
      <c r="BA190" s="23">
        <f t="shared" si="91"/>
        <v>4898.9799999999996</v>
      </c>
      <c r="BB190" s="23">
        <f t="shared" si="92"/>
        <v>534.74</v>
      </c>
      <c r="BC190" s="23">
        <f t="shared" si="93"/>
        <v>272.70999999999998</v>
      </c>
      <c r="BD190" s="23">
        <f t="shared" si="94"/>
        <v>5049.32</v>
      </c>
      <c r="BE190" s="23">
        <f t="shared" si="95"/>
        <v>2055.4899999999998</v>
      </c>
      <c r="BF190" s="23">
        <f t="shared" si="96"/>
        <v>4871</v>
      </c>
      <c r="BG190" s="23">
        <f t="shared" si="97"/>
        <v>42139.199999999997</v>
      </c>
      <c r="BH190" s="23">
        <f t="shared" si="98"/>
        <v>48362.34</v>
      </c>
      <c r="BI190" s="23">
        <f t="shared" si="99"/>
        <v>39914.160000000003</v>
      </c>
      <c r="BJ190" s="23">
        <f t="shared" si="100"/>
        <v>42031.54</v>
      </c>
      <c r="BK190" s="23">
        <f t="shared" si="101"/>
        <v>4643.82</v>
      </c>
      <c r="BL190" s="23">
        <f t="shared" si="102"/>
        <v>4600.43</v>
      </c>
      <c r="BM190" s="23">
        <f t="shared" si="103"/>
        <v>5379.27</v>
      </c>
      <c r="BN190" s="23">
        <f t="shared" si="104"/>
        <v>11576.48</v>
      </c>
      <c r="BO190" s="23">
        <f t="shared" si="105"/>
        <v>6374.89</v>
      </c>
      <c r="BP190" s="23">
        <f t="shared" si="106"/>
        <v>5201.6000000000004</v>
      </c>
      <c r="BQ190" s="23">
        <f t="shared" si="107"/>
        <v>5477.83</v>
      </c>
      <c r="BR190" s="23">
        <f t="shared" si="108"/>
        <v>4491.58</v>
      </c>
      <c r="BS190" s="23">
        <f t="shared" si="109"/>
        <v>15149.77</v>
      </c>
      <c r="BT190" s="23">
        <f t="shared" si="115"/>
        <v>8448.19</v>
      </c>
      <c r="BU190" s="23">
        <f t="shared" si="115"/>
        <v>1311.36</v>
      </c>
      <c r="BV190" s="23">
        <f t="shared" si="115"/>
        <v>36447.71</v>
      </c>
      <c r="BW190" s="23">
        <f t="shared" si="115"/>
        <v>135302.82</v>
      </c>
      <c r="BX190" s="23">
        <f t="shared" si="115"/>
        <v>142288.82999999999</v>
      </c>
      <c r="BY190" t="s">
        <v>270</v>
      </c>
      <c r="BZ190" s="41" t="s">
        <v>315</v>
      </c>
      <c r="CE190" t="s">
        <v>267</v>
      </c>
      <c r="CF190" t="s">
        <v>266</v>
      </c>
      <c r="CG190" t="s">
        <v>266</v>
      </c>
      <c r="CH190" t="s">
        <v>266</v>
      </c>
      <c r="CI190" t="s">
        <v>266</v>
      </c>
      <c r="CJ190" t="s">
        <v>266</v>
      </c>
      <c r="CK190" t="s">
        <v>267</v>
      </c>
      <c r="CL190" t="s">
        <v>267</v>
      </c>
      <c r="CM190" t="s">
        <v>267</v>
      </c>
      <c r="CN190" t="s">
        <v>267</v>
      </c>
      <c r="CO190" t="s">
        <v>267</v>
      </c>
    </row>
    <row r="191" spans="1:93" x14ac:dyDescent="0.25">
      <c r="A191" s="2" t="s">
        <v>197</v>
      </c>
      <c r="B191" s="17">
        <v>50181</v>
      </c>
      <c r="C191" s="17">
        <v>33519</v>
      </c>
      <c r="D191" s="17">
        <v>1854</v>
      </c>
      <c r="E191" s="17">
        <v>1232</v>
      </c>
      <c r="F191" s="17">
        <v>0</v>
      </c>
      <c r="G191" s="17">
        <v>21495</v>
      </c>
      <c r="H191" s="17">
        <v>1050</v>
      </c>
      <c r="I191" s="17">
        <v>0</v>
      </c>
      <c r="J191" s="17">
        <v>338</v>
      </c>
      <c r="K191" s="17">
        <v>0</v>
      </c>
      <c r="L191" s="17">
        <v>0</v>
      </c>
      <c r="M191" s="17">
        <v>0</v>
      </c>
      <c r="N191" s="17">
        <v>32557</v>
      </c>
      <c r="O191" s="17">
        <v>21378</v>
      </c>
      <c r="P191" s="17">
        <v>2117</v>
      </c>
      <c r="Q191" s="17">
        <v>1236</v>
      </c>
      <c r="R191" s="17">
        <v>23418</v>
      </c>
      <c r="S191" s="17">
        <v>9481</v>
      </c>
      <c r="T191" s="17">
        <v>20145</v>
      </c>
      <c r="U191" s="17">
        <v>193243</v>
      </c>
      <c r="V191" s="17">
        <f t="shared" si="111"/>
        <v>220001</v>
      </c>
      <c r="W191" s="18">
        <v>187738</v>
      </c>
      <c r="X191" s="19">
        <v>192426</v>
      </c>
      <c r="Y191" s="19">
        <v>25727</v>
      </c>
      <c r="Z191" s="19">
        <v>21000</v>
      </c>
      <c r="AA191" s="19">
        <v>24388.06290207291</v>
      </c>
      <c r="AB191" s="19">
        <v>51909.540728857901</v>
      </c>
      <c r="AC191" s="19">
        <v>29338.375918997936</v>
      </c>
      <c r="AD191" s="19">
        <v>22571.164809859962</v>
      </c>
      <c r="AE191" s="19">
        <v>25900</v>
      </c>
      <c r="AF191" s="19">
        <v>19947</v>
      </c>
      <c r="AG191" s="24">
        <v>75008.396369069174</v>
      </c>
      <c r="AH191" s="17">
        <f t="shared" si="112"/>
        <v>32263</v>
      </c>
      <c r="AI191" s="20">
        <v>124</v>
      </c>
      <c r="AJ191" s="21">
        <v>151900</v>
      </c>
      <c r="AK191" s="22">
        <v>630291</v>
      </c>
      <c r="AL191" s="22">
        <v>659994</v>
      </c>
      <c r="AM191" s="16">
        <v>454.5</v>
      </c>
      <c r="AN191" s="23">
        <f t="shared" si="78"/>
        <v>11040.92</v>
      </c>
      <c r="AO191" s="23">
        <f t="shared" si="79"/>
        <v>7374.92</v>
      </c>
      <c r="AP191" s="23">
        <f t="shared" si="80"/>
        <v>407.92</v>
      </c>
      <c r="AQ191" s="23">
        <f t="shared" si="81"/>
        <v>271.07</v>
      </c>
      <c r="AR191" s="23">
        <f t="shared" si="82"/>
        <v>0</v>
      </c>
      <c r="AS191" s="23">
        <f t="shared" si="83"/>
        <v>4729.37</v>
      </c>
      <c r="AT191" s="23">
        <f t="shared" si="84"/>
        <v>231.02</v>
      </c>
      <c r="AU191" s="23">
        <f t="shared" si="85"/>
        <v>0</v>
      </c>
      <c r="AV191" s="23">
        <f t="shared" si="86"/>
        <v>74.37</v>
      </c>
      <c r="AW191" s="23">
        <f t="shared" si="87"/>
        <v>0</v>
      </c>
      <c r="AX191" s="23">
        <f t="shared" si="88"/>
        <v>0</v>
      </c>
      <c r="AY191" s="23">
        <f t="shared" si="89"/>
        <v>0</v>
      </c>
      <c r="AZ191" s="23">
        <f t="shared" si="90"/>
        <v>7163.26</v>
      </c>
      <c r="BA191" s="23">
        <f t="shared" si="91"/>
        <v>4703.63</v>
      </c>
      <c r="BB191" s="23">
        <f t="shared" si="92"/>
        <v>465.79</v>
      </c>
      <c r="BC191" s="23">
        <f t="shared" si="93"/>
        <v>271.95</v>
      </c>
      <c r="BD191" s="23">
        <f t="shared" si="94"/>
        <v>5152.4799999999996</v>
      </c>
      <c r="BE191" s="23">
        <f t="shared" si="95"/>
        <v>2086.0300000000002</v>
      </c>
      <c r="BF191" s="23">
        <f t="shared" si="96"/>
        <v>4432.34</v>
      </c>
      <c r="BG191" s="23">
        <f t="shared" si="97"/>
        <v>42517.71</v>
      </c>
      <c r="BH191" s="23">
        <f t="shared" si="98"/>
        <v>48405.06</v>
      </c>
      <c r="BI191" s="23">
        <f t="shared" si="99"/>
        <v>41306.49</v>
      </c>
      <c r="BJ191" s="23">
        <f t="shared" si="100"/>
        <v>42337.95</v>
      </c>
      <c r="BK191" s="23">
        <f t="shared" si="101"/>
        <v>5660.51</v>
      </c>
      <c r="BL191" s="23">
        <f t="shared" si="102"/>
        <v>4620.46</v>
      </c>
      <c r="BM191" s="23">
        <f t="shared" si="103"/>
        <v>5365.91</v>
      </c>
      <c r="BN191" s="23">
        <f t="shared" si="104"/>
        <v>11421.24</v>
      </c>
      <c r="BO191" s="23">
        <f t="shared" si="105"/>
        <v>6455.09</v>
      </c>
      <c r="BP191" s="23">
        <f t="shared" si="106"/>
        <v>4966.1499999999996</v>
      </c>
      <c r="BQ191" s="23">
        <f t="shared" si="107"/>
        <v>5698.57</v>
      </c>
      <c r="BR191" s="23">
        <f t="shared" si="108"/>
        <v>4388.78</v>
      </c>
      <c r="BS191" s="23">
        <f t="shared" si="109"/>
        <v>16503.5</v>
      </c>
      <c r="BT191" s="23">
        <f t="shared" si="115"/>
        <v>7098.57</v>
      </c>
      <c r="BU191" s="23">
        <f t="shared" si="115"/>
        <v>27.28</v>
      </c>
      <c r="BV191" s="23">
        <f t="shared" si="115"/>
        <v>33421.339999999997</v>
      </c>
      <c r="BW191" s="23">
        <f t="shared" si="115"/>
        <v>138677.89000000001</v>
      </c>
      <c r="BX191" s="23">
        <f t="shared" si="115"/>
        <v>145213.20000000001</v>
      </c>
      <c r="BY191" t="s">
        <v>270</v>
      </c>
      <c r="BZ191" t="s">
        <v>309</v>
      </c>
      <c r="CE191" t="s">
        <v>267</v>
      </c>
      <c r="CF191" t="s">
        <v>266</v>
      </c>
      <c r="CG191" t="s">
        <v>266</v>
      </c>
      <c r="CH191" t="s">
        <v>266</v>
      </c>
      <c r="CI191" t="s">
        <v>266</v>
      </c>
      <c r="CJ191" t="s">
        <v>266</v>
      </c>
      <c r="CK191" t="s">
        <v>267</v>
      </c>
      <c r="CL191" t="s">
        <v>267</v>
      </c>
      <c r="CM191" t="s">
        <v>267</v>
      </c>
      <c r="CN191" t="s">
        <v>267</v>
      </c>
      <c r="CO191" t="s">
        <v>267</v>
      </c>
    </row>
    <row r="192" spans="1:93" x14ac:dyDescent="0.25">
      <c r="A192" s="2" t="s">
        <v>198</v>
      </c>
      <c r="B192" s="17">
        <v>56008</v>
      </c>
      <c r="C192" s="17">
        <v>35006</v>
      </c>
      <c r="D192" s="17">
        <v>1852</v>
      </c>
      <c r="E192" s="17">
        <v>1262</v>
      </c>
      <c r="F192" s="17">
        <v>10057</v>
      </c>
      <c r="G192" s="17">
        <v>21495</v>
      </c>
      <c r="H192" s="17">
        <v>860</v>
      </c>
      <c r="I192" s="17">
        <v>0</v>
      </c>
      <c r="J192" s="17">
        <v>267</v>
      </c>
      <c r="K192" s="17">
        <v>0</v>
      </c>
      <c r="L192" s="17">
        <v>0</v>
      </c>
      <c r="M192" s="17">
        <v>0</v>
      </c>
      <c r="N192" s="17">
        <v>34034</v>
      </c>
      <c r="O192" s="17">
        <v>23749</v>
      </c>
      <c r="P192" s="17">
        <v>1703</v>
      </c>
      <c r="Q192" s="17">
        <v>1358</v>
      </c>
      <c r="R192" s="17">
        <v>25644</v>
      </c>
      <c r="S192" s="17">
        <v>9071</v>
      </c>
      <c r="T192" s="17">
        <v>9528</v>
      </c>
      <c r="U192" s="17">
        <v>206558</v>
      </c>
      <c r="V192" s="17">
        <f t="shared" si="111"/>
        <v>231894</v>
      </c>
      <c r="W192" s="18">
        <v>218137</v>
      </c>
      <c r="X192" s="19">
        <v>209798</v>
      </c>
      <c r="Y192" s="19">
        <v>26971</v>
      </c>
      <c r="Z192" s="19">
        <v>22000</v>
      </c>
      <c r="AA192" s="19">
        <v>27100</v>
      </c>
      <c r="AB192" s="19">
        <v>58269.547581455648</v>
      </c>
      <c r="AC192" s="19">
        <v>32743.679708457705</v>
      </c>
      <c r="AD192" s="19">
        <v>25525.867872997944</v>
      </c>
      <c r="AE192" s="19">
        <v>28100</v>
      </c>
      <c r="AF192" s="19">
        <v>20071</v>
      </c>
      <c r="AG192" s="24">
        <v>81228.452418544373</v>
      </c>
      <c r="AH192" s="17">
        <f t="shared" si="112"/>
        <v>13757</v>
      </c>
      <c r="AI192" s="20">
        <v>7315</v>
      </c>
      <c r="AJ192" s="21">
        <v>151100</v>
      </c>
      <c r="AK192" s="22">
        <v>679960</v>
      </c>
      <c r="AL192" s="22">
        <v>697151</v>
      </c>
      <c r="AM192" s="16">
        <v>497.5</v>
      </c>
      <c r="AN192" s="23">
        <f t="shared" si="78"/>
        <v>11257.89</v>
      </c>
      <c r="AO192" s="23">
        <f t="shared" si="79"/>
        <v>7036.38</v>
      </c>
      <c r="AP192" s="23">
        <f t="shared" si="80"/>
        <v>372.26</v>
      </c>
      <c r="AQ192" s="23">
        <f t="shared" si="81"/>
        <v>253.67</v>
      </c>
      <c r="AR192" s="23">
        <f t="shared" si="82"/>
        <v>2021.51</v>
      </c>
      <c r="AS192" s="23">
        <f t="shared" si="83"/>
        <v>4320.6000000000004</v>
      </c>
      <c r="AT192" s="23">
        <f t="shared" si="84"/>
        <v>172.86</v>
      </c>
      <c r="AU192" s="23">
        <f t="shared" si="85"/>
        <v>0</v>
      </c>
      <c r="AV192" s="23">
        <f t="shared" si="86"/>
        <v>53.67</v>
      </c>
      <c r="AW192" s="23">
        <f t="shared" si="87"/>
        <v>0</v>
      </c>
      <c r="AX192" s="23">
        <f t="shared" si="88"/>
        <v>0</v>
      </c>
      <c r="AY192" s="23">
        <f t="shared" si="89"/>
        <v>0</v>
      </c>
      <c r="AZ192" s="23">
        <f t="shared" si="90"/>
        <v>6841.01</v>
      </c>
      <c r="BA192" s="23">
        <f t="shared" si="91"/>
        <v>4773.67</v>
      </c>
      <c r="BB192" s="23">
        <f t="shared" si="92"/>
        <v>342.31</v>
      </c>
      <c r="BC192" s="23">
        <f t="shared" si="93"/>
        <v>272.95999999999998</v>
      </c>
      <c r="BD192" s="23">
        <f t="shared" si="94"/>
        <v>5154.57</v>
      </c>
      <c r="BE192" s="23">
        <f t="shared" si="95"/>
        <v>1823.32</v>
      </c>
      <c r="BF192" s="23">
        <f t="shared" si="96"/>
        <v>1915.18</v>
      </c>
      <c r="BG192" s="23">
        <f t="shared" si="97"/>
        <v>41519.199999999997</v>
      </c>
      <c r="BH192" s="23">
        <f t="shared" si="98"/>
        <v>46611.86</v>
      </c>
      <c r="BI192" s="23">
        <f t="shared" si="99"/>
        <v>43846.63</v>
      </c>
      <c r="BJ192" s="23">
        <f t="shared" si="100"/>
        <v>42170.45</v>
      </c>
      <c r="BK192" s="23">
        <f t="shared" si="101"/>
        <v>5421.31</v>
      </c>
      <c r="BL192" s="23">
        <f t="shared" si="102"/>
        <v>4422.1099999999997</v>
      </c>
      <c r="BM192" s="23">
        <f t="shared" si="103"/>
        <v>5447.24</v>
      </c>
      <c r="BN192" s="23">
        <f t="shared" si="104"/>
        <v>11712.47</v>
      </c>
      <c r="BO192" s="23">
        <f t="shared" si="105"/>
        <v>6581.64</v>
      </c>
      <c r="BP192" s="23">
        <f t="shared" si="106"/>
        <v>5130.83</v>
      </c>
      <c r="BQ192" s="23">
        <f t="shared" si="107"/>
        <v>5648.24</v>
      </c>
      <c r="BR192" s="23">
        <f t="shared" si="108"/>
        <v>4034.37</v>
      </c>
      <c r="BS192" s="23">
        <f t="shared" si="109"/>
        <v>16327.33</v>
      </c>
      <c r="BT192" s="23">
        <f t="shared" si="115"/>
        <v>2765.23</v>
      </c>
      <c r="BU192" s="23">
        <f t="shared" si="115"/>
        <v>1470.35</v>
      </c>
      <c r="BV192" s="23">
        <f t="shared" si="115"/>
        <v>30371.86</v>
      </c>
      <c r="BW192" s="23">
        <f t="shared" si="115"/>
        <v>136675.38</v>
      </c>
      <c r="BX192" s="23">
        <f t="shared" si="115"/>
        <v>140130.85</v>
      </c>
      <c r="BY192" t="s">
        <v>270</v>
      </c>
      <c r="CE192" t="s">
        <v>267</v>
      </c>
      <c r="CF192" t="s">
        <v>266</v>
      </c>
      <c r="CG192" t="s">
        <v>266</v>
      </c>
      <c r="CH192" t="s">
        <v>266</v>
      </c>
      <c r="CI192" t="s">
        <v>266</v>
      </c>
      <c r="CJ192" t="s">
        <v>266</v>
      </c>
      <c r="CK192" t="s">
        <v>267</v>
      </c>
      <c r="CL192" t="s">
        <v>267</v>
      </c>
      <c r="CM192" t="s">
        <v>267</v>
      </c>
      <c r="CN192" t="s">
        <v>267</v>
      </c>
      <c r="CO192" t="s">
        <v>267</v>
      </c>
    </row>
    <row r="193" spans="1:93" x14ac:dyDescent="0.25">
      <c r="A193" s="2" t="s">
        <v>199</v>
      </c>
      <c r="B193" s="17">
        <v>64006</v>
      </c>
      <c r="C193" s="17">
        <v>36687</v>
      </c>
      <c r="D193" s="17">
        <v>1140</v>
      </c>
      <c r="E193" s="17">
        <v>1300</v>
      </c>
      <c r="F193" s="17">
        <v>11684</v>
      </c>
      <c r="G193" s="17">
        <v>18263</v>
      </c>
      <c r="H193" s="17">
        <v>216</v>
      </c>
      <c r="I193" s="17">
        <v>0</v>
      </c>
      <c r="J193" s="17">
        <v>268</v>
      </c>
      <c r="K193" s="17">
        <v>0</v>
      </c>
      <c r="L193" s="17">
        <v>0</v>
      </c>
      <c r="M193" s="17">
        <v>0</v>
      </c>
      <c r="N193" s="17">
        <v>39505</v>
      </c>
      <c r="O193" s="17">
        <v>26062</v>
      </c>
      <c r="P193" s="17">
        <v>1697</v>
      </c>
      <c r="Q193" s="17">
        <v>1485</v>
      </c>
      <c r="R193" s="17">
        <v>26531</v>
      </c>
      <c r="S193" s="17">
        <v>8547</v>
      </c>
      <c r="T193" s="17">
        <v>4337</v>
      </c>
      <c r="U193" s="17">
        <v>216750</v>
      </c>
      <c r="V193" s="17">
        <f t="shared" si="111"/>
        <v>241728</v>
      </c>
      <c r="W193" s="18">
        <v>246448</v>
      </c>
      <c r="X193" s="19">
        <v>233927.00000000003</v>
      </c>
      <c r="Y193" s="19">
        <v>28909</v>
      </c>
      <c r="Z193" s="19">
        <v>23200</v>
      </c>
      <c r="AA193" s="19">
        <v>30900</v>
      </c>
      <c r="AB193" s="19">
        <v>68405.124291743166</v>
      </c>
      <c r="AC193" s="19">
        <v>36657.357654676853</v>
      </c>
      <c r="AD193" s="19">
        <v>31747.766637066314</v>
      </c>
      <c r="AE193" s="19">
        <v>31300</v>
      </c>
      <c r="AF193" s="19">
        <v>18146</v>
      </c>
      <c r="AG193" s="24">
        <v>90884.875708256863</v>
      </c>
      <c r="AH193" s="17">
        <f t="shared" si="112"/>
        <v>-4720</v>
      </c>
      <c r="AI193" s="20">
        <v>23764</v>
      </c>
      <c r="AJ193" s="21">
        <v>165800</v>
      </c>
      <c r="AK193" s="22">
        <v>716107</v>
      </c>
      <c r="AL193" s="22">
        <v>726308</v>
      </c>
      <c r="AM193" s="16">
        <v>526.70000000000005</v>
      </c>
      <c r="AN193" s="23">
        <f t="shared" si="78"/>
        <v>12152.27</v>
      </c>
      <c r="AO193" s="23">
        <f t="shared" si="79"/>
        <v>6965.45</v>
      </c>
      <c r="AP193" s="23">
        <f t="shared" si="80"/>
        <v>216.44</v>
      </c>
      <c r="AQ193" s="23">
        <f t="shared" si="81"/>
        <v>246.82</v>
      </c>
      <c r="AR193" s="23">
        <f t="shared" si="82"/>
        <v>2218.34</v>
      </c>
      <c r="AS193" s="23">
        <f t="shared" si="83"/>
        <v>3467.44</v>
      </c>
      <c r="AT193" s="23">
        <f t="shared" si="84"/>
        <v>41.01</v>
      </c>
      <c r="AU193" s="23">
        <f t="shared" si="85"/>
        <v>0</v>
      </c>
      <c r="AV193" s="23">
        <f t="shared" si="86"/>
        <v>50.88</v>
      </c>
      <c r="AW193" s="23">
        <f t="shared" si="87"/>
        <v>0</v>
      </c>
      <c r="AX193" s="23">
        <f t="shared" si="88"/>
        <v>0</v>
      </c>
      <c r="AY193" s="23">
        <f t="shared" si="89"/>
        <v>0</v>
      </c>
      <c r="AZ193" s="23">
        <f t="shared" si="90"/>
        <v>7500.47</v>
      </c>
      <c r="BA193" s="23">
        <f t="shared" si="91"/>
        <v>4948.17</v>
      </c>
      <c r="BB193" s="23">
        <f t="shared" si="92"/>
        <v>322.19</v>
      </c>
      <c r="BC193" s="23">
        <f t="shared" si="93"/>
        <v>281.94</v>
      </c>
      <c r="BD193" s="23">
        <f t="shared" si="94"/>
        <v>5037.21</v>
      </c>
      <c r="BE193" s="23">
        <f t="shared" si="95"/>
        <v>1622.75</v>
      </c>
      <c r="BF193" s="23">
        <f t="shared" si="96"/>
        <v>823.43</v>
      </c>
      <c r="BG193" s="23">
        <f t="shared" si="97"/>
        <v>41152.46</v>
      </c>
      <c r="BH193" s="23">
        <f t="shared" si="98"/>
        <v>45894.82</v>
      </c>
      <c r="BI193" s="23">
        <f t="shared" si="99"/>
        <v>46790.96</v>
      </c>
      <c r="BJ193" s="23">
        <f t="shared" si="100"/>
        <v>44413.71</v>
      </c>
      <c r="BK193" s="23">
        <f t="shared" si="101"/>
        <v>5488.7</v>
      </c>
      <c r="BL193" s="23">
        <f t="shared" si="102"/>
        <v>4404.78</v>
      </c>
      <c r="BM193" s="23">
        <f t="shared" si="103"/>
        <v>5866.72</v>
      </c>
      <c r="BN193" s="23">
        <f t="shared" si="104"/>
        <v>12987.49</v>
      </c>
      <c r="BO193" s="23">
        <f t="shared" si="105"/>
        <v>6959.82</v>
      </c>
      <c r="BP193" s="23">
        <f t="shared" si="106"/>
        <v>6027.68</v>
      </c>
      <c r="BQ193" s="23">
        <f t="shared" si="107"/>
        <v>5942.66</v>
      </c>
      <c r="BR193" s="23">
        <f t="shared" si="108"/>
        <v>3445.22</v>
      </c>
      <c r="BS193" s="23">
        <f t="shared" si="109"/>
        <v>17255.53</v>
      </c>
      <c r="BT193" s="23">
        <f t="shared" si="115"/>
        <v>-896.15</v>
      </c>
      <c r="BU193" s="23">
        <f t="shared" si="115"/>
        <v>4511.87</v>
      </c>
      <c r="BV193" s="23">
        <f t="shared" si="115"/>
        <v>31479.02</v>
      </c>
      <c r="BW193" s="23">
        <f t="shared" si="115"/>
        <v>135961.07999999999</v>
      </c>
      <c r="BX193" s="23">
        <f t="shared" si="115"/>
        <v>137897.85</v>
      </c>
      <c r="BY193" t="s">
        <v>270</v>
      </c>
      <c r="CE193" t="s">
        <v>267</v>
      </c>
      <c r="CF193" t="s">
        <v>266</v>
      </c>
      <c r="CG193" t="s">
        <v>266</v>
      </c>
      <c r="CH193" t="s">
        <v>266</v>
      </c>
      <c r="CI193" t="s">
        <v>266</v>
      </c>
      <c r="CJ193" t="s">
        <v>266</v>
      </c>
      <c r="CK193" t="s">
        <v>267</v>
      </c>
      <c r="CL193" t="s">
        <v>267</v>
      </c>
      <c r="CM193" t="s">
        <v>267</v>
      </c>
      <c r="CN193" t="s">
        <v>267</v>
      </c>
      <c r="CO193" t="s">
        <v>267</v>
      </c>
    </row>
    <row r="194" spans="1:93" x14ac:dyDescent="0.25">
      <c r="A194" s="2" t="s">
        <v>200</v>
      </c>
      <c r="B194" s="17">
        <v>61561</v>
      </c>
      <c r="C194" s="17">
        <v>36972</v>
      </c>
      <c r="D194" s="17">
        <v>982</v>
      </c>
      <c r="E194" s="17">
        <v>1211</v>
      </c>
      <c r="F194" s="17">
        <v>11698</v>
      </c>
      <c r="G194" s="17">
        <v>15783</v>
      </c>
      <c r="H194" s="17">
        <v>69</v>
      </c>
      <c r="I194" s="17">
        <v>0</v>
      </c>
      <c r="J194" s="17">
        <v>290</v>
      </c>
      <c r="K194" s="17">
        <v>0</v>
      </c>
      <c r="L194" s="17">
        <v>0</v>
      </c>
      <c r="M194" s="17">
        <v>0</v>
      </c>
      <c r="N194" s="17">
        <v>41112</v>
      </c>
      <c r="O194" s="17">
        <v>25674</v>
      </c>
      <c r="P194" s="17">
        <v>1268</v>
      </c>
      <c r="Q194" s="17">
        <v>1598</v>
      </c>
      <c r="R194" s="17">
        <v>26342</v>
      </c>
      <c r="S194" s="17">
        <v>8271</v>
      </c>
      <c r="T194" s="17">
        <v>5867</v>
      </c>
      <c r="U194" s="17">
        <v>214796</v>
      </c>
      <c r="V194" s="17">
        <f t="shared" si="111"/>
        <v>238698</v>
      </c>
      <c r="W194" s="18">
        <v>272535</v>
      </c>
      <c r="X194" s="19">
        <v>254853.99999999997</v>
      </c>
      <c r="Y194" s="19">
        <v>29341</v>
      </c>
      <c r="Z194" s="19">
        <v>23800</v>
      </c>
      <c r="AA194" s="19">
        <v>34200</v>
      </c>
      <c r="AB194" s="19">
        <v>77643.606136255607</v>
      </c>
      <c r="AC194" s="19">
        <v>39979.676958078584</v>
      </c>
      <c r="AD194" s="19">
        <v>37663.92917817703</v>
      </c>
      <c r="AE194" s="19">
        <v>33200</v>
      </c>
      <c r="AF194" s="19">
        <v>18556</v>
      </c>
      <c r="AG194" s="24">
        <v>96795.393863744379</v>
      </c>
      <c r="AH194" s="17">
        <f t="shared" si="112"/>
        <v>-33837</v>
      </c>
      <c r="AI194" s="20">
        <v>46347</v>
      </c>
      <c r="AJ194" s="21">
        <v>201900</v>
      </c>
      <c r="AK194" s="22">
        <v>738364</v>
      </c>
      <c r="AL194" s="22">
        <v>758349</v>
      </c>
      <c r="AM194" s="16">
        <v>546.4</v>
      </c>
      <c r="AN194" s="23">
        <f t="shared" ref="AN194:AN224" si="116">_xlfn.SINGLE(ROUND((B194/$AM194)*100,2))</f>
        <v>11266.65</v>
      </c>
      <c r="AO194" s="23">
        <f t="shared" ref="AO194:AO224" si="117">_xlfn.SINGLE(ROUND((C194/$AM194)*100,2))</f>
        <v>6766.47</v>
      </c>
      <c r="AP194" s="23">
        <f t="shared" ref="AP194:AP224" si="118">_xlfn.SINGLE(ROUND((D194/$AM194)*100,2))</f>
        <v>179.72</v>
      </c>
      <c r="AQ194" s="23">
        <f t="shared" ref="AQ194:AQ224" si="119">_xlfn.SINGLE(ROUND((E194/$AM194)*100,2))</f>
        <v>221.63</v>
      </c>
      <c r="AR194" s="23">
        <f t="shared" ref="AR194:AR224" si="120">_xlfn.SINGLE(ROUND((F194/$AM194)*100,2))</f>
        <v>2140.92</v>
      </c>
      <c r="AS194" s="23">
        <f t="shared" ref="AS194:AS224" si="121">_xlfn.SINGLE(ROUND((G194/$AM194)*100,2))</f>
        <v>2888.54</v>
      </c>
      <c r="AT194" s="23">
        <f t="shared" ref="AT194:AT224" si="122">_xlfn.SINGLE(ROUND((H194/$AM194)*100,2))</f>
        <v>12.63</v>
      </c>
      <c r="AU194" s="23">
        <f t="shared" ref="AU194:AU224" si="123">_xlfn.SINGLE(ROUND((I194/$AM194)*100,2))</f>
        <v>0</v>
      </c>
      <c r="AV194" s="23">
        <f t="shared" ref="AV194:AV224" si="124">_xlfn.SINGLE(ROUND((J194/$AM194)*100,2))</f>
        <v>53.07</v>
      </c>
      <c r="AW194" s="23">
        <f t="shared" ref="AW194:AW224" si="125">_xlfn.SINGLE(ROUND((K194/$AM194)*100,2))</f>
        <v>0</v>
      </c>
      <c r="AX194" s="23">
        <f t="shared" ref="AX194:AX224" si="126">_xlfn.SINGLE(ROUND((L194/$AM194)*100,2))</f>
        <v>0</v>
      </c>
      <c r="AY194" s="23">
        <f t="shared" ref="AY194:AY224" si="127">_xlfn.SINGLE(ROUND((M194/$AM194)*100,2))</f>
        <v>0</v>
      </c>
      <c r="AZ194" s="23">
        <f t="shared" ref="AZ194:AZ224" si="128">_xlfn.SINGLE(ROUND((N194/$AM194)*100,2))</f>
        <v>7524.16</v>
      </c>
      <c r="BA194" s="23">
        <f t="shared" ref="BA194:BA224" si="129">_xlfn.SINGLE(ROUND((O194/$AM194)*100,2))</f>
        <v>4698.76</v>
      </c>
      <c r="BB194" s="23">
        <f t="shared" ref="BB194:BB224" si="130">_xlfn.SINGLE(ROUND((P194/$AM194)*100,2))</f>
        <v>232.06</v>
      </c>
      <c r="BC194" s="23">
        <f t="shared" ref="BC194:BC224" si="131">_xlfn.SINGLE(ROUND((Q194/$AM194)*100,2))</f>
        <v>292.45999999999998</v>
      </c>
      <c r="BD194" s="23">
        <f t="shared" ref="BD194:BD224" si="132">_xlfn.SINGLE(ROUND((R194/$AM194)*100,2))</f>
        <v>4821.01</v>
      </c>
      <c r="BE194" s="23">
        <f t="shared" ref="BE194:BE224" si="133">_xlfn.SINGLE(ROUND((S194/$AM194)*100,2))</f>
        <v>1513.73</v>
      </c>
      <c r="BF194" s="23">
        <f t="shared" ref="BF194:BF224" si="134">_xlfn.SINGLE(ROUND((T194/$AM194)*100,2))</f>
        <v>1073.76</v>
      </c>
      <c r="BG194" s="23">
        <f t="shared" ref="BG194:BG224" si="135">_xlfn.SINGLE(ROUND((U194/$AM194)*100,2))</f>
        <v>39311.129999999997</v>
      </c>
      <c r="BH194" s="23">
        <f t="shared" ref="BH194:BH224" si="136">_xlfn.SINGLE(ROUND((V194/$AM194)*100,2))</f>
        <v>43685.58</v>
      </c>
      <c r="BI194" s="23">
        <f t="shared" ref="BI194:BI224" si="137">_xlfn.SINGLE(ROUND((W194/$AM194)*100,2))</f>
        <v>49878.29</v>
      </c>
      <c r="BJ194" s="23">
        <f t="shared" ref="BJ194:BJ224" si="138">_xlfn.SINGLE(ROUND((X194/$AM194)*100,2))</f>
        <v>46642.39</v>
      </c>
      <c r="BK194" s="23">
        <f t="shared" ref="BK194:BK224" si="139">_xlfn.SINGLE(ROUND((Y194/$AM194)*100,2))</f>
        <v>5369.88</v>
      </c>
      <c r="BL194" s="23">
        <f t="shared" ref="BL194:BL224" si="140">_xlfn.SINGLE(ROUND((Z194/$AM194)*100,2))</f>
        <v>4355.78</v>
      </c>
      <c r="BM194" s="23">
        <f t="shared" ref="BM194:BM224" si="141">_xlfn.SINGLE(ROUND((AA194/$AM194)*100,2))</f>
        <v>6259.15</v>
      </c>
      <c r="BN194" s="23">
        <f t="shared" ref="BN194:BN224" si="142">_xlfn.SINGLE(ROUND((AB194/$AM194)*100,2))</f>
        <v>14210.03</v>
      </c>
      <c r="BO194" s="23">
        <f t="shared" ref="BO194:BO224" si="143">_xlfn.SINGLE(ROUND((AC194/$AM194)*100,2))</f>
        <v>7316.92</v>
      </c>
      <c r="BP194" s="23">
        <f t="shared" ref="BP194:BP224" si="144">_xlfn.SINGLE(ROUND((AD194/$AM194)*100,2))</f>
        <v>6893.11</v>
      </c>
      <c r="BQ194" s="23">
        <f t="shared" ref="BQ194:BQ224" si="145">_xlfn.SINGLE(ROUND((AE194/$AM194)*100,2))</f>
        <v>6076.13</v>
      </c>
      <c r="BR194" s="23">
        <f t="shared" ref="BR194:BR224" si="146">_xlfn.SINGLE(ROUND((AF194/$AM194)*100,2))</f>
        <v>3396.05</v>
      </c>
      <c r="BS194" s="23">
        <f t="shared" ref="BS194:BS224" si="147">_xlfn.SINGLE(ROUND((AG194/$AM194)*100,2))</f>
        <v>17715.12</v>
      </c>
      <c r="BT194" s="23">
        <f t="shared" ref="BT194:BX209" si="148">_xlfn.SINGLE(ROUND((AH194/$AM194)*100,2))</f>
        <v>-6192.72</v>
      </c>
      <c r="BU194" s="23">
        <f t="shared" si="148"/>
        <v>8482.25</v>
      </c>
      <c r="BV194" s="23">
        <f t="shared" si="148"/>
        <v>36950.949999999997</v>
      </c>
      <c r="BW194" s="23">
        <f t="shared" si="148"/>
        <v>135132.5</v>
      </c>
      <c r="BX194" s="23">
        <f t="shared" si="148"/>
        <v>138790.07999999999</v>
      </c>
      <c r="BY194" t="s">
        <v>270</v>
      </c>
      <c r="CE194" t="s">
        <v>267</v>
      </c>
      <c r="CF194" t="s">
        <v>266</v>
      </c>
      <c r="CG194" t="s">
        <v>266</v>
      </c>
      <c r="CH194" t="s">
        <v>266</v>
      </c>
      <c r="CI194" t="s">
        <v>266</v>
      </c>
      <c r="CJ194" t="s">
        <v>266</v>
      </c>
      <c r="CK194" t="s">
        <v>267</v>
      </c>
      <c r="CL194" t="s">
        <v>267</v>
      </c>
      <c r="CM194" t="s">
        <v>267</v>
      </c>
      <c r="CN194" t="s">
        <v>267</v>
      </c>
      <c r="CO194" t="s">
        <v>267</v>
      </c>
    </row>
    <row r="195" spans="1:93" x14ac:dyDescent="0.25">
      <c r="A195" s="2" t="s">
        <v>201</v>
      </c>
      <c r="B195" s="17">
        <v>62810</v>
      </c>
      <c r="C195" s="17">
        <v>40136</v>
      </c>
      <c r="D195" s="17">
        <v>710</v>
      </c>
      <c r="E195" s="17">
        <v>1335</v>
      </c>
      <c r="F195" s="17">
        <v>11002</v>
      </c>
      <c r="G195" s="17">
        <v>14887</v>
      </c>
      <c r="H195" s="17">
        <v>359</v>
      </c>
      <c r="I195" s="17">
        <v>0</v>
      </c>
      <c r="J195" s="17">
        <v>149</v>
      </c>
      <c r="K195" s="17">
        <v>0</v>
      </c>
      <c r="L195" s="17">
        <v>0</v>
      </c>
      <c r="M195" s="17">
        <v>0</v>
      </c>
      <c r="N195" s="17">
        <v>43446</v>
      </c>
      <c r="O195" s="17">
        <v>27072</v>
      </c>
      <c r="P195" s="17">
        <v>1736</v>
      </c>
      <c r="Q195" s="17">
        <v>1683</v>
      </c>
      <c r="R195" s="17">
        <v>27096</v>
      </c>
      <c r="S195" s="17">
        <v>7988</v>
      </c>
      <c r="T195" s="17">
        <v>6157</v>
      </c>
      <c r="U195" s="17">
        <v>221792</v>
      </c>
      <c r="V195" s="17">
        <f t="shared" ref="V195:V224" si="149">SUM(B195:T195)</f>
        <v>246566</v>
      </c>
      <c r="W195" s="18">
        <v>281089</v>
      </c>
      <c r="X195" s="19">
        <v>268889</v>
      </c>
      <c r="Y195" s="19">
        <v>27519</v>
      </c>
      <c r="Z195" s="19">
        <v>23500</v>
      </c>
      <c r="AA195" s="19">
        <v>36600</v>
      </c>
      <c r="AB195" s="19">
        <v>85051.37677708744</v>
      </c>
      <c r="AC195" s="19">
        <v>43032.813814142879</v>
      </c>
      <c r="AD195" s="19">
        <v>42018.562962944561</v>
      </c>
      <c r="AE195" s="19">
        <v>34700</v>
      </c>
      <c r="AF195" s="19">
        <v>19827</v>
      </c>
      <c r="AG195" s="24">
        <v>96729.623222912589</v>
      </c>
      <c r="AH195" s="17">
        <f t="shared" ref="AH195:AH224" si="150">V195-W195</f>
        <v>-34523</v>
      </c>
      <c r="AI195" s="20">
        <v>51342</v>
      </c>
      <c r="AJ195" s="21">
        <v>249800</v>
      </c>
      <c r="AK195" s="22">
        <v>782760</v>
      </c>
      <c r="AL195" s="22">
        <v>803082</v>
      </c>
      <c r="AM195" s="16">
        <v>555.1</v>
      </c>
      <c r="AN195" s="23">
        <f t="shared" si="116"/>
        <v>11315.08</v>
      </c>
      <c r="AO195" s="23">
        <f t="shared" si="117"/>
        <v>7230.41</v>
      </c>
      <c r="AP195" s="23">
        <f t="shared" si="118"/>
        <v>127.9</v>
      </c>
      <c r="AQ195" s="23">
        <f t="shared" si="119"/>
        <v>240.5</v>
      </c>
      <c r="AR195" s="23">
        <f t="shared" si="120"/>
        <v>1981.99</v>
      </c>
      <c r="AS195" s="23">
        <f t="shared" si="121"/>
        <v>2681.86</v>
      </c>
      <c r="AT195" s="23">
        <f t="shared" si="122"/>
        <v>64.67</v>
      </c>
      <c r="AU195" s="23">
        <f t="shared" si="123"/>
        <v>0</v>
      </c>
      <c r="AV195" s="23">
        <f t="shared" si="124"/>
        <v>26.84</v>
      </c>
      <c r="AW195" s="23">
        <f t="shared" si="125"/>
        <v>0</v>
      </c>
      <c r="AX195" s="23">
        <f t="shared" si="126"/>
        <v>0</v>
      </c>
      <c r="AY195" s="23">
        <f t="shared" si="127"/>
        <v>0</v>
      </c>
      <c r="AZ195" s="23">
        <f t="shared" si="128"/>
        <v>7826.7</v>
      </c>
      <c r="BA195" s="23">
        <f t="shared" si="129"/>
        <v>4876.96</v>
      </c>
      <c r="BB195" s="23">
        <f t="shared" si="130"/>
        <v>312.74</v>
      </c>
      <c r="BC195" s="23">
        <f t="shared" si="131"/>
        <v>303.19</v>
      </c>
      <c r="BD195" s="23">
        <f t="shared" si="132"/>
        <v>4881.28</v>
      </c>
      <c r="BE195" s="23">
        <f t="shared" si="133"/>
        <v>1439.02</v>
      </c>
      <c r="BF195" s="23">
        <f t="shared" si="134"/>
        <v>1109.17</v>
      </c>
      <c r="BG195" s="23">
        <f t="shared" si="135"/>
        <v>39955.32</v>
      </c>
      <c r="BH195" s="23">
        <f t="shared" si="136"/>
        <v>44418.3</v>
      </c>
      <c r="BI195" s="23">
        <f t="shared" si="137"/>
        <v>50637.54</v>
      </c>
      <c r="BJ195" s="23">
        <f t="shared" si="138"/>
        <v>48439.74</v>
      </c>
      <c r="BK195" s="23">
        <f t="shared" si="139"/>
        <v>4957.49</v>
      </c>
      <c r="BL195" s="23">
        <f t="shared" si="140"/>
        <v>4233.47</v>
      </c>
      <c r="BM195" s="23">
        <f t="shared" si="141"/>
        <v>6593.41</v>
      </c>
      <c r="BN195" s="23">
        <f t="shared" si="142"/>
        <v>15321.81</v>
      </c>
      <c r="BO195" s="23">
        <f t="shared" si="143"/>
        <v>7752.26</v>
      </c>
      <c r="BP195" s="23">
        <f t="shared" si="144"/>
        <v>7569.55</v>
      </c>
      <c r="BQ195" s="23">
        <f t="shared" si="145"/>
        <v>6251.13</v>
      </c>
      <c r="BR195" s="23">
        <f t="shared" si="146"/>
        <v>3571.79</v>
      </c>
      <c r="BS195" s="23">
        <f t="shared" si="147"/>
        <v>17425.62</v>
      </c>
      <c r="BT195" s="23">
        <f t="shared" si="148"/>
        <v>-6219.24</v>
      </c>
      <c r="BU195" s="23">
        <f t="shared" si="148"/>
        <v>9249.14</v>
      </c>
      <c r="BV195" s="23">
        <f t="shared" si="148"/>
        <v>45000.9</v>
      </c>
      <c r="BW195" s="23">
        <f t="shared" si="148"/>
        <v>141012.43</v>
      </c>
      <c r="BX195" s="23">
        <f t="shared" si="148"/>
        <v>144673.39000000001</v>
      </c>
      <c r="BY195" t="s">
        <v>270</v>
      </c>
      <c r="BZ195" s="41" t="s">
        <v>316</v>
      </c>
      <c r="CE195" t="s">
        <v>267</v>
      </c>
      <c r="CF195" t="s">
        <v>266</v>
      </c>
      <c r="CG195" t="s">
        <v>266</v>
      </c>
      <c r="CH195" t="s">
        <v>266</v>
      </c>
      <c r="CI195" t="s">
        <v>266</v>
      </c>
      <c r="CJ195" t="s">
        <v>266</v>
      </c>
      <c r="CK195" t="s">
        <v>267</v>
      </c>
      <c r="CL195" t="s">
        <v>267</v>
      </c>
      <c r="CM195" t="s">
        <v>267</v>
      </c>
      <c r="CN195" t="s">
        <v>267</v>
      </c>
      <c r="CO195" t="s">
        <v>267</v>
      </c>
    </row>
    <row r="196" spans="1:93" x14ac:dyDescent="0.25">
      <c r="A196" s="2" t="s">
        <v>202</v>
      </c>
      <c r="B196" s="17">
        <v>67132</v>
      </c>
      <c r="C196" s="17">
        <v>42832</v>
      </c>
      <c r="D196" s="17">
        <v>926</v>
      </c>
      <c r="E196" s="17">
        <v>1409</v>
      </c>
      <c r="F196" s="17">
        <v>10862</v>
      </c>
      <c r="G196" s="17">
        <v>19390</v>
      </c>
      <c r="H196" s="17">
        <v>712</v>
      </c>
      <c r="I196" s="17">
        <v>0</v>
      </c>
      <c r="J196" s="17">
        <v>211</v>
      </c>
      <c r="K196" s="17">
        <v>0</v>
      </c>
      <c r="L196" s="17">
        <v>0</v>
      </c>
      <c r="M196" s="17">
        <v>0</v>
      </c>
      <c r="N196" s="17">
        <v>46526</v>
      </c>
      <c r="O196" s="17">
        <v>30087</v>
      </c>
      <c r="P196" s="17">
        <v>1799</v>
      </c>
      <c r="Q196" s="17">
        <v>1752</v>
      </c>
      <c r="R196" s="17">
        <v>27566</v>
      </c>
      <c r="S196" s="17">
        <v>8611</v>
      </c>
      <c r="T196" s="17">
        <v>6664</v>
      </c>
      <c r="U196" s="17">
        <v>240980</v>
      </c>
      <c r="V196" s="17">
        <f t="shared" si="149"/>
        <v>266479</v>
      </c>
      <c r="W196" s="18">
        <v>292082</v>
      </c>
      <c r="X196" s="19">
        <v>280560</v>
      </c>
      <c r="Y196" s="19">
        <v>27921</v>
      </c>
      <c r="Z196" s="19">
        <v>23300</v>
      </c>
      <c r="AA196" s="19">
        <v>39400</v>
      </c>
      <c r="AB196" s="19">
        <v>87553.369583067237</v>
      </c>
      <c r="AC196" s="19">
        <v>44133.708677834147</v>
      </c>
      <c r="AD196" s="19">
        <v>43419.66090523309</v>
      </c>
      <c r="AE196" s="19">
        <v>36200</v>
      </c>
      <c r="AF196" s="19">
        <v>22658</v>
      </c>
      <c r="AG196" s="24">
        <v>99369.630416932749</v>
      </c>
      <c r="AH196" s="17">
        <f t="shared" si="150"/>
        <v>-25603</v>
      </c>
      <c r="AI196" s="20">
        <v>43924</v>
      </c>
      <c r="AJ196" s="21">
        <v>290000</v>
      </c>
      <c r="AK196" s="22">
        <v>821496</v>
      </c>
      <c r="AL196" s="22">
        <v>841425</v>
      </c>
      <c r="AM196" s="16">
        <v>568.5</v>
      </c>
      <c r="AN196" s="23">
        <f t="shared" si="116"/>
        <v>11808.62</v>
      </c>
      <c r="AO196" s="23">
        <f t="shared" si="117"/>
        <v>7534.21</v>
      </c>
      <c r="AP196" s="23">
        <f t="shared" si="118"/>
        <v>162.88</v>
      </c>
      <c r="AQ196" s="23">
        <f t="shared" si="119"/>
        <v>247.85</v>
      </c>
      <c r="AR196" s="23">
        <f t="shared" si="120"/>
        <v>1910.64</v>
      </c>
      <c r="AS196" s="23">
        <f t="shared" si="121"/>
        <v>3410.73</v>
      </c>
      <c r="AT196" s="23">
        <f t="shared" si="122"/>
        <v>125.24</v>
      </c>
      <c r="AU196" s="23">
        <f t="shared" si="123"/>
        <v>0</v>
      </c>
      <c r="AV196" s="23">
        <f t="shared" si="124"/>
        <v>37.119999999999997</v>
      </c>
      <c r="AW196" s="23">
        <f t="shared" si="125"/>
        <v>0</v>
      </c>
      <c r="AX196" s="23">
        <f t="shared" si="126"/>
        <v>0</v>
      </c>
      <c r="AY196" s="23">
        <f t="shared" si="127"/>
        <v>0</v>
      </c>
      <c r="AZ196" s="23">
        <f t="shared" si="128"/>
        <v>8183.99</v>
      </c>
      <c r="BA196" s="23">
        <f t="shared" si="129"/>
        <v>5292.35</v>
      </c>
      <c r="BB196" s="23">
        <f t="shared" si="130"/>
        <v>316.45</v>
      </c>
      <c r="BC196" s="23">
        <f t="shared" si="131"/>
        <v>308.18</v>
      </c>
      <c r="BD196" s="23">
        <f t="shared" si="132"/>
        <v>4848.8999999999996</v>
      </c>
      <c r="BE196" s="23">
        <f t="shared" si="133"/>
        <v>1514.69</v>
      </c>
      <c r="BF196" s="23">
        <f t="shared" si="134"/>
        <v>1172.21</v>
      </c>
      <c r="BG196" s="23">
        <f t="shared" si="135"/>
        <v>42388.74</v>
      </c>
      <c r="BH196" s="23">
        <f t="shared" si="136"/>
        <v>46874.05</v>
      </c>
      <c r="BI196" s="23">
        <f t="shared" si="137"/>
        <v>51377.66</v>
      </c>
      <c r="BJ196" s="23">
        <f t="shared" si="138"/>
        <v>49350.92</v>
      </c>
      <c r="BK196" s="23">
        <f t="shared" si="139"/>
        <v>4911.3500000000004</v>
      </c>
      <c r="BL196" s="23">
        <f t="shared" si="140"/>
        <v>4098.5</v>
      </c>
      <c r="BM196" s="23">
        <f t="shared" si="141"/>
        <v>6930.52</v>
      </c>
      <c r="BN196" s="23">
        <f t="shared" si="142"/>
        <v>15400.77</v>
      </c>
      <c r="BO196" s="23">
        <f t="shared" si="143"/>
        <v>7763.19</v>
      </c>
      <c r="BP196" s="23">
        <f t="shared" si="144"/>
        <v>7637.58</v>
      </c>
      <c r="BQ196" s="23">
        <f t="shared" si="145"/>
        <v>6367.63</v>
      </c>
      <c r="BR196" s="23">
        <f t="shared" si="146"/>
        <v>3985.58</v>
      </c>
      <c r="BS196" s="23">
        <f t="shared" si="147"/>
        <v>17479.27</v>
      </c>
      <c r="BT196" s="23">
        <f t="shared" si="148"/>
        <v>-4503.6099999999997</v>
      </c>
      <c r="BU196" s="23">
        <f t="shared" si="148"/>
        <v>7726.3</v>
      </c>
      <c r="BV196" s="23">
        <f t="shared" si="148"/>
        <v>51011.43</v>
      </c>
      <c r="BW196" s="23">
        <f t="shared" si="148"/>
        <v>144502.37</v>
      </c>
      <c r="BX196" s="23">
        <f t="shared" si="148"/>
        <v>148007.92000000001</v>
      </c>
      <c r="BY196" t="s">
        <v>270</v>
      </c>
      <c r="CE196" t="s">
        <v>267</v>
      </c>
      <c r="CF196" t="s">
        <v>266</v>
      </c>
      <c r="CG196" t="s">
        <v>266</v>
      </c>
      <c r="CH196" t="s">
        <v>266</v>
      </c>
      <c r="CI196" t="s">
        <v>266</v>
      </c>
      <c r="CJ196" t="s">
        <v>266</v>
      </c>
      <c r="CK196" t="s">
        <v>267</v>
      </c>
      <c r="CL196" t="s">
        <v>267</v>
      </c>
      <c r="CM196" t="s">
        <v>267</v>
      </c>
      <c r="CN196" t="s">
        <v>267</v>
      </c>
      <c r="CO196" t="s">
        <v>267</v>
      </c>
    </row>
    <row r="197" spans="1:93" x14ac:dyDescent="0.25">
      <c r="A197" s="2" t="s">
        <v>203</v>
      </c>
      <c r="B197" s="17">
        <v>71400</v>
      </c>
      <c r="C197" s="17">
        <v>45007</v>
      </c>
      <c r="D197" s="17">
        <v>796</v>
      </c>
      <c r="E197" s="17">
        <v>1518</v>
      </c>
      <c r="F197" s="17">
        <v>11439</v>
      </c>
      <c r="G197" s="17">
        <v>23569</v>
      </c>
      <c r="H197" s="17">
        <v>968</v>
      </c>
      <c r="I197" s="17">
        <v>0</v>
      </c>
      <c r="J197" s="17">
        <v>171</v>
      </c>
      <c r="K197" s="17">
        <v>0</v>
      </c>
      <c r="L197" s="17">
        <v>0</v>
      </c>
      <c r="M197" s="17">
        <v>0</v>
      </c>
      <c r="N197" s="17">
        <v>48432</v>
      </c>
      <c r="O197" s="17">
        <v>34373</v>
      </c>
      <c r="P197" s="17">
        <v>2018</v>
      </c>
      <c r="Q197" s="17">
        <v>1820</v>
      </c>
      <c r="R197" s="17">
        <v>29161</v>
      </c>
      <c r="S197" s="17">
        <v>9324</v>
      </c>
      <c r="T197" s="17">
        <v>9292</v>
      </c>
      <c r="U197" s="17">
        <v>260558</v>
      </c>
      <c r="V197" s="17">
        <f t="shared" si="149"/>
        <v>289288</v>
      </c>
      <c r="W197" s="18">
        <v>306202.25</v>
      </c>
      <c r="X197" s="19">
        <v>294506</v>
      </c>
      <c r="Y197" s="19">
        <v>28238</v>
      </c>
      <c r="Z197" s="19">
        <v>22500</v>
      </c>
      <c r="AA197" s="19">
        <v>41400</v>
      </c>
      <c r="AB197" s="19">
        <v>91523.533142516433</v>
      </c>
      <c r="AC197" s="19">
        <v>45926.044259955663</v>
      </c>
      <c r="AD197" s="19">
        <v>45597.48888256077</v>
      </c>
      <c r="AE197" s="19">
        <v>37000</v>
      </c>
      <c r="AF197" s="19">
        <v>25899</v>
      </c>
      <c r="AG197" s="24">
        <v>104421.46685748361</v>
      </c>
      <c r="AH197" s="17">
        <f t="shared" si="150"/>
        <v>-16914.25</v>
      </c>
      <c r="AI197" s="20">
        <v>35535</v>
      </c>
      <c r="AJ197" s="21">
        <v>322100</v>
      </c>
      <c r="AK197" s="22">
        <v>866221</v>
      </c>
      <c r="AL197" s="22">
        <v>895885</v>
      </c>
      <c r="AM197" s="16">
        <v>588.20000000000005</v>
      </c>
      <c r="AN197" s="23">
        <f t="shared" si="116"/>
        <v>12138.73</v>
      </c>
      <c r="AO197" s="23">
        <f t="shared" si="117"/>
        <v>7651.65</v>
      </c>
      <c r="AP197" s="23">
        <f t="shared" si="118"/>
        <v>135.33000000000001</v>
      </c>
      <c r="AQ197" s="23">
        <f t="shared" si="119"/>
        <v>258.08</v>
      </c>
      <c r="AR197" s="23">
        <f t="shared" si="120"/>
        <v>1944.75</v>
      </c>
      <c r="AS197" s="23">
        <f t="shared" si="121"/>
        <v>4006.97</v>
      </c>
      <c r="AT197" s="23">
        <f t="shared" si="122"/>
        <v>164.57</v>
      </c>
      <c r="AU197" s="23">
        <f t="shared" si="123"/>
        <v>0</v>
      </c>
      <c r="AV197" s="23">
        <f t="shared" si="124"/>
        <v>29.07</v>
      </c>
      <c r="AW197" s="23">
        <f t="shared" si="125"/>
        <v>0</v>
      </c>
      <c r="AX197" s="23">
        <f t="shared" si="126"/>
        <v>0</v>
      </c>
      <c r="AY197" s="23">
        <f t="shared" si="127"/>
        <v>0</v>
      </c>
      <c r="AZ197" s="23">
        <f t="shared" si="128"/>
        <v>8233.93</v>
      </c>
      <c r="BA197" s="23">
        <f t="shared" si="129"/>
        <v>5843.76</v>
      </c>
      <c r="BB197" s="23">
        <f t="shared" si="130"/>
        <v>343.08</v>
      </c>
      <c r="BC197" s="23">
        <f t="shared" si="131"/>
        <v>309.42</v>
      </c>
      <c r="BD197" s="23">
        <f t="shared" si="132"/>
        <v>4957.67</v>
      </c>
      <c r="BE197" s="23">
        <f t="shared" si="133"/>
        <v>1585.18</v>
      </c>
      <c r="BF197" s="23">
        <f t="shared" si="134"/>
        <v>1579.73</v>
      </c>
      <c r="BG197" s="23">
        <f t="shared" si="135"/>
        <v>44297.52</v>
      </c>
      <c r="BH197" s="23">
        <f t="shared" si="136"/>
        <v>49181.91</v>
      </c>
      <c r="BI197" s="23">
        <f t="shared" si="137"/>
        <v>52057.51</v>
      </c>
      <c r="BJ197" s="23">
        <f t="shared" si="138"/>
        <v>50069.02</v>
      </c>
      <c r="BK197" s="23">
        <f t="shared" si="139"/>
        <v>4800.75</v>
      </c>
      <c r="BL197" s="23">
        <f t="shared" si="140"/>
        <v>3825.23</v>
      </c>
      <c r="BM197" s="23">
        <f t="shared" si="141"/>
        <v>7038.42</v>
      </c>
      <c r="BN197" s="23">
        <f t="shared" si="142"/>
        <v>15559.93</v>
      </c>
      <c r="BO197" s="23">
        <f t="shared" si="143"/>
        <v>7807.9</v>
      </c>
      <c r="BP197" s="23">
        <f t="shared" si="144"/>
        <v>7752.04</v>
      </c>
      <c r="BQ197" s="23">
        <f t="shared" si="145"/>
        <v>6290.38</v>
      </c>
      <c r="BR197" s="23">
        <f t="shared" si="146"/>
        <v>4403.09</v>
      </c>
      <c r="BS197" s="23">
        <f t="shared" si="147"/>
        <v>17752.71</v>
      </c>
      <c r="BT197" s="23">
        <f t="shared" si="148"/>
        <v>-2875.6</v>
      </c>
      <c r="BU197" s="23">
        <f t="shared" si="148"/>
        <v>6041.31</v>
      </c>
      <c r="BV197" s="23">
        <f t="shared" si="148"/>
        <v>54760.29</v>
      </c>
      <c r="BW197" s="23">
        <f t="shared" si="148"/>
        <v>147266.41</v>
      </c>
      <c r="BX197" s="23">
        <f t="shared" si="148"/>
        <v>152309.59</v>
      </c>
      <c r="BY197" t="s">
        <v>270</v>
      </c>
      <c r="CE197" t="s">
        <v>267</v>
      </c>
      <c r="CF197" t="s">
        <v>266</v>
      </c>
      <c r="CG197" t="s">
        <v>266</v>
      </c>
      <c r="CH197" t="s">
        <v>266</v>
      </c>
      <c r="CI197" t="s">
        <v>266</v>
      </c>
      <c r="CJ197" t="s">
        <v>266</v>
      </c>
      <c r="CK197" t="s">
        <v>267</v>
      </c>
      <c r="CL197" t="s">
        <v>267</v>
      </c>
      <c r="CM197" t="s">
        <v>267</v>
      </c>
      <c r="CN197" t="s">
        <v>267</v>
      </c>
      <c r="CO197" t="s">
        <v>267</v>
      </c>
    </row>
    <row r="198" spans="1:93" x14ac:dyDescent="0.25">
      <c r="A198" s="2" t="s">
        <v>204</v>
      </c>
      <c r="B198" s="17">
        <v>72039</v>
      </c>
      <c r="C198" s="17">
        <v>47219</v>
      </c>
      <c r="D198" s="17">
        <v>1132</v>
      </c>
      <c r="E198" s="17">
        <v>1558</v>
      </c>
      <c r="F198" s="17">
        <v>12238</v>
      </c>
      <c r="G198" s="17">
        <v>27787</v>
      </c>
      <c r="H198" s="17">
        <v>1729</v>
      </c>
      <c r="I198" s="17">
        <v>0</v>
      </c>
      <c r="J198" s="17">
        <v>199</v>
      </c>
      <c r="K198" s="17">
        <v>0</v>
      </c>
      <c r="L198" s="17">
        <v>0</v>
      </c>
      <c r="M198" s="17">
        <v>0</v>
      </c>
      <c r="N198" s="17">
        <v>51725</v>
      </c>
      <c r="O198" s="17">
        <v>35717</v>
      </c>
      <c r="P198" s="17">
        <v>2467</v>
      </c>
      <c r="Q198" s="17">
        <v>1916</v>
      </c>
      <c r="R198" s="17">
        <v>27846</v>
      </c>
      <c r="S198" s="17">
        <v>10069</v>
      </c>
      <c r="T198" s="17">
        <v>7927</v>
      </c>
      <c r="U198" s="17">
        <v>273893</v>
      </c>
      <c r="V198" s="17">
        <f t="shared" si="149"/>
        <v>301568</v>
      </c>
      <c r="W198" s="18">
        <v>312646.5</v>
      </c>
      <c r="X198" s="19">
        <v>303709</v>
      </c>
      <c r="Y198" s="19">
        <v>23600</v>
      </c>
      <c r="Z198" s="19">
        <v>22100</v>
      </c>
      <c r="AA198" s="19">
        <v>42800</v>
      </c>
      <c r="AB198" s="19">
        <v>95141.862756999981</v>
      </c>
      <c r="AC198" s="19">
        <v>48406.152115943732</v>
      </c>
      <c r="AD198" s="19">
        <v>46735.710641056248</v>
      </c>
      <c r="AE198" s="19">
        <v>37800</v>
      </c>
      <c r="AF198" s="19">
        <v>27402</v>
      </c>
      <c r="AG198" s="24">
        <v>102065.13724300002</v>
      </c>
      <c r="AH198" s="17">
        <f t="shared" si="150"/>
        <v>-11078.5</v>
      </c>
      <c r="AI198" s="20">
        <v>28924</v>
      </c>
      <c r="AJ198" s="21">
        <v>347000</v>
      </c>
      <c r="AK198" s="22">
        <v>924548</v>
      </c>
      <c r="AL198" s="22">
        <v>948382</v>
      </c>
      <c r="AM198" s="16">
        <v>602.4</v>
      </c>
      <c r="AN198" s="23">
        <f t="shared" si="116"/>
        <v>11958.67</v>
      </c>
      <c r="AO198" s="23">
        <f t="shared" si="117"/>
        <v>7838.48</v>
      </c>
      <c r="AP198" s="23">
        <f t="shared" si="118"/>
        <v>187.92</v>
      </c>
      <c r="AQ198" s="23">
        <f t="shared" si="119"/>
        <v>258.63</v>
      </c>
      <c r="AR198" s="23">
        <f t="shared" si="120"/>
        <v>2031.54</v>
      </c>
      <c r="AS198" s="23">
        <f t="shared" si="121"/>
        <v>4612.72</v>
      </c>
      <c r="AT198" s="23">
        <f t="shared" si="122"/>
        <v>287.02</v>
      </c>
      <c r="AU198" s="23">
        <f t="shared" si="123"/>
        <v>0</v>
      </c>
      <c r="AV198" s="23">
        <f t="shared" si="124"/>
        <v>33.03</v>
      </c>
      <c r="AW198" s="23">
        <f t="shared" si="125"/>
        <v>0</v>
      </c>
      <c r="AX198" s="23">
        <f t="shared" si="126"/>
        <v>0</v>
      </c>
      <c r="AY198" s="23">
        <f t="shared" si="127"/>
        <v>0</v>
      </c>
      <c r="AZ198" s="23">
        <f t="shared" si="128"/>
        <v>8586.49</v>
      </c>
      <c r="BA198" s="23">
        <f t="shared" si="129"/>
        <v>5929.12</v>
      </c>
      <c r="BB198" s="23">
        <f t="shared" si="130"/>
        <v>409.53</v>
      </c>
      <c r="BC198" s="23">
        <f t="shared" si="131"/>
        <v>318.06</v>
      </c>
      <c r="BD198" s="23">
        <f t="shared" si="132"/>
        <v>4622.51</v>
      </c>
      <c r="BE198" s="23">
        <f t="shared" si="133"/>
        <v>1671.48</v>
      </c>
      <c r="BF198" s="23">
        <f t="shared" si="134"/>
        <v>1315.9</v>
      </c>
      <c r="BG198" s="23">
        <f t="shared" si="135"/>
        <v>45466.97</v>
      </c>
      <c r="BH198" s="23">
        <f t="shared" si="136"/>
        <v>50061.09</v>
      </c>
      <c r="BI198" s="23">
        <f t="shared" si="137"/>
        <v>51900.15</v>
      </c>
      <c r="BJ198" s="23">
        <f t="shared" si="138"/>
        <v>50416.5</v>
      </c>
      <c r="BK198" s="23">
        <f t="shared" si="139"/>
        <v>3917.66</v>
      </c>
      <c r="BL198" s="23">
        <f t="shared" si="140"/>
        <v>3668.66</v>
      </c>
      <c r="BM198" s="23">
        <f t="shared" si="141"/>
        <v>7104.91</v>
      </c>
      <c r="BN198" s="23">
        <f t="shared" si="142"/>
        <v>15793.8</v>
      </c>
      <c r="BO198" s="23">
        <f t="shared" si="143"/>
        <v>8035.55</v>
      </c>
      <c r="BP198" s="23">
        <f t="shared" si="144"/>
        <v>7758.25</v>
      </c>
      <c r="BQ198" s="23">
        <f t="shared" si="145"/>
        <v>6274.9</v>
      </c>
      <c r="BR198" s="23">
        <f t="shared" si="146"/>
        <v>4548.8</v>
      </c>
      <c r="BS198" s="23">
        <f t="shared" si="147"/>
        <v>16943.080000000002</v>
      </c>
      <c r="BT198" s="23">
        <f t="shared" si="148"/>
        <v>-1839.06</v>
      </c>
      <c r="BU198" s="23">
        <f t="shared" si="148"/>
        <v>4801.46</v>
      </c>
      <c r="BV198" s="23">
        <f t="shared" si="148"/>
        <v>57602.92</v>
      </c>
      <c r="BW198" s="23">
        <f t="shared" si="148"/>
        <v>153477.42000000001</v>
      </c>
      <c r="BX198" s="23">
        <f t="shared" si="148"/>
        <v>157433.93</v>
      </c>
      <c r="BY198" t="s">
        <v>270</v>
      </c>
      <c r="CE198" t="s">
        <v>267</v>
      </c>
      <c r="CF198" t="s">
        <v>266</v>
      </c>
      <c r="CG198" t="s">
        <v>266</v>
      </c>
      <c r="CH198" t="s">
        <v>266</v>
      </c>
      <c r="CI198" t="s">
        <v>266</v>
      </c>
      <c r="CJ198" t="s">
        <v>266</v>
      </c>
      <c r="CK198" t="s">
        <v>267</v>
      </c>
      <c r="CL198" t="s">
        <v>267</v>
      </c>
      <c r="CM198" t="s">
        <v>267</v>
      </c>
      <c r="CN198" t="s">
        <v>267</v>
      </c>
      <c r="CO198" t="s">
        <v>267</v>
      </c>
    </row>
    <row r="199" spans="1:93" x14ac:dyDescent="0.25">
      <c r="A199" s="2" t="s">
        <v>205</v>
      </c>
      <c r="B199" s="17">
        <v>79838</v>
      </c>
      <c r="C199" s="17">
        <v>51692</v>
      </c>
      <c r="D199" s="17">
        <v>1470</v>
      </c>
      <c r="E199" s="17">
        <v>1684</v>
      </c>
      <c r="F199" s="17">
        <v>12850</v>
      </c>
      <c r="G199" s="17">
        <v>30437</v>
      </c>
      <c r="H199" s="17">
        <v>963</v>
      </c>
      <c r="I199" s="17">
        <v>0</v>
      </c>
      <c r="J199" s="17">
        <v>188</v>
      </c>
      <c r="K199" s="17">
        <v>0</v>
      </c>
      <c r="L199" s="17">
        <v>0</v>
      </c>
      <c r="M199" s="17">
        <v>2610</v>
      </c>
      <c r="N199" s="17">
        <v>55586</v>
      </c>
      <c r="O199" s="17">
        <v>38680</v>
      </c>
      <c r="P199" s="17">
        <v>3456</v>
      </c>
      <c r="Q199" s="17">
        <v>2009</v>
      </c>
      <c r="R199" s="17">
        <v>28916</v>
      </c>
      <c r="S199" s="17">
        <v>10945</v>
      </c>
      <c r="T199" s="17">
        <v>14876</v>
      </c>
      <c r="U199" s="17">
        <v>301039</v>
      </c>
      <c r="V199" s="17">
        <f t="shared" si="149"/>
        <v>336200</v>
      </c>
      <c r="W199" s="18">
        <v>317283.75</v>
      </c>
      <c r="X199" s="19">
        <v>317976</v>
      </c>
      <c r="Y199" s="19">
        <v>25216</v>
      </c>
      <c r="Z199" s="19">
        <v>21700</v>
      </c>
      <c r="AA199" s="19">
        <v>44500</v>
      </c>
      <c r="AB199" s="19">
        <v>96368.681757000013</v>
      </c>
      <c r="AC199" s="19">
        <v>50327.604841381646</v>
      </c>
      <c r="AD199" s="19">
        <v>46041.076915618367</v>
      </c>
      <c r="AE199" s="19">
        <v>38600</v>
      </c>
      <c r="AF199" s="19">
        <v>29430</v>
      </c>
      <c r="AG199" s="24">
        <v>112593.318243</v>
      </c>
      <c r="AH199" s="17">
        <f t="shared" si="150"/>
        <v>18916.25</v>
      </c>
      <c r="AI199" s="20">
        <v>10616</v>
      </c>
      <c r="AJ199" s="21">
        <v>360400</v>
      </c>
      <c r="AK199" s="22">
        <v>965482</v>
      </c>
      <c r="AL199" s="22">
        <v>985802</v>
      </c>
      <c r="AM199" s="16">
        <v>621.29999999999995</v>
      </c>
      <c r="AN199" s="23">
        <f t="shared" si="116"/>
        <v>12850.15</v>
      </c>
      <c r="AO199" s="23">
        <f t="shared" si="117"/>
        <v>8319.9699999999993</v>
      </c>
      <c r="AP199" s="23">
        <f t="shared" si="118"/>
        <v>236.6</v>
      </c>
      <c r="AQ199" s="23">
        <f t="shared" si="119"/>
        <v>271.04000000000002</v>
      </c>
      <c r="AR199" s="23">
        <f t="shared" si="120"/>
        <v>2068.2399999999998</v>
      </c>
      <c r="AS199" s="23">
        <f t="shared" si="121"/>
        <v>4898.92</v>
      </c>
      <c r="AT199" s="23">
        <f t="shared" si="122"/>
        <v>155</v>
      </c>
      <c r="AU199" s="23">
        <f t="shared" si="123"/>
        <v>0</v>
      </c>
      <c r="AV199" s="23">
        <f t="shared" si="124"/>
        <v>30.26</v>
      </c>
      <c r="AW199" s="23">
        <f t="shared" si="125"/>
        <v>0</v>
      </c>
      <c r="AX199" s="23">
        <f t="shared" si="126"/>
        <v>0</v>
      </c>
      <c r="AY199" s="23">
        <f t="shared" si="127"/>
        <v>420.09</v>
      </c>
      <c r="AZ199" s="23">
        <f t="shared" si="128"/>
        <v>8946.7199999999993</v>
      </c>
      <c r="BA199" s="23">
        <f t="shared" si="129"/>
        <v>6225.66</v>
      </c>
      <c r="BB199" s="23">
        <f t="shared" si="130"/>
        <v>556.25</v>
      </c>
      <c r="BC199" s="23">
        <f t="shared" si="131"/>
        <v>323.35000000000002</v>
      </c>
      <c r="BD199" s="23">
        <f t="shared" si="132"/>
        <v>4654.1099999999997</v>
      </c>
      <c r="BE199" s="23">
        <f t="shared" si="133"/>
        <v>1761.63</v>
      </c>
      <c r="BF199" s="23">
        <f t="shared" si="134"/>
        <v>2394.33</v>
      </c>
      <c r="BG199" s="23">
        <f t="shared" si="135"/>
        <v>48453.08</v>
      </c>
      <c r="BH199" s="23">
        <f t="shared" si="136"/>
        <v>54112.35</v>
      </c>
      <c r="BI199" s="23">
        <f t="shared" si="137"/>
        <v>51067.72</v>
      </c>
      <c r="BJ199" s="23">
        <f t="shared" si="138"/>
        <v>51179.14</v>
      </c>
      <c r="BK199" s="23">
        <f t="shared" si="139"/>
        <v>4058.59</v>
      </c>
      <c r="BL199" s="23">
        <f t="shared" si="140"/>
        <v>3492.68</v>
      </c>
      <c r="BM199" s="23">
        <f t="shared" si="141"/>
        <v>7162.4</v>
      </c>
      <c r="BN199" s="23">
        <f t="shared" si="142"/>
        <v>15510.81</v>
      </c>
      <c r="BO199" s="23">
        <f t="shared" si="143"/>
        <v>8100.37</v>
      </c>
      <c r="BP199" s="23">
        <f t="shared" si="144"/>
        <v>7410.44</v>
      </c>
      <c r="BQ199" s="23">
        <f t="shared" si="145"/>
        <v>6212.78</v>
      </c>
      <c r="BR199" s="23">
        <f t="shared" si="146"/>
        <v>4736.84</v>
      </c>
      <c r="BS199" s="23">
        <f t="shared" si="147"/>
        <v>18122.21</v>
      </c>
      <c r="BT199" s="23">
        <f t="shared" si="148"/>
        <v>3044.62</v>
      </c>
      <c r="BU199" s="23">
        <f t="shared" si="148"/>
        <v>1708.68</v>
      </c>
      <c r="BV199" s="23">
        <f t="shared" si="148"/>
        <v>58007.4</v>
      </c>
      <c r="BW199" s="23">
        <f t="shared" si="148"/>
        <v>155397.07</v>
      </c>
      <c r="BX199" s="23">
        <f t="shared" si="148"/>
        <v>158667.63</v>
      </c>
      <c r="BY199" t="s">
        <v>273</v>
      </c>
      <c r="CE199" t="s">
        <v>267</v>
      </c>
      <c r="CF199" t="s">
        <v>266</v>
      </c>
      <c r="CG199" t="s">
        <v>266</v>
      </c>
      <c r="CH199" t="s">
        <v>266</v>
      </c>
      <c r="CI199" t="s">
        <v>266</v>
      </c>
      <c r="CJ199" t="s">
        <v>266</v>
      </c>
      <c r="CK199" t="s">
        <v>267</v>
      </c>
      <c r="CL199" t="s">
        <v>267</v>
      </c>
      <c r="CM199" t="s">
        <v>267</v>
      </c>
      <c r="CN199" t="s">
        <v>267</v>
      </c>
      <c r="CO199" t="s">
        <v>267</v>
      </c>
    </row>
    <row r="200" spans="1:93" x14ac:dyDescent="0.25">
      <c r="A200" s="2" t="s">
        <v>206</v>
      </c>
      <c r="B200" s="17">
        <v>88995</v>
      </c>
      <c r="C200" s="17">
        <v>54746</v>
      </c>
      <c r="D200" s="17">
        <v>1964</v>
      </c>
      <c r="E200" s="17">
        <v>1785</v>
      </c>
      <c r="F200" s="17">
        <v>13198</v>
      </c>
      <c r="G200" s="17">
        <v>30032</v>
      </c>
      <c r="H200" s="17">
        <v>504</v>
      </c>
      <c r="I200" s="17">
        <v>0</v>
      </c>
      <c r="J200" s="17">
        <v>44</v>
      </c>
      <c r="K200" s="17">
        <v>0</v>
      </c>
      <c r="L200" s="17">
        <v>0</v>
      </c>
      <c r="M200" s="17">
        <v>2614</v>
      </c>
      <c r="N200" s="17">
        <v>58411</v>
      </c>
      <c r="O200" s="17">
        <v>41075</v>
      </c>
      <c r="P200" s="17">
        <v>4623</v>
      </c>
      <c r="Q200" s="17">
        <v>2179</v>
      </c>
      <c r="R200" s="17">
        <v>29706</v>
      </c>
      <c r="S200" s="17">
        <v>12146</v>
      </c>
      <c r="T200" s="17">
        <v>15830</v>
      </c>
      <c r="U200" s="17">
        <v>321166</v>
      </c>
      <c r="V200" s="17">
        <f t="shared" si="149"/>
        <v>357852</v>
      </c>
      <c r="W200" s="18">
        <v>325320</v>
      </c>
      <c r="X200" s="19">
        <v>327700.99999999994</v>
      </c>
      <c r="Y200" s="19">
        <v>26624</v>
      </c>
      <c r="Z200" s="19">
        <v>24500</v>
      </c>
      <c r="AA200" s="19">
        <v>46900</v>
      </c>
      <c r="AB200" s="19">
        <v>98777.216560038432</v>
      </c>
      <c r="AC200" s="19">
        <v>52496.115604629369</v>
      </c>
      <c r="AD200" s="19">
        <v>46281.100955409056</v>
      </c>
      <c r="AE200" s="19">
        <v>40000</v>
      </c>
      <c r="AF200" s="19">
        <v>30282</v>
      </c>
      <c r="AG200" s="24">
        <v>113865.78343996158</v>
      </c>
      <c r="AH200" s="17">
        <f t="shared" si="150"/>
        <v>32532</v>
      </c>
      <c r="AI200" s="20">
        <v>66</v>
      </c>
      <c r="AJ200" s="21">
        <v>363100</v>
      </c>
      <c r="AK200" s="22">
        <v>1010722</v>
      </c>
      <c r="AL200" s="22">
        <v>1032964</v>
      </c>
      <c r="AM200" s="16">
        <v>642.6</v>
      </c>
      <c r="AN200" s="23">
        <f t="shared" si="116"/>
        <v>13849.21</v>
      </c>
      <c r="AO200" s="23">
        <f t="shared" si="117"/>
        <v>8519.4500000000007</v>
      </c>
      <c r="AP200" s="23">
        <f t="shared" si="118"/>
        <v>305.63</v>
      </c>
      <c r="AQ200" s="23">
        <f t="shared" si="119"/>
        <v>277.77999999999997</v>
      </c>
      <c r="AR200" s="23">
        <f t="shared" si="120"/>
        <v>2053.84</v>
      </c>
      <c r="AS200" s="23">
        <f t="shared" si="121"/>
        <v>4673.51</v>
      </c>
      <c r="AT200" s="23">
        <f t="shared" si="122"/>
        <v>78.430000000000007</v>
      </c>
      <c r="AU200" s="23">
        <f t="shared" si="123"/>
        <v>0</v>
      </c>
      <c r="AV200" s="23">
        <f t="shared" si="124"/>
        <v>6.85</v>
      </c>
      <c r="AW200" s="23">
        <f t="shared" si="125"/>
        <v>0</v>
      </c>
      <c r="AX200" s="23">
        <f t="shared" si="126"/>
        <v>0</v>
      </c>
      <c r="AY200" s="23">
        <f t="shared" si="127"/>
        <v>406.78</v>
      </c>
      <c r="AZ200" s="23">
        <f t="shared" si="128"/>
        <v>9089.7900000000009</v>
      </c>
      <c r="BA200" s="23">
        <f t="shared" si="129"/>
        <v>6392</v>
      </c>
      <c r="BB200" s="23">
        <f t="shared" si="130"/>
        <v>719.42</v>
      </c>
      <c r="BC200" s="23">
        <f t="shared" si="131"/>
        <v>339.09</v>
      </c>
      <c r="BD200" s="23">
        <f t="shared" si="132"/>
        <v>4622.78</v>
      </c>
      <c r="BE200" s="23">
        <f t="shared" si="133"/>
        <v>1890.13</v>
      </c>
      <c r="BF200" s="23">
        <f t="shared" si="134"/>
        <v>2463.4299999999998</v>
      </c>
      <c r="BG200" s="23">
        <f t="shared" si="135"/>
        <v>49979.15</v>
      </c>
      <c r="BH200" s="23">
        <f t="shared" si="136"/>
        <v>55688.14</v>
      </c>
      <c r="BI200" s="23">
        <f t="shared" si="137"/>
        <v>50625.58</v>
      </c>
      <c r="BJ200" s="23">
        <f t="shared" si="138"/>
        <v>50996.11</v>
      </c>
      <c r="BK200" s="23">
        <f t="shared" si="139"/>
        <v>4143.17</v>
      </c>
      <c r="BL200" s="23">
        <f t="shared" si="140"/>
        <v>3812.64</v>
      </c>
      <c r="BM200" s="23">
        <f t="shared" si="141"/>
        <v>7298.47</v>
      </c>
      <c r="BN200" s="23">
        <f t="shared" si="142"/>
        <v>15371.49</v>
      </c>
      <c r="BO200" s="23">
        <f t="shared" si="143"/>
        <v>8169.33</v>
      </c>
      <c r="BP200" s="23">
        <f t="shared" si="144"/>
        <v>7202.16</v>
      </c>
      <c r="BQ200" s="23">
        <f t="shared" si="145"/>
        <v>6224.71</v>
      </c>
      <c r="BR200" s="23">
        <f t="shared" si="146"/>
        <v>4712.42</v>
      </c>
      <c r="BS200" s="23">
        <f t="shared" si="147"/>
        <v>17719.54</v>
      </c>
      <c r="BT200" s="23">
        <f t="shared" si="148"/>
        <v>5062.5600000000004</v>
      </c>
      <c r="BU200" s="23">
        <f t="shared" si="148"/>
        <v>10.27</v>
      </c>
      <c r="BV200" s="23">
        <f t="shared" si="148"/>
        <v>56504.82</v>
      </c>
      <c r="BW200" s="23">
        <f t="shared" si="148"/>
        <v>157286.34</v>
      </c>
      <c r="BX200" s="23">
        <f t="shared" si="148"/>
        <v>160747.59</v>
      </c>
      <c r="BY200" t="s">
        <v>273</v>
      </c>
      <c r="CE200" t="s">
        <v>267</v>
      </c>
      <c r="CF200" t="s">
        <v>266</v>
      </c>
      <c r="CG200" t="s">
        <v>266</v>
      </c>
      <c r="CH200" t="s">
        <v>266</v>
      </c>
      <c r="CI200" t="s">
        <v>266</v>
      </c>
      <c r="CJ200" t="s">
        <v>266</v>
      </c>
      <c r="CK200" t="s">
        <v>267</v>
      </c>
      <c r="CL200" t="s">
        <v>267</v>
      </c>
      <c r="CM200" t="s">
        <v>267</v>
      </c>
      <c r="CN200" t="s">
        <v>267</v>
      </c>
      <c r="CO200" t="s">
        <v>267</v>
      </c>
    </row>
    <row r="201" spans="1:93" x14ac:dyDescent="0.25">
      <c r="A201" s="2" t="s">
        <v>207</v>
      </c>
      <c r="B201" s="17">
        <v>96696</v>
      </c>
      <c r="C201" s="17">
        <v>56935</v>
      </c>
      <c r="D201" s="17">
        <v>2122</v>
      </c>
      <c r="E201" s="17">
        <v>2047.0000000000002</v>
      </c>
      <c r="F201" s="17">
        <v>14090</v>
      </c>
      <c r="G201" s="17">
        <v>34322</v>
      </c>
      <c r="H201" s="17">
        <v>853</v>
      </c>
      <c r="I201" s="17">
        <v>0</v>
      </c>
      <c r="J201" s="17">
        <v>0</v>
      </c>
      <c r="K201" s="17">
        <v>0</v>
      </c>
      <c r="L201" s="17">
        <v>0</v>
      </c>
      <c r="M201" s="17">
        <v>0</v>
      </c>
      <c r="N201" s="17">
        <v>62807</v>
      </c>
      <c r="O201" s="17">
        <v>42547.999999999993</v>
      </c>
      <c r="P201" s="17">
        <v>6898</v>
      </c>
      <c r="Q201" s="17">
        <v>2286</v>
      </c>
      <c r="R201" s="17">
        <v>28259</v>
      </c>
      <c r="S201" s="17">
        <v>13031</v>
      </c>
      <c r="T201" s="17">
        <v>16858</v>
      </c>
      <c r="U201" s="17">
        <v>344323</v>
      </c>
      <c r="V201" s="17">
        <f t="shared" si="149"/>
        <v>379752</v>
      </c>
      <c r="W201" s="18">
        <v>335431</v>
      </c>
      <c r="X201" s="19">
        <v>339399</v>
      </c>
      <c r="Y201" s="19">
        <v>28701</v>
      </c>
      <c r="Z201" s="19">
        <v>25100</v>
      </c>
      <c r="AA201" s="19">
        <v>49400</v>
      </c>
      <c r="AB201" s="19">
        <v>103489.68524246773</v>
      </c>
      <c r="AC201" s="19">
        <v>55731.707965315094</v>
      </c>
      <c r="AD201" s="19">
        <v>47757.977277152633</v>
      </c>
      <c r="AE201" s="19">
        <v>42200</v>
      </c>
      <c r="AF201" s="19">
        <v>26746</v>
      </c>
      <c r="AG201" s="24">
        <v>121164.31475753232</v>
      </c>
      <c r="AH201" s="17">
        <f t="shared" si="150"/>
        <v>44321</v>
      </c>
      <c r="AI201" s="20">
        <v>11581</v>
      </c>
      <c r="AJ201" s="21">
        <v>353300</v>
      </c>
      <c r="AK201" s="22">
        <v>1058494</v>
      </c>
      <c r="AL201" s="22">
        <v>1088366</v>
      </c>
      <c r="AM201" s="16">
        <v>652.5</v>
      </c>
      <c r="AN201" s="23">
        <f t="shared" si="116"/>
        <v>14819.31</v>
      </c>
      <c r="AO201" s="23">
        <f t="shared" si="117"/>
        <v>8725.67</v>
      </c>
      <c r="AP201" s="23">
        <f t="shared" si="118"/>
        <v>325.20999999999998</v>
      </c>
      <c r="AQ201" s="23">
        <f t="shared" si="119"/>
        <v>313.72000000000003</v>
      </c>
      <c r="AR201" s="23">
        <f t="shared" si="120"/>
        <v>2159.39</v>
      </c>
      <c r="AS201" s="23">
        <f t="shared" si="121"/>
        <v>5260.08</v>
      </c>
      <c r="AT201" s="23">
        <f t="shared" si="122"/>
        <v>130.72999999999999</v>
      </c>
      <c r="AU201" s="23">
        <f t="shared" si="123"/>
        <v>0</v>
      </c>
      <c r="AV201" s="23">
        <f t="shared" si="124"/>
        <v>0</v>
      </c>
      <c r="AW201" s="23">
        <f t="shared" si="125"/>
        <v>0</v>
      </c>
      <c r="AX201" s="23">
        <f t="shared" si="126"/>
        <v>0</v>
      </c>
      <c r="AY201" s="23">
        <f t="shared" si="127"/>
        <v>0</v>
      </c>
      <c r="AZ201" s="23">
        <f t="shared" si="128"/>
        <v>9625.59</v>
      </c>
      <c r="BA201" s="23">
        <f t="shared" si="129"/>
        <v>6520.77</v>
      </c>
      <c r="BB201" s="23">
        <f t="shared" si="130"/>
        <v>1057.1600000000001</v>
      </c>
      <c r="BC201" s="23">
        <f t="shared" si="131"/>
        <v>350.34</v>
      </c>
      <c r="BD201" s="23">
        <f t="shared" si="132"/>
        <v>4330.88</v>
      </c>
      <c r="BE201" s="23">
        <f t="shared" si="133"/>
        <v>1997.09</v>
      </c>
      <c r="BF201" s="23">
        <f t="shared" si="134"/>
        <v>2583.6</v>
      </c>
      <c r="BG201" s="23">
        <f t="shared" si="135"/>
        <v>52769.81</v>
      </c>
      <c r="BH201" s="23">
        <f t="shared" si="136"/>
        <v>58199.54</v>
      </c>
      <c r="BI201" s="23">
        <f t="shared" si="137"/>
        <v>51407.05</v>
      </c>
      <c r="BJ201" s="23">
        <f t="shared" si="138"/>
        <v>52015.17</v>
      </c>
      <c r="BK201" s="23">
        <f t="shared" si="139"/>
        <v>4398.62</v>
      </c>
      <c r="BL201" s="23">
        <f t="shared" si="140"/>
        <v>3846.74</v>
      </c>
      <c r="BM201" s="23">
        <f t="shared" si="141"/>
        <v>7570.88</v>
      </c>
      <c r="BN201" s="23">
        <f t="shared" si="142"/>
        <v>15860.49</v>
      </c>
      <c r="BO201" s="23">
        <f t="shared" si="143"/>
        <v>8541.26</v>
      </c>
      <c r="BP201" s="23">
        <f t="shared" si="144"/>
        <v>7319.23</v>
      </c>
      <c r="BQ201" s="23">
        <f t="shared" si="145"/>
        <v>6467.43</v>
      </c>
      <c r="BR201" s="23">
        <f t="shared" si="146"/>
        <v>4099</v>
      </c>
      <c r="BS201" s="23">
        <f t="shared" si="147"/>
        <v>18569.240000000002</v>
      </c>
      <c r="BT201" s="23">
        <f t="shared" si="148"/>
        <v>6792.49</v>
      </c>
      <c r="BU201" s="23">
        <f t="shared" si="148"/>
        <v>1774.87</v>
      </c>
      <c r="BV201" s="23">
        <f t="shared" si="148"/>
        <v>54145.59</v>
      </c>
      <c r="BW201" s="23">
        <f t="shared" si="148"/>
        <v>162221.29999999999</v>
      </c>
      <c r="BX201" s="23">
        <f t="shared" si="148"/>
        <v>166799.39000000001</v>
      </c>
      <c r="BY201" t="s">
        <v>273</v>
      </c>
      <c r="CE201" t="s">
        <v>267</v>
      </c>
      <c r="CF201" t="s">
        <v>266</v>
      </c>
      <c r="CG201" t="s">
        <v>266</v>
      </c>
      <c r="CH201" t="s">
        <v>266</v>
      </c>
      <c r="CI201" t="s">
        <v>266</v>
      </c>
      <c r="CJ201" t="s">
        <v>266</v>
      </c>
      <c r="CK201" t="s">
        <v>267</v>
      </c>
      <c r="CL201" t="s">
        <v>267</v>
      </c>
      <c r="CM201" t="s">
        <v>267</v>
      </c>
      <c r="CN201" t="s">
        <v>267</v>
      </c>
      <c r="CO201" t="s">
        <v>267</v>
      </c>
    </row>
    <row r="202" spans="1:93" x14ac:dyDescent="0.25">
      <c r="A202" s="2" t="s">
        <v>208</v>
      </c>
      <c r="B202" s="17">
        <v>107088.00000000001</v>
      </c>
      <c r="C202" s="17">
        <v>62068</v>
      </c>
      <c r="D202" s="17">
        <v>3236</v>
      </c>
      <c r="E202" s="17">
        <v>2223</v>
      </c>
      <c r="F202" s="17">
        <v>15258</v>
      </c>
      <c r="G202" s="17">
        <v>34868</v>
      </c>
      <c r="H202" s="17">
        <v>1518</v>
      </c>
      <c r="I202" s="17">
        <v>0</v>
      </c>
      <c r="J202" s="17">
        <v>0</v>
      </c>
      <c r="K202" s="17">
        <v>0</v>
      </c>
      <c r="L202" s="17">
        <v>0</v>
      </c>
      <c r="M202" s="17">
        <v>0</v>
      </c>
      <c r="N202" s="17">
        <v>65479</v>
      </c>
      <c r="O202" s="17">
        <v>42105.000000000007</v>
      </c>
      <c r="P202" s="17">
        <v>8164.9999999999991</v>
      </c>
      <c r="Q202" s="17">
        <v>2064</v>
      </c>
      <c r="R202" s="17">
        <v>31230</v>
      </c>
      <c r="S202" s="17">
        <v>14314</v>
      </c>
      <c r="T202" s="17">
        <v>16820</v>
      </c>
      <c r="U202" s="17">
        <v>368484</v>
      </c>
      <c r="V202" s="17">
        <f t="shared" si="149"/>
        <v>406436</v>
      </c>
      <c r="W202" s="18">
        <v>356603</v>
      </c>
      <c r="X202" s="19">
        <v>361764</v>
      </c>
      <c r="Y202" s="19">
        <v>28907</v>
      </c>
      <c r="Z202" s="19">
        <v>25700</v>
      </c>
      <c r="AA202" s="19">
        <v>54200</v>
      </c>
      <c r="AB202" s="19">
        <v>109221.33978511488</v>
      </c>
      <c r="AC202" s="19">
        <v>58985.486884738209</v>
      </c>
      <c r="AD202" s="19">
        <v>50235.852900376667</v>
      </c>
      <c r="AE202" s="19">
        <v>45900</v>
      </c>
      <c r="AF202" s="19">
        <v>26802</v>
      </c>
      <c r="AG202" s="24">
        <v>128847.66021488514</v>
      </c>
      <c r="AH202" s="17">
        <f t="shared" si="150"/>
        <v>49833</v>
      </c>
      <c r="AI202" s="20">
        <v>15247</v>
      </c>
      <c r="AJ202" s="21">
        <v>322000</v>
      </c>
      <c r="AK202" s="22">
        <v>1114341</v>
      </c>
      <c r="AL202" s="22">
        <v>1137120</v>
      </c>
      <c r="AM202" s="16">
        <v>671.8</v>
      </c>
      <c r="AN202" s="23">
        <f t="shared" si="116"/>
        <v>15940.46</v>
      </c>
      <c r="AO202" s="23">
        <f t="shared" si="117"/>
        <v>9239.06</v>
      </c>
      <c r="AP202" s="23">
        <f t="shared" si="118"/>
        <v>481.69</v>
      </c>
      <c r="AQ202" s="23">
        <f t="shared" si="119"/>
        <v>330.9</v>
      </c>
      <c r="AR202" s="23">
        <f t="shared" si="120"/>
        <v>2271.21</v>
      </c>
      <c r="AS202" s="23">
        <f t="shared" si="121"/>
        <v>5190.24</v>
      </c>
      <c r="AT202" s="23">
        <f t="shared" si="122"/>
        <v>225.96</v>
      </c>
      <c r="AU202" s="23">
        <f t="shared" si="123"/>
        <v>0</v>
      </c>
      <c r="AV202" s="23">
        <f t="shared" si="124"/>
        <v>0</v>
      </c>
      <c r="AW202" s="23">
        <f t="shared" si="125"/>
        <v>0</v>
      </c>
      <c r="AX202" s="23">
        <f t="shared" si="126"/>
        <v>0</v>
      </c>
      <c r="AY202" s="23">
        <f t="shared" si="127"/>
        <v>0</v>
      </c>
      <c r="AZ202" s="23">
        <f t="shared" si="128"/>
        <v>9746.7999999999993</v>
      </c>
      <c r="BA202" s="23">
        <f t="shared" si="129"/>
        <v>6267.49</v>
      </c>
      <c r="BB202" s="23">
        <f t="shared" si="130"/>
        <v>1215.3900000000001</v>
      </c>
      <c r="BC202" s="23">
        <f t="shared" si="131"/>
        <v>307.23</v>
      </c>
      <c r="BD202" s="23">
        <f t="shared" si="132"/>
        <v>4648.7</v>
      </c>
      <c r="BE202" s="23">
        <f t="shared" si="133"/>
        <v>2130.69</v>
      </c>
      <c r="BF202" s="23">
        <f t="shared" si="134"/>
        <v>2503.7199999999998</v>
      </c>
      <c r="BG202" s="23">
        <f t="shared" si="135"/>
        <v>54850.25</v>
      </c>
      <c r="BH202" s="23">
        <f t="shared" si="136"/>
        <v>60499.55</v>
      </c>
      <c r="BI202" s="23">
        <f t="shared" si="137"/>
        <v>53081.72</v>
      </c>
      <c r="BJ202" s="23">
        <f t="shared" si="138"/>
        <v>53849.96</v>
      </c>
      <c r="BK202" s="23">
        <f t="shared" si="139"/>
        <v>4302.92</v>
      </c>
      <c r="BL202" s="23">
        <f t="shared" si="140"/>
        <v>3825.54</v>
      </c>
      <c r="BM202" s="23">
        <f t="shared" si="141"/>
        <v>8067.88</v>
      </c>
      <c r="BN202" s="23">
        <f t="shared" si="142"/>
        <v>16258.01</v>
      </c>
      <c r="BO202" s="23">
        <f t="shared" si="143"/>
        <v>8780.2199999999993</v>
      </c>
      <c r="BP202" s="23">
        <f t="shared" si="144"/>
        <v>7477.8</v>
      </c>
      <c r="BQ202" s="23">
        <f t="shared" si="145"/>
        <v>6832.39</v>
      </c>
      <c r="BR202" s="23">
        <f t="shared" si="146"/>
        <v>3989.58</v>
      </c>
      <c r="BS202" s="23">
        <f t="shared" si="147"/>
        <v>19179.47</v>
      </c>
      <c r="BT202" s="23">
        <f t="shared" si="148"/>
        <v>7417.83</v>
      </c>
      <c r="BU202" s="23">
        <f t="shared" si="148"/>
        <v>2269.5700000000002</v>
      </c>
      <c r="BV202" s="23">
        <f t="shared" si="148"/>
        <v>47930.93</v>
      </c>
      <c r="BW202" s="23">
        <f t="shared" si="148"/>
        <v>165873.92000000001</v>
      </c>
      <c r="BX202" s="23">
        <f t="shared" si="148"/>
        <v>169264.66</v>
      </c>
      <c r="BY202" t="s">
        <v>273</v>
      </c>
      <c r="BZ202" t="s">
        <v>310</v>
      </c>
      <c r="CE202" t="s">
        <v>267</v>
      </c>
      <c r="CF202" t="s">
        <v>266</v>
      </c>
      <c r="CG202" t="s">
        <v>266</v>
      </c>
      <c r="CH202" t="s">
        <v>266</v>
      </c>
      <c r="CI202" t="s">
        <v>266</v>
      </c>
      <c r="CJ202" t="s">
        <v>266</v>
      </c>
      <c r="CK202" t="s">
        <v>267</v>
      </c>
      <c r="CL202" t="s">
        <v>267</v>
      </c>
      <c r="CM202" t="s">
        <v>267</v>
      </c>
      <c r="CN202" t="s">
        <v>267</v>
      </c>
      <c r="CO202" t="s">
        <v>267</v>
      </c>
    </row>
    <row r="203" spans="1:93" x14ac:dyDescent="0.25">
      <c r="A203" s="2" t="s">
        <v>209</v>
      </c>
      <c r="B203" s="17">
        <v>108654.00000000001</v>
      </c>
      <c r="C203" s="17">
        <v>63162</v>
      </c>
      <c r="D203" s="17">
        <v>3034</v>
      </c>
      <c r="E203" s="17">
        <v>2357</v>
      </c>
      <c r="F203" s="17">
        <v>16403</v>
      </c>
      <c r="G203" s="17">
        <v>32608.000000000004</v>
      </c>
      <c r="H203" s="17">
        <v>1310</v>
      </c>
      <c r="I203" s="17">
        <v>0</v>
      </c>
      <c r="J203" s="17">
        <v>0</v>
      </c>
      <c r="K203" s="17">
        <v>0</v>
      </c>
      <c r="L203" s="17">
        <v>0</v>
      </c>
      <c r="M203" s="17">
        <v>0</v>
      </c>
      <c r="N203" s="17">
        <v>69349</v>
      </c>
      <c r="O203" s="17">
        <v>41623</v>
      </c>
      <c r="P203" s="17">
        <v>6983.0000000000009</v>
      </c>
      <c r="Q203" s="17">
        <v>2183</v>
      </c>
      <c r="R203" s="17">
        <v>32312</v>
      </c>
      <c r="S203" s="17">
        <v>15391</v>
      </c>
      <c r="T203" s="17">
        <v>16840</v>
      </c>
      <c r="U203" s="17">
        <v>374527</v>
      </c>
      <c r="V203" s="17">
        <f t="shared" si="149"/>
        <v>412209</v>
      </c>
      <c r="W203" s="18">
        <v>381077.75</v>
      </c>
      <c r="X203" s="19">
        <v>380275</v>
      </c>
      <c r="Y203" s="19">
        <v>37167</v>
      </c>
      <c r="Z203" s="19">
        <v>25400</v>
      </c>
      <c r="AA203" s="19">
        <v>59800</v>
      </c>
      <c r="AB203" s="19">
        <v>115991.70389487552</v>
      </c>
      <c r="AC203" s="19">
        <v>63328.613236572106</v>
      </c>
      <c r="AD203" s="19">
        <v>52663.090658303423</v>
      </c>
      <c r="AE203" s="19">
        <v>51200</v>
      </c>
      <c r="AF203" s="19">
        <v>24314</v>
      </c>
      <c r="AG203" s="24">
        <v>140736.29610512452</v>
      </c>
      <c r="AH203" s="17">
        <f t="shared" si="150"/>
        <v>31131.25</v>
      </c>
      <c r="AI203" s="20">
        <v>6579</v>
      </c>
      <c r="AJ203" s="21">
        <v>330600</v>
      </c>
      <c r="AK203" s="22">
        <v>1152999</v>
      </c>
      <c r="AL203" s="22">
        <v>1175810</v>
      </c>
      <c r="AM203" s="16">
        <v>683.7</v>
      </c>
      <c r="AN203" s="23">
        <f t="shared" si="116"/>
        <v>15892.06</v>
      </c>
      <c r="AO203" s="23">
        <f t="shared" si="117"/>
        <v>9238.26</v>
      </c>
      <c r="AP203" s="23">
        <f t="shared" si="118"/>
        <v>443.76</v>
      </c>
      <c r="AQ203" s="23">
        <f t="shared" si="119"/>
        <v>344.74</v>
      </c>
      <c r="AR203" s="23">
        <f t="shared" si="120"/>
        <v>2399.15</v>
      </c>
      <c r="AS203" s="23">
        <f t="shared" si="121"/>
        <v>4769.34</v>
      </c>
      <c r="AT203" s="23">
        <f t="shared" si="122"/>
        <v>191.6</v>
      </c>
      <c r="AU203" s="23">
        <f t="shared" si="123"/>
        <v>0</v>
      </c>
      <c r="AV203" s="23">
        <f t="shared" si="124"/>
        <v>0</v>
      </c>
      <c r="AW203" s="23">
        <f t="shared" si="125"/>
        <v>0</v>
      </c>
      <c r="AX203" s="23">
        <f t="shared" si="126"/>
        <v>0</v>
      </c>
      <c r="AY203" s="23">
        <f t="shared" si="127"/>
        <v>0</v>
      </c>
      <c r="AZ203" s="23">
        <f t="shared" si="128"/>
        <v>10143.19</v>
      </c>
      <c r="BA203" s="23">
        <f t="shared" si="129"/>
        <v>6087.9</v>
      </c>
      <c r="BB203" s="23">
        <f t="shared" si="130"/>
        <v>1021.35</v>
      </c>
      <c r="BC203" s="23">
        <f t="shared" si="131"/>
        <v>319.29000000000002</v>
      </c>
      <c r="BD203" s="23">
        <f t="shared" si="132"/>
        <v>4726.05</v>
      </c>
      <c r="BE203" s="23">
        <f t="shared" si="133"/>
        <v>2251.13</v>
      </c>
      <c r="BF203" s="23">
        <f t="shared" si="134"/>
        <v>2463.0700000000002</v>
      </c>
      <c r="BG203" s="23">
        <f t="shared" si="135"/>
        <v>54779.44</v>
      </c>
      <c r="BH203" s="23">
        <f t="shared" si="136"/>
        <v>60290.92</v>
      </c>
      <c r="BI203" s="23">
        <f t="shared" si="137"/>
        <v>55737.57</v>
      </c>
      <c r="BJ203" s="23">
        <f t="shared" si="138"/>
        <v>55620.160000000003</v>
      </c>
      <c r="BK203" s="23">
        <f t="shared" si="139"/>
        <v>5436.16</v>
      </c>
      <c r="BL203" s="23">
        <f t="shared" si="140"/>
        <v>3715.08</v>
      </c>
      <c r="BM203" s="23">
        <f t="shared" si="141"/>
        <v>8746.5300000000007</v>
      </c>
      <c r="BN203" s="23">
        <f t="shared" si="142"/>
        <v>16965.29</v>
      </c>
      <c r="BO203" s="23">
        <f t="shared" si="143"/>
        <v>9262.6299999999992</v>
      </c>
      <c r="BP203" s="23">
        <f t="shared" si="144"/>
        <v>7702.66</v>
      </c>
      <c r="BQ203" s="23">
        <f t="shared" si="145"/>
        <v>7488.66</v>
      </c>
      <c r="BR203" s="23">
        <f t="shared" si="146"/>
        <v>3556.24</v>
      </c>
      <c r="BS203" s="23">
        <f t="shared" si="147"/>
        <v>20584.509999999998</v>
      </c>
      <c r="BT203" s="23">
        <f t="shared" si="148"/>
        <v>4553.3500000000004</v>
      </c>
      <c r="BU203" s="23">
        <f t="shared" si="148"/>
        <v>962.26</v>
      </c>
      <c r="BV203" s="23">
        <f t="shared" si="148"/>
        <v>48354.54</v>
      </c>
      <c r="BW203" s="23">
        <f t="shared" si="148"/>
        <v>168641.07</v>
      </c>
      <c r="BX203" s="23">
        <f t="shared" si="148"/>
        <v>171977.48</v>
      </c>
      <c r="BY203" t="s">
        <v>273</v>
      </c>
      <c r="CE203" t="s">
        <v>267</v>
      </c>
      <c r="CF203" t="s">
        <v>266</v>
      </c>
      <c r="CG203" t="s">
        <v>266</v>
      </c>
      <c r="CH203" t="s">
        <v>266</v>
      </c>
      <c r="CI203" t="s">
        <v>266</v>
      </c>
      <c r="CJ203" t="s">
        <v>266</v>
      </c>
      <c r="CK203" t="s">
        <v>267</v>
      </c>
      <c r="CL203" t="s">
        <v>267</v>
      </c>
      <c r="CM203" t="s">
        <v>267</v>
      </c>
      <c r="CN203" t="s">
        <v>267</v>
      </c>
      <c r="CO203" t="s">
        <v>267</v>
      </c>
    </row>
    <row r="204" spans="1:93" x14ac:dyDescent="0.25">
      <c r="A204" s="2" t="s">
        <v>210</v>
      </c>
      <c r="B204" s="17">
        <v>110777</v>
      </c>
      <c r="C204" s="17">
        <v>63529</v>
      </c>
      <c r="D204" s="17">
        <v>1596</v>
      </c>
      <c r="E204" s="17">
        <v>2356</v>
      </c>
      <c r="F204" s="17">
        <v>16718</v>
      </c>
      <c r="G204" s="17">
        <v>30122</v>
      </c>
      <c r="H204" s="17">
        <v>958</v>
      </c>
      <c r="I204" s="17">
        <v>0</v>
      </c>
      <c r="J204" s="17">
        <v>0</v>
      </c>
      <c r="K204" s="17">
        <v>0</v>
      </c>
      <c r="L204" s="17">
        <v>0</v>
      </c>
      <c r="M204" s="17">
        <v>0</v>
      </c>
      <c r="N204" s="17">
        <v>72604</v>
      </c>
      <c r="O204" s="17">
        <v>42689</v>
      </c>
      <c r="P204" s="17">
        <v>7548.9999999999991</v>
      </c>
      <c r="Q204" s="17">
        <v>2287</v>
      </c>
      <c r="R204" s="17">
        <v>34436</v>
      </c>
      <c r="S204" s="17">
        <v>16797</v>
      </c>
      <c r="T204" s="17">
        <v>15324</v>
      </c>
      <c r="U204" s="17">
        <v>380164</v>
      </c>
      <c r="V204" s="17">
        <f t="shared" si="149"/>
        <v>417742</v>
      </c>
      <c r="W204" s="18">
        <v>413401.75</v>
      </c>
      <c r="X204" s="19">
        <v>408626.00000000006</v>
      </c>
      <c r="Y204" s="19">
        <v>43157</v>
      </c>
      <c r="Z204" s="19">
        <v>27000</v>
      </c>
      <c r="AA204" s="19">
        <v>66200</v>
      </c>
      <c r="AB204" s="19">
        <v>120682.74098003749</v>
      </c>
      <c r="AC204" s="19">
        <v>65494.088441750901</v>
      </c>
      <c r="AD204" s="19">
        <v>55188.652538286588</v>
      </c>
      <c r="AE204" s="19">
        <v>54700</v>
      </c>
      <c r="AF204" s="19">
        <v>22117</v>
      </c>
      <c r="AG204" s="24">
        <v>161083.25901996251</v>
      </c>
      <c r="AH204" s="17">
        <f t="shared" si="150"/>
        <v>4340.25</v>
      </c>
      <c r="AI204" s="20">
        <v>36402</v>
      </c>
      <c r="AJ204" s="21">
        <v>369200</v>
      </c>
      <c r="AK204" s="22">
        <v>1209047</v>
      </c>
      <c r="AL204" s="22">
        <v>1241522</v>
      </c>
      <c r="AM204" s="16">
        <v>695.1</v>
      </c>
      <c r="AN204" s="23">
        <f t="shared" si="116"/>
        <v>15936.84</v>
      </c>
      <c r="AO204" s="23">
        <f t="shared" si="117"/>
        <v>9139.5499999999993</v>
      </c>
      <c r="AP204" s="23">
        <f t="shared" si="118"/>
        <v>229.61</v>
      </c>
      <c r="AQ204" s="23">
        <f t="shared" si="119"/>
        <v>338.94</v>
      </c>
      <c r="AR204" s="23">
        <f t="shared" si="120"/>
        <v>2405.12</v>
      </c>
      <c r="AS204" s="23">
        <f t="shared" si="121"/>
        <v>4333.4799999999996</v>
      </c>
      <c r="AT204" s="23">
        <f t="shared" si="122"/>
        <v>137.82</v>
      </c>
      <c r="AU204" s="23">
        <f t="shared" si="123"/>
        <v>0</v>
      </c>
      <c r="AV204" s="23">
        <f t="shared" si="124"/>
        <v>0</v>
      </c>
      <c r="AW204" s="23">
        <f t="shared" si="125"/>
        <v>0</v>
      </c>
      <c r="AX204" s="23">
        <f t="shared" si="126"/>
        <v>0</v>
      </c>
      <c r="AY204" s="23">
        <f t="shared" si="127"/>
        <v>0</v>
      </c>
      <c r="AZ204" s="23">
        <f t="shared" si="128"/>
        <v>10445.120000000001</v>
      </c>
      <c r="BA204" s="23">
        <f t="shared" si="129"/>
        <v>6141.42</v>
      </c>
      <c r="BB204" s="23">
        <f t="shared" si="130"/>
        <v>1086.03</v>
      </c>
      <c r="BC204" s="23">
        <f t="shared" si="131"/>
        <v>329.02</v>
      </c>
      <c r="BD204" s="23">
        <f t="shared" si="132"/>
        <v>4954.1099999999997</v>
      </c>
      <c r="BE204" s="23">
        <f t="shared" si="133"/>
        <v>2416.4899999999998</v>
      </c>
      <c r="BF204" s="23">
        <f t="shared" si="134"/>
        <v>2204.5700000000002</v>
      </c>
      <c r="BG204" s="23">
        <f t="shared" si="135"/>
        <v>54691.99</v>
      </c>
      <c r="BH204" s="23">
        <f t="shared" si="136"/>
        <v>60098.12</v>
      </c>
      <c r="BI204" s="23">
        <f t="shared" si="137"/>
        <v>59473.71</v>
      </c>
      <c r="BJ204" s="23">
        <f t="shared" si="138"/>
        <v>58786.65</v>
      </c>
      <c r="BK204" s="23">
        <f t="shared" si="139"/>
        <v>6208.75</v>
      </c>
      <c r="BL204" s="23">
        <f t="shared" si="140"/>
        <v>3884.33</v>
      </c>
      <c r="BM204" s="23">
        <f t="shared" si="141"/>
        <v>9523.81</v>
      </c>
      <c r="BN204" s="23">
        <f t="shared" si="142"/>
        <v>17361.93</v>
      </c>
      <c r="BO204" s="23">
        <f t="shared" si="143"/>
        <v>9422.25</v>
      </c>
      <c r="BP204" s="23">
        <f t="shared" si="144"/>
        <v>7939.67</v>
      </c>
      <c r="BQ204" s="23">
        <f t="shared" si="145"/>
        <v>7869.37</v>
      </c>
      <c r="BR204" s="23">
        <f t="shared" si="146"/>
        <v>3181.84</v>
      </c>
      <c r="BS204" s="23">
        <f t="shared" si="147"/>
        <v>23174.11</v>
      </c>
      <c r="BT204" s="23">
        <f t="shared" si="148"/>
        <v>624.41</v>
      </c>
      <c r="BU204" s="23">
        <f t="shared" si="148"/>
        <v>5236.9399999999996</v>
      </c>
      <c r="BV204" s="23">
        <f t="shared" si="148"/>
        <v>53114.66</v>
      </c>
      <c r="BW204" s="23">
        <f t="shared" si="148"/>
        <v>173938.57</v>
      </c>
      <c r="BX204" s="23">
        <f t="shared" si="148"/>
        <v>178610.56</v>
      </c>
      <c r="BY204" t="s">
        <v>273</v>
      </c>
      <c r="CE204" t="s">
        <v>267</v>
      </c>
      <c r="CF204" t="s">
        <v>266</v>
      </c>
      <c r="CG204" t="s">
        <v>266</v>
      </c>
      <c r="CH204" t="s">
        <v>266</v>
      </c>
      <c r="CI204" t="s">
        <v>266</v>
      </c>
      <c r="CJ204" t="s">
        <v>266</v>
      </c>
      <c r="CK204" t="s">
        <v>267</v>
      </c>
      <c r="CL204" t="s">
        <v>267</v>
      </c>
      <c r="CM204" t="s">
        <v>267</v>
      </c>
      <c r="CN204" t="s">
        <v>267</v>
      </c>
      <c r="CO204" t="s">
        <v>267</v>
      </c>
    </row>
    <row r="205" spans="1:93" x14ac:dyDescent="0.25">
      <c r="A205" s="2" t="s">
        <v>211</v>
      </c>
      <c r="B205" s="17">
        <v>116920.99999999999</v>
      </c>
      <c r="C205" s="17">
        <v>75148</v>
      </c>
      <c r="D205" s="17">
        <v>2225</v>
      </c>
      <c r="E205" s="17">
        <v>2504</v>
      </c>
      <c r="F205" s="17">
        <v>16555</v>
      </c>
      <c r="G205" s="17">
        <v>30737.000000000004</v>
      </c>
      <c r="H205" s="17">
        <v>1179</v>
      </c>
      <c r="I205" s="17">
        <v>0</v>
      </c>
      <c r="J205" s="17">
        <v>0</v>
      </c>
      <c r="K205" s="17">
        <v>0</v>
      </c>
      <c r="L205" s="17">
        <v>0</v>
      </c>
      <c r="M205" s="17">
        <v>0</v>
      </c>
      <c r="N205" s="17">
        <v>80290</v>
      </c>
      <c r="O205" s="17">
        <v>44479</v>
      </c>
      <c r="P205" s="17">
        <v>7544</v>
      </c>
      <c r="Q205" s="17">
        <v>2391</v>
      </c>
      <c r="R205" s="17">
        <v>34816</v>
      </c>
      <c r="S205" s="17">
        <v>18898</v>
      </c>
      <c r="T205" s="17">
        <v>18323</v>
      </c>
      <c r="U205" s="17">
        <v>411702</v>
      </c>
      <c r="V205" s="17">
        <f t="shared" si="149"/>
        <v>452010</v>
      </c>
      <c r="W205" s="18">
        <v>451053.75</v>
      </c>
      <c r="X205" s="19">
        <v>445889</v>
      </c>
      <c r="Y205" s="19">
        <v>47777</v>
      </c>
      <c r="Z205" s="19">
        <v>28800</v>
      </c>
      <c r="AA205" s="19">
        <v>74900</v>
      </c>
      <c r="AB205" s="19">
        <v>132189.11308501702</v>
      </c>
      <c r="AC205" s="19">
        <v>68638.34997812839</v>
      </c>
      <c r="AD205" s="19">
        <v>63550.76310688864</v>
      </c>
      <c r="AE205" s="19">
        <v>61000</v>
      </c>
      <c r="AF205" s="19">
        <v>23237</v>
      </c>
      <c r="AG205" s="24">
        <v>173539.88691498298</v>
      </c>
      <c r="AH205" s="17">
        <f t="shared" si="150"/>
        <v>956.25</v>
      </c>
      <c r="AI205" s="20">
        <v>43695</v>
      </c>
      <c r="AJ205" s="21">
        <v>404500</v>
      </c>
      <c r="AK205" s="22">
        <v>1275294</v>
      </c>
      <c r="AL205" s="22">
        <v>1308493</v>
      </c>
      <c r="AM205" s="16">
        <v>715.2</v>
      </c>
      <c r="AN205" s="23">
        <f t="shared" si="116"/>
        <v>16348.01</v>
      </c>
      <c r="AO205" s="23">
        <f t="shared" si="117"/>
        <v>10507.27</v>
      </c>
      <c r="AP205" s="23">
        <f t="shared" si="118"/>
        <v>311.10000000000002</v>
      </c>
      <c r="AQ205" s="23">
        <f t="shared" si="119"/>
        <v>350.11</v>
      </c>
      <c r="AR205" s="23">
        <f t="shared" si="120"/>
        <v>2314.7399999999998</v>
      </c>
      <c r="AS205" s="23">
        <f t="shared" si="121"/>
        <v>4297.68</v>
      </c>
      <c r="AT205" s="23">
        <f t="shared" si="122"/>
        <v>164.85</v>
      </c>
      <c r="AU205" s="23">
        <f t="shared" si="123"/>
        <v>0</v>
      </c>
      <c r="AV205" s="23">
        <f t="shared" si="124"/>
        <v>0</v>
      </c>
      <c r="AW205" s="23">
        <f t="shared" si="125"/>
        <v>0</v>
      </c>
      <c r="AX205" s="23">
        <f t="shared" si="126"/>
        <v>0</v>
      </c>
      <c r="AY205" s="23">
        <f t="shared" si="127"/>
        <v>0</v>
      </c>
      <c r="AZ205" s="23">
        <f t="shared" si="128"/>
        <v>11226.23</v>
      </c>
      <c r="BA205" s="23">
        <f t="shared" si="129"/>
        <v>6219.1</v>
      </c>
      <c r="BB205" s="23">
        <f t="shared" si="130"/>
        <v>1054.81</v>
      </c>
      <c r="BC205" s="23">
        <f t="shared" si="131"/>
        <v>334.31</v>
      </c>
      <c r="BD205" s="23">
        <f t="shared" si="132"/>
        <v>4868.01</v>
      </c>
      <c r="BE205" s="23">
        <f t="shared" si="133"/>
        <v>2642.34</v>
      </c>
      <c r="BF205" s="23">
        <f t="shared" si="134"/>
        <v>2561.94</v>
      </c>
      <c r="BG205" s="23">
        <f t="shared" si="135"/>
        <v>57564.6</v>
      </c>
      <c r="BH205" s="23">
        <f t="shared" si="136"/>
        <v>63200.5</v>
      </c>
      <c r="BI205" s="23">
        <f t="shared" si="137"/>
        <v>63066.8</v>
      </c>
      <c r="BJ205" s="23">
        <f t="shared" si="138"/>
        <v>62344.66</v>
      </c>
      <c r="BK205" s="23">
        <f t="shared" si="139"/>
        <v>6680.23</v>
      </c>
      <c r="BL205" s="23">
        <f t="shared" si="140"/>
        <v>4026.85</v>
      </c>
      <c r="BM205" s="23">
        <f t="shared" si="141"/>
        <v>10472.6</v>
      </c>
      <c r="BN205" s="23">
        <f t="shared" si="142"/>
        <v>18482.82</v>
      </c>
      <c r="BO205" s="23">
        <f t="shared" si="143"/>
        <v>9597.08</v>
      </c>
      <c r="BP205" s="23">
        <f t="shared" si="144"/>
        <v>8885.73</v>
      </c>
      <c r="BQ205" s="23">
        <f t="shared" si="145"/>
        <v>8529.08</v>
      </c>
      <c r="BR205" s="23">
        <f t="shared" si="146"/>
        <v>3249.02</v>
      </c>
      <c r="BS205" s="23">
        <f t="shared" si="147"/>
        <v>24264.53</v>
      </c>
      <c r="BT205" s="23">
        <f t="shared" si="148"/>
        <v>133.69999999999999</v>
      </c>
      <c r="BU205" s="23">
        <f t="shared" si="148"/>
        <v>6109.48</v>
      </c>
      <c r="BV205" s="23">
        <f t="shared" si="148"/>
        <v>56557.61</v>
      </c>
      <c r="BW205" s="23">
        <f t="shared" si="148"/>
        <v>178312.92</v>
      </c>
      <c r="BX205" s="23">
        <f t="shared" si="148"/>
        <v>182954.84</v>
      </c>
      <c r="BY205" t="s">
        <v>273</v>
      </c>
      <c r="CE205" t="s">
        <v>267</v>
      </c>
      <c r="CF205" t="s">
        <v>266</v>
      </c>
      <c r="CG205" t="s">
        <v>266</v>
      </c>
      <c r="CH205" t="s">
        <v>266</v>
      </c>
      <c r="CI205" t="s">
        <v>266</v>
      </c>
      <c r="CJ205" t="s">
        <v>266</v>
      </c>
      <c r="CK205" t="s">
        <v>267</v>
      </c>
      <c r="CL205" t="s">
        <v>267</v>
      </c>
      <c r="CM205" t="s">
        <v>267</v>
      </c>
      <c r="CN205" t="s">
        <v>267</v>
      </c>
      <c r="CO205" t="s">
        <v>267</v>
      </c>
    </row>
    <row r="206" spans="1:93" x14ac:dyDescent="0.25">
      <c r="A206" s="2" t="s">
        <v>212</v>
      </c>
      <c r="B206" s="17">
        <v>126432.00000000001</v>
      </c>
      <c r="C206" s="17">
        <v>80923</v>
      </c>
      <c r="D206" s="17">
        <v>2282</v>
      </c>
      <c r="E206" s="17">
        <v>2924</v>
      </c>
      <c r="F206" s="17">
        <v>16941</v>
      </c>
      <c r="G206" s="17">
        <v>38466</v>
      </c>
      <c r="H206" s="17">
        <v>1284</v>
      </c>
      <c r="I206" s="17">
        <v>0</v>
      </c>
      <c r="J206" s="17">
        <v>0</v>
      </c>
      <c r="K206" s="17">
        <v>0</v>
      </c>
      <c r="L206" s="17">
        <v>0</v>
      </c>
      <c r="M206" s="17">
        <v>0</v>
      </c>
      <c r="N206" s="17">
        <v>82791</v>
      </c>
      <c r="O206" s="17">
        <v>44882.000000000007</v>
      </c>
      <c r="P206" s="17">
        <v>8966.0000000000018</v>
      </c>
      <c r="Q206" s="17">
        <v>2508</v>
      </c>
      <c r="R206" s="17">
        <v>35716</v>
      </c>
      <c r="S206" s="17">
        <v>20049</v>
      </c>
      <c r="T206" s="17">
        <v>20162</v>
      </c>
      <c r="U206" s="17">
        <v>442165</v>
      </c>
      <c r="V206" s="17">
        <f t="shared" si="149"/>
        <v>484326</v>
      </c>
      <c r="W206" s="18">
        <v>483847.5</v>
      </c>
      <c r="X206" s="19">
        <v>478922</v>
      </c>
      <c r="Y206" s="19">
        <v>54578</v>
      </c>
      <c r="Z206" s="19">
        <v>29800</v>
      </c>
      <c r="AA206" s="19">
        <v>82900</v>
      </c>
      <c r="AB206" s="19">
        <v>140383.70113748044</v>
      </c>
      <c r="AC206" s="19">
        <v>73564.216101413927</v>
      </c>
      <c r="AD206" s="19">
        <v>66819.485036066515</v>
      </c>
      <c r="AE206" s="19">
        <v>65099.999999999993</v>
      </c>
      <c r="AF206" s="19">
        <v>24961</v>
      </c>
      <c r="AG206" s="24">
        <v>190355.29886251953</v>
      </c>
      <c r="AH206" s="17">
        <f t="shared" si="150"/>
        <v>478.5</v>
      </c>
      <c r="AI206" s="20">
        <v>52548</v>
      </c>
      <c r="AJ206" s="21">
        <v>460900</v>
      </c>
      <c r="AK206" s="22">
        <v>1342278</v>
      </c>
      <c r="AL206" s="22">
        <v>1378668</v>
      </c>
      <c r="AM206" s="16">
        <v>736.5</v>
      </c>
      <c r="AN206" s="23">
        <f t="shared" si="116"/>
        <v>17166.599999999999</v>
      </c>
      <c r="AO206" s="23">
        <f t="shared" si="117"/>
        <v>10987.51</v>
      </c>
      <c r="AP206" s="23">
        <f t="shared" si="118"/>
        <v>309.83999999999997</v>
      </c>
      <c r="AQ206" s="23">
        <f t="shared" si="119"/>
        <v>397.01</v>
      </c>
      <c r="AR206" s="23">
        <f t="shared" si="120"/>
        <v>2300.1999999999998</v>
      </c>
      <c r="AS206" s="23">
        <f t="shared" si="121"/>
        <v>5222.8100000000004</v>
      </c>
      <c r="AT206" s="23">
        <f t="shared" si="122"/>
        <v>174.34</v>
      </c>
      <c r="AU206" s="23">
        <f t="shared" si="123"/>
        <v>0</v>
      </c>
      <c r="AV206" s="23">
        <f t="shared" si="124"/>
        <v>0</v>
      </c>
      <c r="AW206" s="23">
        <f t="shared" si="125"/>
        <v>0</v>
      </c>
      <c r="AX206" s="23">
        <f t="shared" si="126"/>
        <v>0</v>
      </c>
      <c r="AY206" s="23">
        <f t="shared" si="127"/>
        <v>0</v>
      </c>
      <c r="AZ206" s="23">
        <f t="shared" si="128"/>
        <v>11241.14</v>
      </c>
      <c r="BA206" s="23">
        <f t="shared" si="129"/>
        <v>6093.96</v>
      </c>
      <c r="BB206" s="23">
        <f t="shared" si="130"/>
        <v>1217.3800000000001</v>
      </c>
      <c r="BC206" s="23">
        <f t="shared" si="131"/>
        <v>340.53</v>
      </c>
      <c r="BD206" s="23">
        <f t="shared" si="132"/>
        <v>4849.42</v>
      </c>
      <c r="BE206" s="23">
        <f t="shared" si="133"/>
        <v>2722.2</v>
      </c>
      <c r="BF206" s="23">
        <f t="shared" si="134"/>
        <v>2737.54</v>
      </c>
      <c r="BG206" s="23">
        <f t="shared" si="135"/>
        <v>60035.98</v>
      </c>
      <c r="BH206" s="23">
        <f t="shared" si="136"/>
        <v>65760.490000000005</v>
      </c>
      <c r="BI206" s="23">
        <f t="shared" si="137"/>
        <v>65695.520000000004</v>
      </c>
      <c r="BJ206" s="23">
        <f t="shared" si="138"/>
        <v>65026.75</v>
      </c>
      <c r="BK206" s="23">
        <f t="shared" si="139"/>
        <v>7410.45</v>
      </c>
      <c r="BL206" s="23">
        <f t="shared" si="140"/>
        <v>4046.16</v>
      </c>
      <c r="BM206" s="23">
        <f t="shared" si="141"/>
        <v>11255.94</v>
      </c>
      <c r="BN206" s="23">
        <f t="shared" si="142"/>
        <v>19060.919999999998</v>
      </c>
      <c r="BO206" s="23">
        <f t="shared" si="143"/>
        <v>9988.35</v>
      </c>
      <c r="BP206" s="23">
        <f t="shared" si="144"/>
        <v>9072.57</v>
      </c>
      <c r="BQ206" s="23">
        <f t="shared" si="145"/>
        <v>8839.1</v>
      </c>
      <c r="BR206" s="23">
        <f t="shared" si="146"/>
        <v>3389.14</v>
      </c>
      <c r="BS206" s="23">
        <f t="shared" si="147"/>
        <v>25845.93</v>
      </c>
      <c r="BT206" s="23">
        <f t="shared" si="148"/>
        <v>64.97</v>
      </c>
      <c r="BU206" s="23">
        <f t="shared" si="148"/>
        <v>7134.83</v>
      </c>
      <c r="BV206" s="23">
        <f t="shared" si="148"/>
        <v>62579.77</v>
      </c>
      <c r="BW206" s="23">
        <f t="shared" si="148"/>
        <v>182250.92</v>
      </c>
      <c r="BX206" s="23">
        <f t="shared" si="148"/>
        <v>187191.85</v>
      </c>
      <c r="BY206" t="s">
        <v>273</v>
      </c>
      <c r="CE206" t="s">
        <v>267</v>
      </c>
      <c r="CF206" t="s">
        <v>266</v>
      </c>
      <c r="CG206" t="s">
        <v>266</v>
      </c>
      <c r="CH206" t="s">
        <v>266</v>
      </c>
      <c r="CI206" t="s">
        <v>266</v>
      </c>
      <c r="CJ206" t="s">
        <v>266</v>
      </c>
      <c r="CK206" t="s">
        <v>267</v>
      </c>
      <c r="CL206" t="s">
        <v>267</v>
      </c>
      <c r="CM206" t="s">
        <v>267</v>
      </c>
      <c r="CN206" t="s">
        <v>267</v>
      </c>
      <c r="CO206" t="s">
        <v>267</v>
      </c>
    </row>
    <row r="207" spans="1:93" x14ac:dyDescent="0.25">
      <c r="A207" s="2" t="s">
        <v>213</v>
      </c>
      <c r="B207" s="17">
        <v>136074</v>
      </c>
      <c r="C207" s="17">
        <v>85559</v>
      </c>
      <c r="D207" s="17">
        <v>3042</v>
      </c>
      <c r="E207" s="17">
        <v>3258</v>
      </c>
      <c r="F207" s="17">
        <v>18000</v>
      </c>
      <c r="G207" s="17">
        <v>46019.999999999993</v>
      </c>
      <c r="H207" s="17">
        <v>2016</v>
      </c>
      <c r="I207" s="17">
        <v>0</v>
      </c>
      <c r="J207" s="17">
        <v>0</v>
      </c>
      <c r="K207" s="17">
        <v>0</v>
      </c>
      <c r="L207" s="17">
        <v>0</v>
      </c>
      <c r="M207" s="17">
        <v>0</v>
      </c>
      <c r="N207" s="17">
        <v>84903</v>
      </c>
      <c r="O207" s="17">
        <v>45608</v>
      </c>
      <c r="P207" s="17">
        <v>10918</v>
      </c>
      <c r="Q207" s="17">
        <v>2623</v>
      </c>
      <c r="R207" s="17">
        <v>36992</v>
      </c>
      <c r="S207" s="17">
        <v>21219</v>
      </c>
      <c r="T207" s="17">
        <v>25287</v>
      </c>
      <c r="U207" s="17">
        <v>473170</v>
      </c>
      <c r="V207" s="17">
        <f t="shared" si="149"/>
        <v>521519</v>
      </c>
      <c r="W207" s="18">
        <v>510625.5</v>
      </c>
      <c r="X207" s="19">
        <v>508293</v>
      </c>
      <c r="Y207" s="19">
        <v>57427</v>
      </c>
      <c r="Z207" s="19">
        <v>31000</v>
      </c>
      <c r="AA207" s="19">
        <v>89800</v>
      </c>
      <c r="AB207" s="19">
        <v>147251.48454677366</v>
      </c>
      <c r="AC207" s="19">
        <v>77939.878643008691</v>
      </c>
      <c r="AD207" s="19">
        <v>69311.605903764968</v>
      </c>
      <c r="AE207" s="19">
        <v>69800</v>
      </c>
      <c r="AF207" s="19">
        <v>27999</v>
      </c>
      <c r="AG207" s="24">
        <v>199869.51545322634</v>
      </c>
      <c r="AH207" s="17">
        <f t="shared" si="150"/>
        <v>10893.5</v>
      </c>
      <c r="AI207" s="20">
        <v>46110</v>
      </c>
      <c r="AJ207" s="21">
        <v>499400</v>
      </c>
      <c r="AK207" s="22">
        <v>1420970</v>
      </c>
      <c r="AL207" s="22">
        <v>1456514</v>
      </c>
      <c r="AM207" s="16">
        <v>757.3</v>
      </c>
      <c r="AN207" s="23">
        <f t="shared" si="116"/>
        <v>17968.310000000001</v>
      </c>
      <c r="AO207" s="23">
        <f t="shared" si="117"/>
        <v>11297.9</v>
      </c>
      <c r="AP207" s="23">
        <f t="shared" si="118"/>
        <v>401.69</v>
      </c>
      <c r="AQ207" s="23">
        <f t="shared" si="119"/>
        <v>430.21</v>
      </c>
      <c r="AR207" s="23">
        <f t="shared" si="120"/>
        <v>2376.87</v>
      </c>
      <c r="AS207" s="23">
        <f t="shared" si="121"/>
        <v>6076.85</v>
      </c>
      <c r="AT207" s="23">
        <f t="shared" si="122"/>
        <v>266.20999999999998</v>
      </c>
      <c r="AU207" s="23">
        <f t="shared" si="123"/>
        <v>0</v>
      </c>
      <c r="AV207" s="23">
        <f t="shared" si="124"/>
        <v>0</v>
      </c>
      <c r="AW207" s="23">
        <f t="shared" si="125"/>
        <v>0</v>
      </c>
      <c r="AX207" s="23">
        <f t="shared" si="126"/>
        <v>0</v>
      </c>
      <c r="AY207" s="23">
        <f t="shared" si="127"/>
        <v>0</v>
      </c>
      <c r="AZ207" s="23">
        <f t="shared" si="128"/>
        <v>11211.28</v>
      </c>
      <c r="BA207" s="23">
        <f t="shared" si="129"/>
        <v>6022.45</v>
      </c>
      <c r="BB207" s="23">
        <f t="shared" si="130"/>
        <v>1441.7</v>
      </c>
      <c r="BC207" s="23">
        <f t="shared" si="131"/>
        <v>346.36</v>
      </c>
      <c r="BD207" s="23">
        <f t="shared" si="132"/>
        <v>4884.72</v>
      </c>
      <c r="BE207" s="23">
        <f t="shared" si="133"/>
        <v>2801.93</v>
      </c>
      <c r="BF207" s="23">
        <f t="shared" si="134"/>
        <v>3339.1</v>
      </c>
      <c r="BG207" s="23">
        <f t="shared" si="135"/>
        <v>62481.18</v>
      </c>
      <c r="BH207" s="23">
        <f t="shared" si="136"/>
        <v>68865.58</v>
      </c>
      <c r="BI207" s="23">
        <f t="shared" si="137"/>
        <v>67427.11</v>
      </c>
      <c r="BJ207" s="23">
        <f t="shared" si="138"/>
        <v>67119.11</v>
      </c>
      <c r="BK207" s="23">
        <f t="shared" si="139"/>
        <v>7583.12</v>
      </c>
      <c r="BL207" s="23">
        <f t="shared" si="140"/>
        <v>4093.49</v>
      </c>
      <c r="BM207" s="23">
        <f t="shared" si="141"/>
        <v>11857.92</v>
      </c>
      <c r="BN207" s="23">
        <f t="shared" si="142"/>
        <v>19444.27</v>
      </c>
      <c r="BO207" s="23">
        <f t="shared" si="143"/>
        <v>10291.81</v>
      </c>
      <c r="BP207" s="23">
        <f t="shared" si="144"/>
        <v>9152.4599999999991</v>
      </c>
      <c r="BQ207" s="23">
        <f t="shared" si="145"/>
        <v>9216.9500000000007</v>
      </c>
      <c r="BR207" s="23">
        <f t="shared" si="146"/>
        <v>3697.21</v>
      </c>
      <c r="BS207" s="23">
        <f t="shared" si="147"/>
        <v>26392.38</v>
      </c>
      <c r="BT207" s="23">
        <f t="shared" si="148"/>
        <v>1438.47</v>
      </c>
      <c r="BU207" s="23">
        <f t="shared" si="148"/>
        <v>6088.74</v>
      </c>
      <c r="BV207" s="23">
        <f t="shared" si="148"/>
        <v>65944.800000000003</v>
      </c>
      <c r="BW207" s="23">
        <f t="shared" si="148"/>
        <v>187636.34</v>
      </c>
      <c r="BX207" s="23">
        <f t="shared" si="148"/>
        <v>192329.86</v>
      </c>
      <c r="BY207" t="s">
        <v>273</v>
      </c>
      <c r="BZ207" t="s">
        <v>311</v>
      </c>
      <c r="CE207" t="s">
        <v>267</v>
      </c>
      <c r="CF207" t="s">
        <v>266</v>
      </c>
      <c r="CG207" t="s">
        <v>266</v>
      </c>
      <c r="CH207" t="s">
        <v>266</v>
      </c>
      <c r="CI207" t="s">
        <v>266</v>
      </c>
      <c r="CJ207" t="s">
        <v>266</v>
      </c>
      <c r="CK207" t="s">
        <v>267</v>
      </c>
      <c r="CL207" t="s">
        <v>267</v>
      </c>
      <c r="CM207" t="s">
        <v>267</v>
      </c>
      <c r="CN207" t="s">
        <v>267</v>
      </c>
      <c r="CO207" t="s">
        <v>267</v>
      </c>
    </row>
    <row r="208" spans="1:93" x14ac:dyDescent="0.25">
      <c r="A208" s="2" t="s">
        <v>214</v>
      </c>
      <c r="B208" s="17">
        <v>146495</v>
      </c>
      <c r="C208" s="17">
        <v>90916</v>
      </c>
      <c r="D208" s="17">
        <v>3830</v>
      </c>
      <c r="E208" s="17">
        <v>3545</v>
      </c>
      <c r="F208" s="17">
        <v>19111</v>
      </c>
      <c r="G208" s="17">
        <v>46338</v>
      </c>
      <c r="H208" s="17">
        <v>2155</v>
      </c>
      <c r="I208" s="17">
        <v>0</v>
      </c>
      <c r="J208" s="17">
        <v>0</v>
      </c>
      <c r="K208" s="17">
        <v>0</v>
      </c>
      <c r="L208" s="17">
        <v>0</v>
      </c>
      <c r="M208" s="17">
        <v>0</v>
      </c>
      <c r="N208" s="17">
        <v>91329</v>
      </c>
      <c r="O208" s="17">
        <v>45391.000000000007</v>
      </c>
      <c r="P208" s="17">
        <v>13393</v>
      </c>
      <c r="Q208" s="17">
        <v>2745</v>
      </c>
      <c r="R208" s="17">
        <v>38369</v>
      </c>
      <c r="S208" s="17">
        <v>22333</v>
      </c>
      <c r="T208" s="17">
        <v>26216</v>
      </c>
      <c r="U208" s="17">
        <v>502325</v>
      </c>
      <c r="V208" s="17">
        <f t="shared" si="149"/>
        <v>552166</v>
      </c>
      <c r="W208" s="18">
        <v>538726.25</v>
      </c>
      <c r="X208" s="19">
        <v>532381</v>
      </c>
      <c r="Y208" s="19">
        <v>59611.000000000007</v>
      </c>
      <c r="Z208" s="19">
        <v>32200.000000000004</v>
      </c>
      <c r="AA208" s="19">
        <v>94700</v>
      </c>
      <c r="AB208" s="19">
        <v>152297.54155344036</v>
      </c>
      <c r="AC208" s="19">
        <v>80563.883203393474</v>
      </c>
      <c r="AD208" s="19">
        <v>71733.658350046899</v>
      </c>
      <c r="AE208" s="19">
        <v>73000</v>
      </c>
      <c r="AF208" s="19">
        <v>29261</v>
      </c>
      <c r="AG208" s="24">
        <v>210533.45844655958</v>
      </c>
      <c r="AH208" s="17">
        <f t="shared" si="150"/>
        <v>13439.75</v>
      </c>
      <c r="AI208" s="20">
        <v>42172</v>
      </c>
      <c r="AJ208" s="21">
        <v>535200</v>
      </c>
      <c r="AK208" s="22">
        <v>1487963</v>
      </c>
      <c r="AL208" s="22">
        <v>1526479</v>
      </c>
      <c r="AM208" s="16">
        <v>781.5</v>
      </c>
      <c r="AN208" s="23">
        <f t="shared" si="116"/>
        <v>18745.36</v>
      </c>
      <c r="AO208" s="23">
        <f t="shared" si="117"/>
        <v>11633.53</v>
      </c>
      <c r="AP208" s="23">
        <f t="shared" si="118"/>
        <v>490.08</v>
      </c>
      <c r="AQ208" s="23">
        <f t="shared" si="119"/>
        <v>453.61</v>
      </c>
      <c r="AR208" s="23">
        <f t="shared" si="120"/>
        <v>2445.4299999999998</v>
      </c>
      <c r="AS208" s="23">
        <f t="shared" si="121"/>
        <v>5929.37</v>
      </c>
      <c r="AT208" s="23">
        <f t="shared" si="122"/>
        <v>275.75</v>
      </c>
      <c r="AU208" s="23">
        <f t="shared" si="123"/>
        <v>0</v>
      </c>
      <c r="AV208" s="23">
        <f t="shared" si="124"/>
        <v>0</v>
      </c>
      <c r="AW208" s="23">
        <f t="shared" si="125"/>
        <v>0</v>
      </c>
      <c r="AX208" s="23">
        <f t="shared" si="126"/>
        <v>0</v>
      </c>
      <c r="AY208" s="23">
        <f t="shared" si="127"/>
        <v>0</v>
      </c>
      <c r="AZ208" s="23">
        <f t="shared" si="128"/>
        <v>11686.37</v>
      </c>
      <c r="BA208" s="23">
        <f t="shared" si="129"/>
        <v>5808.19</v>
      </c>
      <c r="BB208" s="23">
        <f t="shared" si="130"/>
        <v>1713.76</v>
      </c>
      <c r="BC208" s="23">
        <f t="shared" si="131"/>
        <v>351.25</v>
      </c>
      <c r="BD208" s="23">
        <f t="shared" si="132"/>
        <v>4909.66</v>
      </c>
      <c r="BE208" s="23">
        <f t="shared" si="133"/>
        <v>2857.71</v>
      </c>
      <c r="BF208" s="23">
        <f t="shared" si="134"/>
        <v>3354.57</v>
      </c>
      <c r="BG208" s="23">
        <f t="shared" si="135"/>
        <v>64277.03</v>
      </c>
      <c r="BH208" s="23">
        <f t="shared" si="136"/>
        <v>70654.64</v>
      </c>
      <c r="BI208" s="23">
        <f t="shared" si="137"/>
        <v>68934.899999999994</v>
      </c>
      <c r="BJ208" s="23">
        <f t="shared" si="138"/>
        <v>68122.97</v>
      </c>
      <c r="BK208" s="23">
        <f t="shared" si="139"/>
        <v>7627.77</v>
      </c>
      <c r="BL208" s="23">
        <f t="shared" si="140"/>
        <v>4120.28</v>
      </c>
      <c r="BM208" s="23">
        <f t="shared" si="141"/>
        <v>12117.72</v>
      </c>
      <c r="BN208" s="23">
        <f t="shared" si="142"/>
        <v>19487.849999999999</v>
      </c>
      <c r="BO208" s="23">
        <f t="shared" si="143"/>
        <v>10308.879999999999</v>
      </c>
      <c r="BP208" s="23">
        <f t="shared" si="144"/>
        <v>9178.9699999999993</v>
      </c>
      <c r="BQ208" s="23">
        <f t="shared" si="145"/>
        <v>9341.01</v>
      </c>
      <c r="BR208" s="23">
        <f t="shared" si="146"/>
        <v>3744.21</v>
      </c>
      <c r="BS208" s="23">
        <f t="shared" si="147"/>
        <v>26939.66</v>
      </c>
      <c r="BT208" s="23">
        <f t="shared" si="148"/>
        <v>1719.74</v>
      </c>
      <c r="BU208" s="23">
        <f t="shared" si="148"/>
        <v>5396.29</v>
      </c>
      <c r="BV208" s="23">
        <f t="shared" si="148"/>
        <v>68483.69</v>
      </c>
      <c r="BW208" s="23">
        <f t="shared" si="148"/>
        <v>190398.34</v>
      </c>
      <c r="BX208" s="23">
        <f t="shared" si="148"/>
        <v>195326.81</v>
      </c>
      <c r="BY208" t="s">
        <v>273</v>
      </c>
      <c r="CE208" t="s">
        <v>267</v>
      </c>
      <c r="CF208" t="s">
        <v>266</v>
      </c>
      <c r="CG208" t="s">
        <v>266</v>
      </c>
      <c r="CH208" t="s">
        <v>266</v>
      </c>
      <c r="CI208" t="s">
        <v>266</v>
      </c>
      <c r="CJ208" t="s">
        <v>266</v>
      </c>
      <c r="CK208" t="s">
        <v>267</v>
      </c>
      <c r="CL208" t="s">
        <v>267</v>
      </c>
      <c r="CM208" t="s">
        <v>267</v>
      </c>
      <c r="CN208" t="s">
        <v>267</v>
      </c>
      <c r="CO208" t="s">
        <v>267</v>
      </c>
    </row>
    <row r="209" spans="1:93" x14ac:dyDescent="0.25">
      <c r="A209" s="2" t="s">
        <v>215</v>
      </c>
      <c r="B209" s="17">
        <v>157092</v>
      </c>
      <c r="C209" s="17">
        <v>95437</v>
      </c>
      <c r="D209" s="17">
        <v>5268</v>
      </c>
      <c r="E209" s="17">
        <v>3824</v>
      </c>
      <c r="F209" s="17">
        <v>19522</v>
      </c>
      <c r="G209" s="17">
        <v>47103</v>
      </c>
      <c r="H209" s="17">
        <v>1680</v>
      </c>
      <c r="I209" s="17">
        <v>0</v>
      </c>
      <c r="J209" s="17">
        <v>0</v>
      </c>
      <c r="K209" s="17">
        <v>0</v>
      </c>
      <c r="L209" s="17">
        <v>0</v>
      </c>
      <c r="M209" s="17">
        <v>0</v>
      </c>
      <c r="N209" s="17">
        <v>93800</v>
      </c>
      <c r="O209" s="17">
        <v>48444</v>
      </c>
      <c r="P209" s="17">
        <v>14123.000000000002</v>
      </c>
      <c r="Q209" s="17">
        <v>2858</v>
      </c>
      <c r="R209" s="17">
        <v>42939</v>
      </c>
      <c r="S209" s="17">
        <v>23514</v>
      </c>
      <c r="T209" s="17">
        <v>28250</v>
      </c>
      <c r="U209" s="17">
        <v>528844</v>
      </c>
      <c r="V209" s="17">
        <f t="shared" si="149"/>
        <v>583854</v>
      </c>
      <c r="W209" s="18">
        <v>575875</v>
      </c>
      <c r="X209" s="19">
        <v>565906</v>
      </c>
      <c r="Y209" s="19">
        <v>62913</v>
      </c>
      <c r="Z209" s="19">
        <v>33700</v>
      </c>
      <c r="AA209" s="19">
        <v>101100</v>
      </c>
      <c r="AB209" s="19">
        <v>176689.18931085739</v>
      </c>
      <c r="AC209" s="19">
        <v>94201.293263847401</v>
      </c>
      <c r="AD209" s="19">
        <v>82487.896047009985</v>
      </c>
      <c r="AE209" s="19">
        <v>78700</v>
      </c>
      <c r="AF209" s="19">
        <v>33469</v>
      </c>
      <c r="AG209" s="24">
        <v>205160.81068914253</v>
      </c>
      <c r="AH209" s="17">
        <f t="shared" si="150"/>
        <v>7979</v>
      </c>
      <c r="AI209" s="20">
        <v>47125</v>
      </c>
      <c r="AJ209" s="21">
        <v>567200</v>
      </c>
      <c r="AK209" s="22">
        <v>1567027</v>
      </c>
      <c r="AL209" s="22">
        <v>1592423</v>
      </c>
      <c r="AM209" s="16">
        <v>815</v>
      </c>
      <c r="AN209" s="23">
        <f t="shared" si="116"/>
        <v>19275.09</v>
      </c>
      <c r="AO209" s="23">
        <f t="shared" si="117"/>
        <v>11710.06</v>
      </c>
      <c r="AP209" s="23">
        <f t="shared" si="118"/>
        <v>646.38</v>
      </c>
      <c r="AQ209" s="23">
        <f t="shared" si="119"/>
        <v>469.2</v>
      </c>
      <c r="AR209" s="23">
        <f t="shared" si="120"/>
        <v>2395.34</v>
      </c>
      <c r="AS209" s="23">
        <f t="shared" si="121"/>
        <v>5779.51</v>
      </c>
      <c r="AT209" s="23">
        <f t="shared" si="122"/>
        <v>206.13</v>
      </c>
      <c r="AU209" s="23">
        <f t="shared" si="123"/>
        <v>0</v>
      </c>
      <c r="AV209" s="23">
        <f t="shared" si="124"/>
        <v>0</v>
      </c>
      <c r="AW209" s="23">
        <f t="shared" si="125"/>
        <v>0</v>
      </c>
      <c r="AX209" s="23">
        <f t="shared" si="126"/>
        <v>0</v>
      </c>
      <c r="AY209" s="23">
        <f t="shared" si="127"/>
        <v>0</v>
      </c>
      <c r="AZ209" s="23">
        <f t="shared" si="128"/>
        <v>11509.2</v>
      </c>
      <c r="BA209" s="23">
        <f t="shared" si="129"/>
        <v>5944.05</v>
      </c>
      <c r="BB209" s="23">
        <f t="shared" si="130"/>
        <v>1732.88</v>
      </c>
      <c r="BC209" s="23">
        <f t="shared" si="131"/>
        <v>350.67</v>
      </c>
      <c r="BD209" s="23">
        <f t="shared" si="132"/>
        <v>5268.59</v>
      </c>
      <c r="BE209" s="23">
        <f t="shared" si="133"/>
        <v>2885.15</v>
      </c>
      <c r="BF209" s="23">
        <f t="shared" si="134"/>
        <v>3466.26</v>
      </c>
      <c r="BG209" s="23">
        <f t="shared" si="135"/>
        <v>64888.83</v>
      </c>
      <c r="BH209" s="23">
        <f t="shared" si="136"/>
        <v>71638.53</v>
      </c>
      <c r="BI209" s="23">
        <f t="shared" si="137"/>
        <v>70659.509999999995</v>
      </c>
      <c r="BJ209" s="23">
        <f t="shared" si="138"/>
        <v>69436.320000000007</v>
      </c>
      <c r="BK209" s="23">
        <f t="shared" si="139"/>
        <v>7719.39</v>
      </c>
      <c r="BL209" s="23">
        <f t="shared" si="140"/>
        <v>4134.97</v>
      </c>
      <c r="BM209" s="23">
        <f t="shared" si="141"/>
        <v>12404.91</v>
      </c>
      <c r="BN209" s="23">
        <f t="shared" si="142"/>
        <v>21679.66</v>
      </c>
      <c r="BO209" s="23">
        <f t="shared" si="143"/>
        <v>11558.44</v>
      </c>
      <c r="BP209" s="23">
        <f t="shared" si="144"/>
        <v>10121.209999999999</v>
      </c>
      <c r="BQ209" s="23">
        <f t="shared" si="145"/>
        <v>9656.44</v>
      </c>
      <c r="BR209" s="23">
        <f t="shared" si="146"/>
        <v>4106.63</v>
      </c>
      <c r="BS209" s="23">
        <f t="shared" si="147"/>
        <v>25173.11</v>
      </c>
      <c r="BT209" s="23">
        <f t="shared" si="148"/>
        <v>979.02</v>
      </c>
      <c r="BU209" s="23">
        <f t="shared" si="148"/>
        <v>5782.21</v>
      </c>
      <c r="BV209" s="23">
        <f t="shared" si="148"/>
        <v>69595.09</v>
      </c>
      <c r="BW209" s="23">
        <f t="shared" si="148"/>
        <v>192273.25</v>
      </c>
      <c r="BX209" s="23">
        <f t="shared" si="148"/>
        <v>195389.33</v>
      </c>
      <c r="BY209" t="s">
        <v>273</v>
      </c>
      <c r="BZ209" t="s">
        <v>306</v>
      </c>
      <c r="CE209" t="s">
        <v>267</v>
      </c>
      <c r="CF209" t="s">
        <v>266</v>
      </c>
      <c r="CG209" t="s">
        <v>266</v>
      </c>
      <c r="CH209" t="s">
        <v>266</v>
      </c>
      <c r="CI209" t="s">
        <v>266</v>
      </c>
      <c r="CJ209" t="s">
        <v>266</v>
      </c>
      <c r="CK209" t="s">
        <v>267</v>
      </c>
      <c r="CL209" t="s">
        <v>267</v>
      </c>
      <c r="CM209" t="s">
        <v>267</v>
      </c>
      <c r="CN209" t="s">
        <v>267</v>
      </c>
      <c r="CO209" t="s">
        <v>267</v>
      </c>
    </row>
    <row r="210" spans="1:93" x14ac:dyDescent="0.25">
      <c r="A210" s="2" t="s">
        <v>216</v>
      </c>
      <c r="B210" s="17">
        <v>150839.00000000003</v>
      </c>
      <c r="C210" s="17">
        <v>96613</v>
      </c>
      <c r="D210" s="17">
        <v>7852</v>
      </c>
      <c r="E210" s="17">
        <v>2837</v>
      </c>
      <c r="F210" s="17">
        <v>20853</v>
      </c>
      <c r="G210" s="17">
        <v>38141</v>
      </c>
      <c r="H210" s="17">
        <v>2567</v>
      </c>
      <c r="I210" s="17">
        <v>0</v>
      </c>
      <c r="J210" s="17">
        <v>0</v>
      </c>
      <c r="K210" s="17">
        <v>0</v>
      </c>
      <c r="L210" s="17">
        <v>0</v>
      </c>
      <c r="M210" s="17">
        <v>0</v>
      </c>
      <c r="N210" s="17">
        <v>89227</v>
      </c>
      <c r="O210" s="17">
        <v>48525.999999999993</v>
      </c>
      <c r="P210" s="17">
        <v>8002.0000000000009</v>
      </c>
      <c r="Q210" s="17">
        <v>2977</v>
      </c>
      <c r="R210" s="17">
        <v>46778</v>
      </c>
      <c r="S210" s="17">
        <v>24516</v>
      </c>
      <c r="T210" s="17">
        <v>29371</v>
      </c>
      <c r="U210" s="17">
        <v>510197</v>
      </c>
      <c r="V210" s="17">
        <f t="shared" si="149"/>
        <v>569099</v>
      </c>
      <c r="W210" s="18">
        <v>616360.25</v>
      </c>
      <c r="X210" s="19">
        <v>600435</v>
      </c>
      <c r="Y210" s="19">
        <v>85978.000000000015</v>
      </c>
      <c r="Z210" s="19">
        <v>36800</v>
      </c>
      <c r="AA210" s="19">
        <v>108700</v>
      </c>
      <c r="AB210" s="19">
        <v>175884.013605844</v>
      </c>
      <c r="AC210" s="19">
        <v>93368.480693603517</v>
      </c>
      <c r="AD210" s="19">
        <v>82515.53291224048</v>
      </c>
      <c r="AE210" s="19">
        <v>83000</v>
      </c>
      <c r="AF210" s="19">
        <v>34895</v>
      </c>
      <c r="AG210" s="24">
        <v>247133.98639415603</v>
      </c>
      <c r="AH210" s="17">
        <f t="shared" si="150"/>
        <v>-47261.25</v>
      </c>
      <c r="AI210" s="20">
        <v>119372</v>
      </c>
      <c r="AJ210" s="21">
        <v>787200</v>
      </c>
      <c r="AK210" s="22">
        <v>1583394</v>
      </c>
      <c r="AL210" s="22">
        <v>1558283</v>
      </c>
      <c r="AM210" s="16">
        <v>847.5</v>
      </c>
      <c r="AN210" s="23">
        <f t="shared" si="116"/>
        <v>17798.11</v>
      </c>
      <c r="AO210" s="23">
        <f t="shared" si="117"/>
        <v>11399.76</v>
      </c>
      <c r="AP210" s="23">
        <f t="shared" si="118"/>
        <v>926.49</v>
      </c>
      <c r="AQ210" s="23">
        <f t="shared" si="119"/>
        <v>334.75</v>
      </c>
      <c r="AR210" s="23">
        <f t="shared" si="120"/>
        <v>2460.5300000000002</v>
      </c>
      <c r="AS210" s="23">
        <f t="shared" si="121"/>
        <v>4500.41</v>
      </c>
      <c r="AT210" s="23">
        <f t="shared" si="122"/>
        <v>302.89</v>
      </c>
      <c r="AU210" s="23">
        <f t="shared" si="123"/>
        <v>0</v>
      </c>
      <c r="AV210" s="23">
        <f t="shared" si="124"/>
        <v>0</v>
      </c>
      <c r="AW210" s="23">
        <f t="shared" si="125"/>
        <v>0</v>
      </c>
      <c r="AX210" s="23">
        <f t="shared" si="126"/>
        <v>0</v>
      </c>
      <c r="AY210" s="23">
        <f t="shared" si="127"/>
        <v>0</v>
      </c>
      <c r="AZ210" s="23">
        <f t="shared" si="128"/>
        <v>10528.26</v>
      </c>
      <c r="BA210" s="23">
        <f t="shared" si="129"/>
        <v>5725.78</v>
      </c>
      <c r="BB210" s="23">
        <f t="shared" si="130"/>
        <v>944.19</v>
      </c>
      <c r="BC210" s="23">
        <f t="shared" si="131"/>
        <v>351.27</v>
      </c>
      <c r="BD210" s="23">
        <f t="shared" si="132"/>
        <v>5519.53</v>
      </c>
      <c r="BE210" s="23">
        <f t="shared" si="133"/>
        <v>2892.74</v>
      </c>
      <c r="BF210" s="23">
        <f t="shared" si="134"/>
        <v>3465.6</v>
      </c>
      <c r="BG210" s="23">
        <f t="shared" si="135"/>
        <v>60200.24</v>
      </c>
      <c r="BH210" s="23">
        <f t="shared" si="136"/>
        <v>67150.320000000007</v>
      </c>
      <c r="BI210" s="23">
        <f t="shared" si="137"/>
        <v>72726.87</v>
      </c>
      <c r="BJ210" s="23">
        <f t="shared" si="138"/>
        <v>70847.789999999994</v>
      </c>
      <c r="BK210" s="23">
        <f t="shared" si="139"/>
        <v>10144.9</v>
      </c>
      <c r="BL210" s="23">
        <f t="shared" si="140"/>
        <v>4342.18</v>
      </c>
      <c r="BM210" s="23">
        <f t="shared" si="141"/>
        <v>12825.96</v>
      </c>
      <c r="BN210" s="23">
        <f t="shared" si="142"/>
        <v>20753.28</v>
      </c>
      <c r="BO210" s="23">
        <f t="shared" si="143"/>
        <v>11016.93</v>
      </c>
      <c r="BP210" s="23">
        <f t="shared" si="144"/>
        <v>9736.35</v>
      </c>
      <c r="BQ210" s="23">
        <f t="shared" si="145"/>
        <v>9793.51</v>
      </c>
      <c r="BR210" s="23">
        <f t="shared" si="146"/>
        <v>4117.3999999999996</v>
      </c>
      <c r="BS210" s="23">
        <f t="shared" si="147"/>
        <v>29160.35</v>
      </c>
      <c r="BT210" s="23">
        <f t="shared" ref="BT210:BX224" si="151">_xlfn.SINGLE(ROUND((AH210/$AM210)*100,2))</f>
        <v>-5576.55</v>
      </c>
      <c r="BU210" s="23">
        <f t="shared" si="151"/>
        <v>14085.19</v>
      </c>
      <c r="BV210" s="23">
        <f t="shared" si="151"/>
        <v>92884.96</v>
      </c>
      <c r="BW210" s="23">
        <f t="shared" si="151"/>
        <v>186831.15</v>
      </c>
      <c r="BX210" s="23">
        <f t="shared" si="151"/>
        <v>183868.2</v>
      </c>
      <c r="BY210" t="s">
        <v>273</v>
      </c>
      <c r="BZ210" t="s">
        <v>306</v>
      </c>
      <c r="CE210" t="s">
        <v>267</v>
      </c>
      <c r="CF210" t="s">
        <v>266</v>
      </c>
      <c r="CG210" t="s">
        <v>266</v>
      </c>
      <c r="CH210" t="s">
        <v>266</v>
      </c>
      <c r="CI210" t="s">
        <v>266</v>
      </c>
      <c r="CJ210" t="s">
        <v>266</v>
      </c>
      <c r="CK210" t="s">
        <v>267</v>
      </c>
      <c r="CL210" t="s">
        <v>267</v>
      </c>
      <c r="CM210" t="s">
        <v>267</v>
      </c>
      <c r="CN210" t="s">
        <v>267</v>
      </c>
      <c r="CO210" t="s">
        <v>267</v>
      </c>
    </row>
    <row r="211" spans="1:93" x14ac:dyDescent="0.25">
      <c r="A211" s="2" t="s">
        <v>217</v>
      </c>
      <c r="B211" s="17">
        <v>147148.00000000003</v>
      </c>
      <c r="C211" s="17">
        <v>96638</v>
      </c>
      <c r="D211" s="17">
        <v>2491</v>
      </c>
      <c r="E211" s="17">
        <v>2386</v>
      </c>
      <c r="F211" s="17">
        <v>21317</v>
      </c>
      <c r="G211" s="17">
        <v>40035.000000000007</v>
      </c>
      <c r="H211" s="17">
        <v>923</v>
      </c>
      <c r="I211" s="17">
        <v>0</v>
      </c>
      <c r="J211" s="17">
        <v>0</v>
      </c>
      <c r="K211" s="17">
        <v>0</v>
      </c>
      <c r="L211" s="17">
        <v>0</v>
      </c>
      <c r="M211" s="17">
        <v>0</v>
      </c>
      <c r="N211" s="17">
        <v>86244</v>
      </c>
      <c r="O211" s="17">
        <v>52449.999999999993</v>
      </c>
      <c r="P211" s="17">
        <v>7904</v>
      </c>
      <c r="Q211" s="17">
        <v>3028</v>
      </c>
      <c r="R211" s="17">
        <v>47359.999999999942</v>
      </c>
      <c r="S211" s="17">
        <v>25061</v>
      </c>
      <c r="T211" s="17">
        <v>30982</v>
      </c>
      <c r="U211" s="17">
        <v>503858</v>
      </c>
      <c r="V211" s="17">
        <f t="shared" si="149"/>
        <v>563967</v>
      </c>
      <c r="W211" s="18">
        <v>658340</v>
      </c>
      <c r="X211" s="19">
        <v>634809</v>
      </c>
      <c r="Y211" s="19">
        <v>86930</v>
      </c>
      <c r="Z211" s="19">
        <v>37700</v>
      </c>
      <c r="AA211" s="19">
        <v>116900</v>
      </c>
      <c r="AB211" s="19">
        <v>192813.35569052215</v>
      </c>
      <c r="AC211" s="19">
        <v>99776.634781208937</v>
      </c>
      <c r="AD211" s="19">
        <v>93036.720909313197</v>
      </c>
      <c r="AE211" s="19">
        <v>88500</v>
      </c>
      <c r="AF211" s="19">
        <v>24430.999999999996</v>
      </c>
      <c r="AG211" s="24">
        <v>261394.64430947788</v>
      </c>
      <c r="AH211" s="17">
        <f t="shared" si="150"/>
        <v>-94373</v>
      </c>
      <c r="AI211" s="20">
        <v>159906</v>
      </c>
      <c r="AJ211" s="21">
        <v>1027900.0000000001</v>
      </c>
      <c r="AK211" s="22">
        <v>1561331</v>
      </c>
      <c r="AL211" s="22">
        <v>1594090</v>
      </c>
      <c r="AM211" s="16">
        <v>843</v>
      </c>
      <c r="AN211" s="23">
        <f t="shared" si="116"/>
        <v>17455.28</v>
      </c>
      <c r="AO211" s="23">
        <f t="shared" si="117"/>
        <v>11463.58</v>
      </c>
      <c r="AP211" s="23">
        <f t="shared" si="118"/>
        <v>295.49</v>
      </c>
      <c r="AQ211" s="23">
        <f t="shared" si="119"/>
        <v>283.04000000000002</v>
      </c>
      <c r="AR211" s="23">
        <f t="shared" si="120"/>
        <v>2528.71</v>
      </c>
      <c r="AS211" s="23">
        <f t="shared" si="121"/>
        <v>4749.1099999999997</v>
      </c>
      <c r="AT211" s="23">
        <f t="shared" si="122"/>
        <v>109.49</v>
      </c>
      <c r="AU211" s="23">
        <f t="shared" si="123"/>
        <v>0</v>
      </c>
      <c r="AV211" s="23">
        <f t="shared" si="124"/>
        <v>0</v>
      </c>
      <c r="AW211" s="23">
        <f t="shared" si="125"/>
        <v>0</v>
      </c>
      <c r="AX211" s="23">
        <f t="shared" si="126"/>
        <v>0</v>
      </c>
      <c r="AY211" s="23">
        <f t="shared" si="127"/>
        <v>0</v>
      </c>
      <c r="AZ211" s="23">
        <f t="shared" si="128"/>
        <v>10230.6</v>
      </c>
      <c r="BA211" s="23">
        <f t="shared" si="129"/>
        <v>6221.83</v>
      </c>
      <c r="BB211" s="23">
        <f t="shared" si="130"/>
        <v>937.6</v>
      </c>
      <c r="BC211" s="23">
        <f t="shared" si="131"/>
        <v>359.19</v>
      </c>
      <c r="BD211" s="23">
        <f t="shared" si="132"/>
        <v>5618.03</v>
      </c>
      <c r="BE211" s="23">
        <f t="shared" si="133"/>
        <v>2972.84</v>
      </c>
      <c r="BF211" s="23">
        <f t="shared" si="134"/>
        <v>3675.21</v>
      </c>
      <c r="BG211" s="23">
        <f t="shared" si="135"/>
        <v>59769.63</v>
      </c>
      <c r="BH211" s="23">
        <f t="shared" si="136"/>
        <v>66900</v>
      </c>
      <c r="BI211" s="23">
        <f t="shared" si="137"/>
        <v>78094.899999999994</v>
      </c>
      <c r="BJ211" s="23">
        <f t="shared" si="138"/>
        <v>75303.56</v>
      </c>
      <c r="BK211" s="23">
        <f t="shared" si="139"/>
        <v>10311.98</v>
      </c>
      <c r="BL211" s="23">
        <f t="shared" si="140"/>
        <v>4472.12</v>
      </c>
      <c r="BM211" s="23">
        <f t="shared" si="141"/>
        <v>13867.14</v>
      </c>
      <c r="BN211" s="23">
        <f t="shared" si="142"/>
        <v>22872.28</v>
      </c>
      <c r="BO211" s="23">
        <f t="shared" si="143"/>
        <v>11835.9</v>
      </c>
      <c r="BP211" s="23">
        <f t="shared" si="144"/>
        <v>11036.38</v>
      </c>
      <c r="BQ211" s="23">
        <f t="shared" si="145"/>
        <v>10498.22</v>
      </c>
      <c r="BR211" s="23">
        <f t="shared" si="146"/>
        <v>2898.1</v>
      </c>
      <c r="BS211" s="23">
        <f t="shared" si="147"/>
        <v>31007.67</v>
      </c>
      <c r="BT211" s="23">
        <f t="shared" si="151"/>
        <v>-11194.9</v>
      </c>
      <c r="BU211" s="23">
        <f t="shared" si="151"/>
        <v>18968.68</v>
      </c>
      <c r="BV211" s="23">
        <f t="shared" si="151"/>
        <v>121933.57</v>
      </c>
      <c r="BW211" s="23">
        <f t="shared" si="151"/>
        <v>185211.27</v>
      </c>
      <c r="BX211" s="23">
        <f t="shared" si="151"/>
        <v>189097.27</v>
      </c>
      <c r="BY211" t="s">
        <v>273</v>
      </c>
      <c r="BZ211" t="s">
        <v>306</v>
      </c>
      <c r="CE211" t="s">
        <v>267</v>
      </c>
      <c r="CF211" t="s">
        <v>266</v>
      </c>
      <c r="CG211" t="s">
        <v>266</v>
      </c>
      <c r="CH211" t="s">
        <v>266</v>
      </c>
      <c r="CI211" t="s">
        <v>266</v>
      </c>
      <c r="CJ211" t="s">
        <v>266</v>
      </c>
      <c r="CK211" t="s">
        <v>267</v>
      </c>
      <c r="CL211" t="s">
        <v>267</v>
      </c>
      <c r="CM211" t="s">
        <v>267</v>
      </c>
      <c r="CN211" t="s">
        <v>267</v>
      </c>
      <c r="CO211" t="s">
        <v>267</v>
      </c>
    </row>
    <row r="212" spans="1:93" x14ac:dyDescent="0.25">
      <c r="A212" s="2" t="s">
        <v>218</v>
      </c>
      <c r="B212" s="17">
        <v>153246</v>
      </c>
      <c r="C212" s="17">
        <v>97747</v>
      </c>
      <c r="D212" s="17">
        <v>3601</v>
      </c>
      <c r="E212" s="17">
        <v>2716</v>
      </c>
      <c r="F212" s="17">
        <v>21254</v>
      </c>
      <c r="G212" s="17">
        <v>43931</v>
      </c>
      <c r="H212" s="17">
        <v>1458</v>
      </c>
      <c r="I212" s="17">
        <v>0</v>
      </c>
      <c r="J212" s="17">
        <v>0</v>
      </c>
      <c r="K212" s="17">
        <v>0</v>
      </c>
      <c r="L212" s="17">
        <v>0</v>
      </c>
      <c r="M212" s="17">
        <v>42</v>
      </c>
      <c r="N212" s="17">
        <v>101286</v>
      </c>
      <c r="O212" s="17">
        <v>53951</v>
      </c>
      <c r="P212" s="17">
        <v>8931.0000000000018</v>
      </c>
      <c r="Q212" s="17">
        <v>3064</v>
      </c>
      <c r="R212" s="17">
        <v>53843</v>
      </c>
      <c r="S212" s="17">
        <v>25563</v>
      </c>
      <c r="T212" s="17">
        <v>32776</v>
      </c>
      <c r="U212" s="17">
        <v>540768</v>
      </c>
      <c r="V212" s="17">
        <f t="shared" si="149"/>
        <v>603409</v>
      </c>
      <c r="W212" s="18">
        <v>683527.75</v>
      </c>
      <c r="X212" s="19">
        <v>662728</v>
      </c>
      <c r="Y212" s="19">
        <v>80981</v>
      </c>
      <c r="Z212" s="19">
        <v>39300</v>
      </c>
      <c r="AA212" s="19">
        <v>119900</v>
      </c>
      <c r="AB212" s="19">
        <v>199859.48267378248</v>
      </c>
      <c r="AC212" s="19">
        <v>103626.15568134619</v>
      </c>
      <c r="AD212" s="19">
        <v>96233.326992436283</v>
      </c>
      <c r="AE212" s="19">
        <v>91500</v>
      </c>
      <c r="AF212" s="19">
        <v>39324</v>
      </c>
      <c r="AG212" s="24">
        <v>253825.51732621749</v>
      </c>
      <c r="AH212" s="17">
        <f t="shared" si="150"/>
        <v>-80118.75</v>
      </c>
      <c r="AI212" s="20">
        <v>141786</v>
      </c>
      <c r="AJ212" s="21">
        <v>1168700</v>
      </c>
      <c r="AK212" s="22">
        <v>1630474</v>
      </c>
      <c r="AL212" s="22">
        <v>1651191</v>
      </c>
      <c r="AM212" s="16">
        <v>881.9</v>
      </c>
      <c r="AN212" s="23">
        <f t="shared" si="116"/>
        <v>17376.8</v>
      </c>
      <c r="AO212" s="23">
        <f t="shared" si="117"/>
        <v>11083.68</v>
      </c>
      <c r="AP212" s="23">
        <f t="shared" si="118"/>
        <v>408.32</v>
      </c>
      <c r="AQ212" s="23">
        <f t="shared" si="119"/>
        <v>307.97000000000003</v>
      </c>
      <c r="AR212" s="23">
        <f t="shared" si="120"/>
        <v>2410.02</v>
      </c>
      <c r="AS212" s="23">
        <f t="shared" si="121"/>
        <v>4981.3999999999996</v>
      </c>
      <c r="AT212" s="23">
        <f t="shared" si="122"/>
        <v>165.32</v>
      </c>
      <c r="AU212" s="23">
        <f t="shared" si="123"/>
        <v>0</v>
      </c>
      <c r="AV212" s="23">
        <f t="shared" si="124"/>
        <v>0</v>
      </c>
      <c r="AW212" s="23">
        <f t="shared" si="125"/>
        <v>0</v>
      </c>
      <c r="AX212" s="23">
        <f t="shared" si="126"/>
        <v>0</v>
      </c>
      <c r="AY212" s="23">
        <f t="shared" si="127"/>
        <v>4.76</v>
      </c>
      <c r="AZ212" s="23">
        <f t="shared" si="128"/>
        <v>11484.98</v>
      </c>
      <c r="BA212" s="23">
        <f t="shared" si="129"/>
        <v>6117.59</v>
      </c>
      <c r="BB212" s="23">
        <f t="shared" si="130"/>
        <v>1012.7</v>
      </c>
      <c r="BC212" s="23">
        <f t="shared" si="131"/>
        <v>347.43</v>
      </c>
      <c r="BD212" s="23">
        <f t="shared" si="132"/>
        <v>6105.34</v>
      </c>
      <c r="BE212" s="23">
        <f t="shared" si="133"/>
        <v>2898.63</v>
      </c>
      <c r="BF212" s="23">
        <f t="shared" si="134"/>
        <v>3716.52</v>
      </c>
      <c r="BG212" s="23">
        <f t="shared" si="135"/>
        <v>61318.52</v>
      </c>
      <c r="BH212" s="23">
        <f t="shared" si="136"/>
        <v>68421.48</v>
      </c>
      <c r="BI212" s="23">
        <f t="shared" si="137"/>
        <v>77506.259999999995</v>
      </c>
      <c r="BJ212" s="23">
        <f t="shared" si="138"/>
        <v>75147.75</v>
      </c>
      <c r="BK212" s="23">
        <f t="shared" si="139"/>
        <v>9182.56</v>
      </c>
      <c r="BL212" s="23">
        <f t="shared" si="140"/>
        <v>4456.29</v>
      </c>
      <c r="BM212" s="23">
        <f t="shared" si="141"/>
        <v>13595.65</v>
      </c>
      <c r="BN212" s="23">
        <f t="shared" si="142"/>
        <v>22662.37</v>
      </c>
      <c r="BO212" s="23">
        <f t="shared" si="143"/>
        <v>11750.33</v>
      </c>
      <c r="BP212" s="23">
        <f t="shared" si="144"/>
        <v>10912.05</v>
      </c>
      <c r="BQ212" s="23">
        <f t="shared" si="145"/>
        <v>10375.33</v>
      </c>
      <c r="BR212" s="23">
        <f t="shared" si="146"/>
        <v>4459.01</v>
      </c>
      <c r="BS212" s="23">
        <f t="shared" si="147"/>
        <v>28781.67</v>
      </c>
      <c r="BT212" s="23">
        <f t="shared" si="151"/>
        <v>-9084.7900000000009</v>
      </c>
      <c r="BU212" s="23">
        <f t="shared" si="151"/>
        <v>16077.33</v>
      </c>
      <c r="BV212" s="23">
        <f t="shared" si="151"/>
        <v>132520.69</v>
      </c>
      <c r="BW212" s="23">
        <f t="shared" si="151"/>
        <v>184881.96</v>
      </c>
      <c r="BX212" s="23">
        <f t="shared" si="151"/>
        <v>187231.09</v>
      </c>
      <c r="BY212" t="s">
        <v>275</v>
      </c>
      <c r="CE212" t="s">
        <v>267</v>
      </c>
      <c r="CF212" t="s">
        <v>266</v>
      </c>
      <c r="CG212" t="s">
        <v>266</v>
      </c>
      <c r="CH212" t="s">
        <v>266</v>
      </c>
      <c r="CI212" t="s">
        <v>266</v>
      </c>
      <c r="CJ212" t="s">
        <v>266</v>
      </c>
      <c r="CK212" t="s">
        <v>267</v>
      </c>
      <c r="CL212" t="s">
        <v>267</v>
      </c>
      <c r="CM212" t="s">
        <v>267</v>
      </c>
      <c r="CN212" t="s">
        <v>267</v>
      </c>
      <c r="CO212" t="s">
        <v>267</v>
      </c>
    </row>
    <row r="213" spans="1:93" x14ac:dyDescent="0.25">
      <c r="A213" s="2" t="s">
        <v>219</v>
      </c>
      <c r="B213" s="17">
        <v>152702</v>
      </c>
      <c r="C213" s="17">
        <v>101597</v>
      </c>
      <c r="D213" s="17">
        <v>4337</v>
      </c>
      <c r="E213" s="17">
        <v>2905</v>
      </c>
      <c r="F213" s="17">
        <v>22868</v>
      </c>
      <c r="G213" s="17">
        <v>41736.999999999993</v>
      </c>
      <c r="H213" s="17">
        <v>2032</v>
      </c>
      <c r="I213" s="17">
        <v>0</v>
      </c>
      <c r="J213" s="17">
        <v>0</v>
      </c>
      <c r="K213" s="17">
        <v>0</v>
      </c>
      <c r="L213" s="17">
        <v>0</v>
      </c>
      <c r="M213" s="17">
        <v>2382</v>
      </c>
      <c r="N213" s="17">
        <v>114204</v>
      </c>
      <c r="O213" s="17">
        <v>55414</v>
      </c>
      <c r="P213" s="17">
        <v>8919</v>
      </c>
      <c r="Q213" s="17">
        <v>3113</v>
      </c>
      <c r="R213" s="17">
        <v>54143</v>
      </c>
      <c r="S213" s="17">
        <v>25777</v>
      </c>
      <c r="T213" s="17">
        <v>32793</v>
      </c>
      <c r="U213" s="17">
        <v>559618</v>
      </c>
      <c r="V213" s="17">
        <f t="shared" si="149"/>
        <v>624923</v>
      </c>
      <c r="W213" s="18">
        <v>679871.25</v>
      </c>
      <c r="X213" s="19">
        <v>671400.00000000012</v>
      </c>
      <c r="Y213" s="19">
        <v>74820</v>
      </c>
      <c r="Z213" s="19">
        <v>38700</v>
      </c>
      <c r="AA213" s="19">
        <v>121300</v>
      </c>
      <c r="AB213" s="19">
        <v>206252.77974481636</v>
      </c>
      <c r="AC213" s="19">
        <v>107622.43153614958</v>
      </c>
      <c r="AD213" s="19">
        <v>98630.348208666794</v>
      </c>
      <c r="AE213" s="19">
        <v>86500</v>
      </c>
      <c r="AF213" s="19">
        <v>45004</v>
      </c>
      <c r="AG213" s="24">
        <v>248463.22025518364</v>
      </c>
      <c r="AH213" s="17">
        <f t="shared" si="150"/>
        <v>-54948.25</v>
      </c>
      <c r="AI213" s="20">
        <v>121290</v>
      </c>
      <c r="AJ213" s="21">
        <v>1261200</v>
      </c>
      <c r="AK213" s="22">
        <v>1671352</v>
      </c>
      <c r="AL213" s="22">
        <v>1698631</v>
      </c>
      <c r="AM213" s="16">
        <v>927.8</v>
      </c>
      <c r="AN213" s="23">
        <f t="shared" si="116"/>
        <v>16458.5</v>
      </c>
      <c r="AO213" s="23">
        <f t="shared" si="117"/>
        <v>10950.31</v>
      </c>
      <c r="AP213" s="23">
        <f t="shared" si="118"/>
        <v>467.45</v>
      </c>
      <c r="AQ213" s="23">
        <f t="shared" si="119"/>
        <v>313.11</v>
      </c>
      <c r="AR213" s="23">
        <f t="shared" si="120"/>
        <v>2464.7600000000002</v>
      </c>
      <c r="AS213" s="23">
        <f t="shared" si="121"/>
        <v>4498.49</v>
      </c>
      <c r="AT213" s="23">
        <f t="shared" si="122"/>
        <v>219.01</v>
      </c>
      <c r="AU213" s="23">
        <f t="shared" si="123"/>
        <v>0</v>
      </c>
      <c r="AV213" s="23">
        <f t="shared" si="124"/>
        <v>0</v>
      </c>
      <c r="AW213" s="23">
        <f t="shared" si="125"/>
        <v>0</v>
      </c>
      <c r="AX213" s="23">
        <f t="shared" si="126"/>
        <v>0</v>
      </c>
      <c r="AY213" s="23">
        <f t="shared" si="127"/>
        <v>256.74</v>
      </c>
      <c r="AZ213" s="23">
        <f t="shared" si="128"/>
        <v>12309.12</v>
      </c>
      <c r="BA213" s="23">
        <f t="shared" si="129"/>
        <v>5972.62</v>
      </c>
      <c r="BB213" s="23">
        <f t="shared" si="130"/>
        <v>961.31</v>
      </c>
      <c r="BC213" s="23">
        <f t="shared" si="131"/>
        <v>335.52</v>
      </c>
      <c r="BD213" s="23">
        <f t="shared" si="132"/>
        <v>5835.63</v>
      </c>
      <c r="BE213" s="23">
        <f t="shared" si="133"/>
        <v>2778.29</v>
      </c>
      <c r="BF213" s="23">
        <f t="shared" si="134"/>
        <v>3534.49</v>
      </c>
      <c r="BG213" s="23">
        <f t="shared" si="135"/>
        <v>60316.66</v>
      </c>
      <c r="BH213" s="23">
        <f t="shared" si="136"/>
        <v>67355.360000000001</v>
      </c>
      <c r="BI213" s="23">
        <f t="shared" si="137"/>
        <v>73277.78</v>
      </c>
      <c r="BJ213" s="23">
        <f t="shared" si="138"/>
        <v>72364.73</v>
      </c>
      <c r="BK213" s="23">
        <f t="shared" si="139"/>
        <v>8064.24</v>
      </c>
      <c r="BL213" s="23">
        <f t="shared" si="140"/>
        <v>4171.16</v>
      </c>
      <c r="BM213" s="23">
        <f t="shared" si="141"/>
        <v>13073.94</v>
      </c>
      <c r="BN213" s="23">
        <f t="shared" si="142"/>
        <v>22230.31</v>
      </c>
      <c r="BO213" s="23">
        <f t="shared" si="143"/>
        <v>11599.74</v>
      </c>
      <c r="BP213" s="23">
        <f t="shared" si="144"/>
        <v>10630.56</v>
      </c>
      <c r="BQ213" s="23">
        <f t="shared" si="145"/>
        <v>9323.1299999999992</v>
      </c>
      <c r="BR213" s="23">
        <f t="shared" si="146"/>
        <v>4850.6099999999997</v>
      </c>
      <c r="BS213" s="23">
        <f t="shared" si="147"/>
        <v>26779.83</v>
      </c>
      <c r="BT213" s="23">
        <f t="shared" si="151"/>
        <v>-5922.42</v>
      </c>
      <c r="BU213" s="23">
        <f t="shared" si="151"/>
        <v>13072.86</v>
      </c>
      <c r="BV213" s="23">
        <f t="shared" si="151"/>
        <v>135934.47</v>
      </c>
      <c r="BW213" s="23">
        <f t="shared" si="151"/>
        <v>180141.41</v>
      </c>
      <c r="BX213" s="23">
        <f t="shared" si="151"/>
        <v>183081.59</v>
      </c>
      <c r="BY213" t="s">
        <v>275</v>
      </c>
      <c r="CE213" t="s">
        <v>267</v>
      </c>
      <c r="CF213" t="s">
        <v>266</v>
      </c>
      <c r="CG213" t="s">
        <v>266</v>
      </c>
      <c r="CH213" t="s">
        <v>266</v>
      </c>
      <c r="CI213" t="s">
        <v>266</v>
      </c>
      <c r="CJ213" t="s">
        <v>266</v>
      </c>
      <c r="CK213" t="s">
        <v>267</v>
      </c>
      <c r="CL213" t="s">
        <v>267</v>
      </c>
      <c r="CM213" t="s">
        <v>267</v>
      </c>
      <c r="CN213" t="s">
        <v>267</v>
      </c>
      <c r="CO213" t="s">
        <v>267</v>
      </c>
    </row>
    <row r="214" spans="1:93" x14ac:dyDescent="0.25">
      <c r="A214" s="2" t="s">
        <v>220</v>
      </c>
      <c r="B214" s="17">
        <v>152291</v>
      </c>
      <c r="C214" s="17">
        <v>104483</v>
      </c>
      <c r="D214" s="17">
        <v>3927</v>
      </c>
      <c r="E214" s="17">
        <v>3106</v>
      </c>
      <c r="F214" s="17">
        <v>23725</v>
      </c>
      <c r="G214" s="17">
        <v>40748</v>
      </c>
      <c r="H214" s="17">
        <v>1737</v>
      </c>
      <c r="I214" s="17">
        <v>0</v>
      </c>
      <c r="J214" s="17">
        <v>0</v>
      </c>
      <c r="K214" s="17">
        <v>0</v>
      </c>
      <c r="L214" s="17">
        <v>0</v>
      </c>
      <c r="M214" s="17">
        <v>1773</v>
      </c>
      <c r="N214" s="17">
        <v>117312</v>
      </c>
      <c r="O214" s="17">
        <v>55105</v>
      </c>
      <c r="P214" s="17">
        <v>9140</v>
      </c>
      <c r="Q214" s="17">
        <v>3085</v>
      </c>
      <c r="R214" s="17">
        <v>64873</v>
      </c>
      <c r="S214" s="17">
        <v>26146</v>
      </c>
      <c r="T214" s="17">
        <v>29343</v>
      </c>
      <c r="U214" s="17">
        <v>565756</v>
      </c>
      <c r="V214" s="17">
        <f t="shared" si="149"/>
        <v>636794</v>
      </c>
      <c r="W214" s="18">
        <v>705710.75</v>
      </c>
      <c r="X214" s="19">
        <v>682996</v>
      </c>
      <c r="Y214" s="19">
        <v>78402</v>
      </c>
      <c r="Z214" s="19">
        <v>36300</v>
      </c>
      <c r="AA214" s="19">
        <v>124300</v>
      </c>
      <c r="AB214" s="19">
        <v>214020.85270996197</v>
      </c>
      <c r="AC214" s="19">
        <v>113481.60200574076</v>
      </c>
      <c r="AD214" s="19">
        <v>100539.25070422121</v>
      </c>
      <c r="AE214" s="19">
        <v>84100</v>
      </c>
      <c r="AF214" s="19">
        <v>37969</v>
      </c>
      <c r="AG214" s="24">
        <v>264708.14729003818</v>
      </c>
      <c r="AH214" s="17">
        <f t="shared" si="150"/>
        <v>-68916.75</v>
      </c>
      <c r="AI214" s="20">
        <v>123911</v>
      </c>
      <c r="AJ214" s="21">
        <v>1366200</v>
      </c>
      <c r="AK214" s="22">
        <v>1726983</v>
      </c>
      <c r="AL214" s="22">
        <v>1762710</v>
      </c>
      <c r="AM214" s="16">
        <v>957.6</v>
      </c>
      <c r="AN214" s="23">
        <f t="shared" si="116"/>
        <v>15903.4</v>
      </c>
      <c r="AO214" s="23">
        <f t="shared" si="117"/>
        <v>10910.92</v>
      </c>
      <c r="AP214" s="23">
        <f t="shared" si="118"/>
        <v>410.09</v>
      </c>
      <c r="AQ214" s="23">
        <f t="shared" si="119"/>
        <v>324.35000000000002</v>
      </c>
      <c r="AR214" s="23">
        <f t="shared" si="120"/>
        <v>2477.5500000000002</v>
      </c>
      <c r="AS214" s="23">
        <f t="shared" si="121"/>
        <v>4255.22</v>
      </c>
      <c r="AT214" s="23">
        <f t="shared" si="122"/>
        <v>181.39</v>
      </c>
      <c r="AU214" s="23">
        <f t="shared" si="123"/>
        <v>0</v>
      </c>
      <c r="AV214" s="23">
        <f t="shared" si="124"/>
        <v>0</v>
      </c>
      <c r="AW214" s="23">
        <f t="shared" si="125"/>
        <v>0</v>
      </c>
      <c r="AX214" s="23">
        <f t="shared" si="126"/>
        <v>0</v>
      </c>
      <c r="AY214" s="23">
        <f t="shared" si="127"/>
        <v>185.15</v>
      </c>
      <c r="AZ214" s="23">
        <f t="shared" si="128"/>
        <v>12250.63</v>
      </c>
      <c r="BA214" s="23">
        <f t="shared" si="129"/>
        <v>5754.49</v>
      </c>
      <c r="BB214" s="23">
        <f t="shared" si="130"/>
        <v>954.47</v>
      </c>
      <c r="BC214" s="23">
        <f t="shared" si="131"/>
        <v>322.16000000000003</v>
      </c>
      <c r="BD214" s="23">
        <f t="shared" si="132"/>
        <v>6774.54</v>
      </c>
      <c r="BE214" s="23">
        <f t="shared" si="133"/>
        <v>2730.37</v>
      </c>
      <c r="BF214" s="23">
        <f t="shared" si="134"/>
        <v>3064.22</v>
      </c>
      <c r="BG214" s="23">
        <f t="shared" si="135"/>
        <v>59080.62</v>
      </c>
      <c r="BH214" s="23">
        <f t="shared" si="136"/>
        <v>66498.960000000006</v>
      </c>
      <c r="BI214" s="23">
        <f t="shared" si="137"/>
        <v>73695.78</v>
      </c>
      <c r="BJ214" s="23">
        <f t="shared" si="138"/>
        <v>71323.73</v>
      </c>
      <c r="BK214" s="23">
        <f t="shared" si="139"/>
        <v>8187.34</v>
      </c>
      <c r="BL214" s="23">
        <f t="shared" si="140"/>
        <v>3790.73</v>
      </c>
      <c r="BM214" s="23">
        <f t="shared" si="141"/>
        <v>12980.37</v>
      </c>
      <c r="BN214" s="23">
        <f t="shared" si="142"/>
        <v>22349.71</v>
      </c>
      <c r="BO214" s="23">
        <f t="shared" si="143"/>
        <v>11850.63</v>
      </c>
      <c r="BP214" s="23">
        <f t="shared" si="144"/>
        <v>10499.09</v>
      </c>
      <c r="BQ214" s="23">
        <f t="shared" si="145"/>
        <v>8782.3700000000008</v>
      </c>
      <c r="BR214" s="23">
        <f t="shared" si="146"/>
        <v>3965.02</v>
      </c>
      <c r="BS214" s="23">
        <f t="shared" si="147"/>
        <v>27642.87</v>
      </c>
      <c r="BT214" s="23">
        <f t="shared" si="151"/>
        <v>-7196.82</v>
      </c>
      <c r="BU214" s="23">
        <f t="shared" si="151"/>
        <v>12939.75</v>
      </c>
      <c r="BV214" s="23">
        <f t="shared" si="151"/>
        <v>142669.17000000001</v>
      </c>
      <c r="BW214" s="23">
        <f t="shared" si="151"/>
        <v>180344.92</v>
      </c>
      <c r="BX214" s="23">
        <f t="shared" si="151"/>
        <v>184075.81</v>
      </c>
      <c r="BY214" t="s">
        <v>275</v>
      </c>
      <c r="CE214" t="s">
        <v>267</v>
      </c>
      <c r="CF214" t="s">
        <v>266</v>
      </c>
      <c r="CG214" t="s">
        <v>266</v>
      </c>
      <c r="CH214" t="s">
        <v>266</v>
      </c>
      <c r="CI214" t="s">
        <v>266</v>
      </c>
      <c r="CJ214" t="s">
        <v>266</v>
      </c>
      <c r="CK214" t="s">
        <v>267</v>
      </c>
      <c r="CL214" t="s">
        <v>267</v>
      </c>
      <c r="CM214" t="s">
        <v>267</v>
      </c>
      <c r="CN214" t="s">
        <v>267</v>
      </c>
      <c r="CO214" t="s">
        <v>267</v>
      </c>
    </row>
    <row r="215" spans="1:93" x14ac:dyDescent="0.25">
      <c r="A215" s="2" t="s">
        <v>221</v>
      </c>
      <c r="B215" s="17">
        <v>157617.99999999997</v>
      </c>
      <c r="C215" s="17">
        <v>107306</v>
      </c>
      <c r="D215" s="17">
        <v>3908</v>
      </c>
      <c r="E215" s="17">
        <v>3401</v>
      </c>
      <c r="F215" s="17">
        <v>24848</v>
      </c>
      <c r="G215" s="17">
        <v>40671</v>
      </c>
      <c r="H215" s="17">
        <v>1118</v>
      </c>
      <c r="I215" s="17">
        <v>0</v>
      </c>
      <c r="J215" s="17">
        <v>0</v>
      </c>
      <c r="K215" s="17">
        <v>0</v>
      </c>
      <c r="L215" s="17">
        <v>0</v>
      </c>
      <c r="M215" s="17">
        <v>2430</v>
      </c>
      <c r="N215" s="17">
        <v>123592</v>
      </c>
      <c r="O215" s="17">
        <v>55854</v>
      </c>
      <c r="P215" s="17">
        <v>12481</v>
      </c>
      <c r="Q215" s="17">
        <v>3120</v>
      </c>
      <c r="R215" s="17">
        <v>72704</v>
      </c>
      <c r="S215" s="17">
        <v>27364</v>
      </c>
      <c r="T215" s="17">
        <v>27414</v>
      </c>
      <c r="U215" s="17">
        <v>589649</v>
      </c>
      <c r="V215" s="17">
        <f t="shared" si="149"/>
        <v>663829</v>
      </c>
      <c r="W215" s="18">
        <v>710552</v>
      </c>
      <c r="X215" s="19">
        <v>693627.00000000012</v>
      </c>
      <c r="Y215" s="19">
        <v>74587</v>
      </c>
      <c r="Z215" s="19">
        <v>36400</v>
      </c>
      <c r="AA215" s="19">
        <v>129400</v>
      </c>
      <c r="AB215" s="19">
        <v>210740.68457614674</v>
      </c>
      <c r="AC215" s="19">
        <v>114395.14935495325</v>
      </c>
      <c r="AD215" s="19">
        <v>96345.535221193495</v>
      </c>
      <c r="AE215" s="19">
        <v>84700</v>
      </c>
      <c r="AF215" s="19">
        <v>38472</v>
      </c>
      <c r="AG215" s="24">
        <v>268501.3154238534</v>
      </c>
      <c r="AH215" s="17">
        <f t="shared" si="150"/>
        <v>-46723</v>
      </c>
      <c r="AI215" s="20">
        <v>102465</v>
      </c>
      <c r="AJ215" s="21">
        <v>1461100</v>
      </c>
      <c r="AK215" s="22">
        <v>1806096</v>
      </c>
      <c r="AL215" s="22">
        <v>1845771</v>
      </c>
      <c r="AM215" s="16">
        <v>986.7</v>
      </c>
      <c r="AN215" s="23">
        <f t="shared" si="116"/>
        <v>15974.26</v>
      </c>
      <c r="AO215" s="23">
        <f t="shared" si="117"/>
        <v>10875.24</v>
      </c>
      <c r="AP215" s="23">
        <f t="shared" si="118"/>
        <v>396.07</v>
      </c>
      <c r="AQ215" s="23">
        <f t="shared" si="119"/>
        <v>344.68</v>
      </c>
      <c r="AR215" s="23">
        <f t="shared" si="120"/>
        <v>2518.29</v>
      </c>
      <c r="AS215" s="23">
        <f t="shared" si="121"/>
        <v>4121.92</v>
      </c>
      <c r="AT215" s="23">
        <f t="shared" si="122"/>
        <v>113.31</v>
      </c>
      <c r="AU215" s="23">
        <f t="shared" si="123"/>
        <v>0</v>
      </c>
      <c r="AV215" s="23">
        <f t="shared" si="124"/>
        <v>0</v>
      </c>
      <c r="AW215" s="23">
        <f t="shared" si="125"/>
        <v>0</v>
      </c>
      <c r="AX215" s="23">
        <f t="shared" si="126"/>
        <v>0</v>
      </c>
      <c r="AY215" s="23">
        <f t="shared" si="127"/>
        <v>246.28</v>
      </c>
      <c r="AZ215" s="23">
        <f t="shared" si="128"/>
        <v>12525.79</v>
      </c>
      <c r="BA215" s="23">
        <f t="shared" si="129"/>
        <v>5660.69</v>
      </c>
      <c r="BB215" s="23">
        <f t="shared" si="130"/>
        <v>1264.92</v>
      </c>
      <c r="BC215" s="23">
        <f t="shared" si="131"/>
        <v>316.20999999999998</v>
      </c>
      <c r="BD215" s="23">
        <f t="shared" si="132"/>
        <v>7368.4</v>
      </c>
      <c r="BE215" s="23">
        <f t="shared" si="133"/>
        <v>2773.28</v>
      </c>
      <c r="BF215" s="23">
        <f t="shared" si="134"/>
        <v>2778.35</v>
      </c>
      <c r="BG215" s="23">
        <f t="shared" si="135"/>
        <v>59759.7</v>
      </c>
      <c r="BH215" s="23">
        <f t="shared" si="136"/>
        <v>67277.69</v>
      </c>
      <c r="BI215" s="23">
        <f t="shared" si="137"/>
        <v>72012.97</v>
      </c>
      <c r="BJ215" s="23">
        <f t="shared" si="138"/>
        <v>70297.66</v>
      </c>
      <c r="BK215" s="23">
        <f t="shared" si="139"/>
        <v>7559.24</v>
      </c>
      <c r="BL215" s="23">
        <f t="shared" si="140"/>
        <v>3689.06</v>
      </c>
      <c r="BM215" s="23">
        <f t="shared" si="141"/>
        <v>13114.42</v>
      </c>
      <c r="BN215" s="23">
        <f t="shared" si="142"/>
        <v>21358.13</v>
      </c>
      <c r="BO215" s="23">
        <f t="shared" si="143"/>
        <v>11593.71</v>
      </c>
      <c r="BP215" s="23">
        <f t="shared" si="144"/>
        <v>9764.42</v>
      </c>
      <c r="BQ215" s="23">
        <f t="shared" si="145"/>
        <v>8584.17</v>
      </c>
      <c r="BR215" s="23">
        <f t="shared" si="146"/>
        <v>3899.06</v>
      </c>
      <c r="BS215" s="23">
        <f t="shared" si="147"/>
        <v>27212.05</v>
      </c>
      <c r="BT215" s="23">
        <f t="shared" si="151"/>
        <v>-4735.28</v>
      </c>
      <c r="BU215" s="23">
        <f t="shared" si="151"/>
        <v>10384.620000000001</v>
      </c>
      <c r="BV215" s="23">
        <f t="shared" si="151"/>
        <v>148079.46</v>
      </c>
      <c r="BW215" s="23">
        <f t="shared" si="151"/>
        <v>183044.09</v>
      </c>
      <c r="BX215" s="23">
        <f t="shared" si="151"/>
        <v>187065.07</v>
      </c>
      <c r="BY215" t="s">
        <v>275</v>
      </c>
      <c r="BZ215" t="s">
        <v>312</v>
      </c>
      <c r="CE215" t="s">
        <v>267</v>
      </c>
      <c r="CF215" t="s">
        <v>266</v>
      </c>
      <c r="CG215" t="s">
        <v>266</v>
      </c>
      <c r="CH215" t="s">
        <v>266</v>
      </c>
      <c r="CI215" t="s">
        <v>266</v>
      </c>
      <c r="CJ215" t="s">
        <v>266</v>
      </c>
      <c r="CK215" t="s">
        <v>267</v>
      </c>
      <c r="CL215" t="s">
        <v>267</v>
      </c>
      <c r="CM215" t="s">
        <v>267</v>
      </c>
      <c r="CN215" t="s">
        <v>267</v>
      </c>
      <c r="CO215" t="s">
        <v>267</v>
      </c>
    </row>
    <row r="216" spans="1:93" x14ac:dyDescent="0.25">
      <c r="A216" s="2" t="s">
        <v>222</v>
      </c>
      <c r="B216" s="17">
        <v>163619</v>
      </c>
      <c r="C216" s="17">
        <v>110260</v>
      </c>
      <c r="D216" s="17">
        <v>5559</v>
      </c>
      <c r="E216" s="17">
        <v>3802</v>
      </c>
      <c r="F216" s="17">
        <v>25105</v>
      </c>
      <c r="G216" s="17">
        <v>44270.999999999993</v>
      </c>
      <c r="H216" s="17">
        <v>77</v>
      </c>
      <c r="I216" s="17">
        <v>0</v>
      </c>
      <c r="J216" s="17">
        <v>0</v>
      </c>
      <c r="K216" s="17">
        <v>0</v>
      </c>
      <c r="L216" s="17">
        <v>0</v>
      </c>
      <c r="M216" s="17">
        <v>3117</v>
      </c>
      <c r="N216" s="17">
        <v>128316</v>
      </c>
      <c r="O216" s="17">
        <v>55954.999999999993</v>
      </c>
      <c r="P216" s="17">
        <v>13779</v>
      </c>
      <c r="Q216" s="17">
        <v>3137</v>
      </c>
      <c r="R216" s="17">
        <v>73849</v>
      </c>
      <c r="S216" s="17">
        <v>28144</v>
      </c>
      <c r="T216" s="17">
        <v>31638</v>
      </c>
      <c r="U216" s="17">
        <v>611684</v>
      </c>
      <c r="V216" s="17">
        <f t="shared" si="149"/>
        <v>690628</v>
      </c>
      <c r="W216" s="18">
        <v>724389.25</v>
      </c>
      <c r="X216" s="19">
        <v>704023</v>
      </c>
      <c r="Y216" s="19">
        <v>82476</v>
      </c>
      <c r="Z216" s="19">
        <v>36700</v>
      </c>
      <c r="AA216" s="19">
        <v>134100</v>
      </c>
      <c r="AB216" s="19">
        <v>215239.86708199503</v>
      </c>
      <c r="AC216" s="19">
        <v>117954.06142209802</v>
      </c>
      <c r="AD216" s="19">
        <v>97285.805659897029</v>
      </c>
      <c r="AE216" s="19">
        <v>85100</v>
      </c>
      <c r="AF216" s="19">
        <v>37587.999999999993</v>
      </c>
      <c r="AG216" s="24">
        <v>277771.13291800494</v>
      </c>
      <c r="AH216" s="17">
        <f t="shared" si="150"/>
        <v>-33761.25</v>
      </c>
      <c r="AI216" s="20">
        <v>96867</v>
      </c>
      <c r="AJ216" s="21">
        <v>1552900</v>
      </c>
      <c r="AK216" s="22">
        <v>1875897</v>
      </c>
      <c r="AL216" s="22">
        <v>1905355</v>
      </c>
      <c r="AM216" s="16">
        <v>1010</v>
      </c>
      <c r="AN216" s="23">
        <f t="shared" si="116"/>
        <v>16199.9</v>
      </c>
      <c r="AO216" s="23">
        <f t="shared" si="117"/>
        <v>10916.83</v>
      </c>
      <c r="AP216" s="23">
        <f t="shared" si="118"/>
        <v>550.4</v>
      </c>
      <c r="AQ216" s="23">
        <f t="shared" si="119"/>
        <v>376.44</v>
      </c>
      <c r="AR216" s="23">
        <f t="shared" si="120"/>
        <v>2485.64</v>
      </c>
      <c r="AS216" s="23">
        <f t="shared" si="121"/>
        <v>4383.2700000000004</v>
      </c>
      <c r="AT216" s="23">
        <f t="shared" si="122"/>
        <v>7.62</v>
      </c>
      <c r="AU216" s="23">
        <f t="shared" si="123"/>
        <v>0</v>
      </c>
      <c r="AV216" s="23">
        <f t="shared" si="124"/>
        <v>0</v>
      </c>
      <c r="AW216" s="23">
        <f t="shared" si="125"/>
        <v>0</v>
      </c>
      <c r="AX216" s="23">
        <f t="shared" si="126"/>
        <v>0</v>
      </c>
      <c r="AY216" s="23">
        <f t="shared" si="127"/>
        <v>308.61</v>
      </c>
      <c r="AZ216" s="23">
        <f t="shared" si="128"/>
        <v>12704.55</v>
      </c>
      <c r="BA216" s="23">
        <f t="shared" si="129"/>
        <v>5540.1</v>
      </c>
      <c r="BB216" s="23">
        <f t="shared" si="130"/>
        <v>1364.26</v>
      </c>
      <c r="BC216" s="23">
        <f t="shared" si="131"/>
        <v>310.58999999999997</v>
      </c>
      <c r="BD216" s="23">
        <f t="shared" si="132"/>
        <v>7311.78</v>
      </c>
      <c r="BE216" s="23">
        <f t="shared" si="133"/>
        <v>2786.53</v>
      </c>
      <c r="BF216" s="23">
        <f t="shared" si="134"/>
        <v>3132.48</v>
      </c>
      <c r="BG216" s="23">
        <f t="shared" si="135"/>
        <v>60562.77</v>
      </c>
      <c r="BH216" s="23">
        <f t="shared" si="136"/>
        <v>68379.009999999995</v>
      </c>
      <c r="BI216" s="23">
        <f t="shared" si="137"/>
        <v>71721.710000000006</v>
      </c>
      <c r="BJ216" s="23">
        <f t="shared" si="138"/>
        <v>69705.25</v>
      </c>
      <c r="BK216" s="23">
        <f t="shared" si="139"/>
        <v>8165.94</v>
      </c>
      <c r="BL216" s="23">
        <f t="shared" si="140"/>
        <v>3633.66</v>
      </c>
      <c r="BM216" s="23">
        <f t="shared" si="141"/>
        <v>13277.23</v>
      </c>
      <c r="BN216" s="23">
        <f t="shared" si="142"/>
        <v>21310.880000000001</v>
      </c>
      <c r="BO216" s="23">
        <f t="shared" si="143"/>
        <v>11678.62</v>
      </c>
      <c r="BP216" s="23">
        <f t="shared" si="144"/>
        <v>9632.26</v>
      </c>
      <c r="BQ216" s="23">
        <f t="shared" si="145"/>
        <v>8425.74</v>
      </c>
      <c r="BR216" s="23">
        <f t="shared" si="146"/>
        <v>3721.58</v>
      </c>
      <c r="BS216" s="23">
        <f t="shared" si="147"/>
        <v>27502.09</v>
      </c>
      <c r="BT216" s="23">
        <f t="shared" si="151"/>
        <v>-3342.7</v>
      </c>
      <c r="BU216" s="23">
        <f t="shared" si="151"/>
        <v>9590.7900000000009</v>
      </c>
      <c r="BV216" s="23">
        <f t="shared" si="151"/>
        <v>153752.48000000001</v>
      </c>
      <c r="BW216" s="23">
        <f t="shared" si="151"/>
        <v>185732.38</v>
      </c>
      <c r="BX216" s="23">
        <f t="shared" si="151"/>
        <v>188649.01</v>
      </c>
      <c r="BY216" t="s">
        <v>275</v>
      </c>
      <c r="CE216" t="s">
        <v>267</v>
      </c>
      <c r="CF216" t="s">
        <v>266</v>
      </c>
      <c r="CG216" t="s">
        <v>266</v>
      </c>
      <c r="CH216" t="s">
        <v>266</v>
      </c>
      <c r="CI216" t="s">
        <v>266</v>
      </c>
      <c r="CJ216" t="s">
        <v>266</v>
      </c>
      <c r="CK216" t="s">
        <v>267</v>
      </c>
      <c r="CL216" t="s">
        <v>267</v>
      </c>
      <c r="CM216" t="s">
        <v>267</v>
      </c>
      <c r="CN216" t="s">
        <v>267</v>
      </c>
      <c r="CO216" t="s">
        <v>267</v>
      </c>
    </row>
    <row r="217" spans="1:93" x14ac:dyDescent="0.25">
      <c r="A217" s="2" t="s">
        <v>223</v>
      </c>
      <c r="B217" s="17">
        <v>168874</v>
      </c>
      <c r="C217" s="17">
        <v>114061</v>
      </c>
      <c r="D217" s="17">
        <v>7060</v>
      </c>
      <c r="E217" s="17">
        <v>4650</v>
      </c>
      <c r="F217" s="17">
        <v>25584</v>
      </c>
      <c r="G217" s="17">
        <v>44800.999999999993</v>
      </c>
      <c r="H217" s="17">
        <v>562</v>
      </c>
      <c r="I217" s="17">
        <v>0</v>
      </c>
      <c r="J217" s="17">
        <v>0</v>
      </c>
      <c r="K217" s="17">
        <v>0</v>
      </c>
      <c r="L217" s="17">
        <v>0</v>
      </c>
      <c r="M217" s="17">
        <v>3198</v>
      </c>
      <c r="N217" s="17">
        <v>133953</v>
      </c>
      <c r="O217" s="17">
        <v>56370.999999999993</v>
      </c>
      <c r="P217" s="17">
        <v>14597</v>
      </c>
      <c r="Q217" s="17">
        <v>3115</v>
      </c>
      <c r="R217" s="17">
        <v>74315</v>
      </c>
      <c r="S217" s="17">
        <v>28986</v>
      </c>
      <c r="T217" s="17">
        <v>35075</v>
      </c>
      <c r="U217" s="17">
        <v>633752</v>
      </c>
      <c r="V217" s="17">
        <f t="shared" si="149"/>
        <v>715202</v>
      </c>
      <c r="W217" s="18">
        <v>729723.75</v>
      </c>
      <c r="X217" s="19">
        <v>714764</v>
      </c>
      <c r="Y217" s="19">
        <v>79979.000000000015</v>
      </c>
      <c r="Z217" s="19">
        <v>36600</v>
      </c>
      <c r="AA217" s="19">
        <v>138500</v>
      </c>
      <c r="AB217" s="19">
        <v>217850.65527906112</v>
      </c>
      <c r="AC217" s="19">
        <v>120299.95155161916</v>
      </c>
      <c r="AD217" s="19">
        <v>97550.703727441971</v>
      </c>
      <c r="AE217" s="19">
        <v>84900</v>
      </c>
      <c r="AF217" s="19">
        <v>33041</v>
      </c>
      <c r="AG217" s="24">
        <v>283851.34472093894</v>
      </c>
      <c r="AH217" s="17">
        <f t="shared" si="150"/>
        <v>-14521.75</v>
      </c>
      <c r="AI217" s="20">
        <v>81516</v>
      </c>
      <c r="AJ217" s="21">
        <v>1599700</v>
      </c>
      <c r="AK217" s="22">
        <v>1937570</v>
      </c>
      <c r="AL217" s="22">
        <v>1973425</v>
      </c>
      <c r="AM217" s="16">
        <v>1020</v>
      </c>
      <c r="AN217" s="23">
        <f t="shared" si="116"/>
        <v>16556.27</v>
      </c>
      <c r="AO217" s="23">
        <f t="shared" si="117"/>
        <v>11182.45</v>
      </c>
      <c r="AP217" s="23">
        <f t="shared" si="118"/>
        <v>692.16</v>
      </c>
      <c r="AQ217" s="23">
        <f t="shared" si="119"/>
        <v>455.88</v>
      </c>
      <c r="AR217" s="23">
        <f t="shared" si="120"/>
        <v>2508.2399999999998</v>
      </c>
      <c r="AS217" s="23">
        <f t="shared" si="121"/>
        <v>4392.25</v>
      </c>
      <c r="AT217" s="23">
        <f t="shared" si="122"/>
        <v>55.1</v>
      </c>
      <c r="AU217" s="23">
        <f t="shared" si="123"/>
        <v>0</v>
      </c>
      <c r="AV217" s="23">
        <f t="shared" si="124"/>
        <v>0</v>
      </c>
      <c r="AW217" s="23">
        <f t="shared" si="125"/>
        <v>0</v>
      </c>
      <c r="AX217" s="23">
        <f t="shared" si="126"/>
        <v>0</v>
      </c>
      <c r="AY217" s="23">
        <f t="shared" si="127"/>
        <v>313.52999999999997</v>
      </c>
      <c r="AZ217" s="23">
        <f t="shared" si="128"/>
        <v>13132.65</v>
      </c>
      <c r="BA217" s="23">
        <f t="shared" si="129"/>
        <v>5526.57</v>
      </c>
      <c r="BB217" s="23">
        <f t="shared" si="130"/>
        <v>1431.08</v>
      </c>
      <c r="BC217" s="23">
        <f t="shared" si="131"/>
        <v>305.39</v>
      </c>
      <c r="BD217" s="23">
        <f t="shared" si="132"/>
        <v>7285.78</v>
      </c>
      <c r="BE217" s="23">
        <f t="shared" si="133"/>
        <v>2841.76</v>
      </c>
      <c r="BF217" s="23">
        <f t="shared" si="134"/>
        <v>3438.73</v>
      </c>
      <c r="BG217" s="23">
        <f t="shared" si="135"/>
        <v>62132.55</v>
      </c>
      <c r="BH217" s="23">
        <f t="shared" si="136"/>
        <v>70117.84</v>
      </c>
      <c r="BI217" s="23">
        <f t="shared" si="137"/>
        <v>71541.539999999994</v>
      </c>
      <c r="BJ217" s="23">
        <f t="shared" si="138"/>
        <v>70074.899999999994</v>
      </c>
      <c r="BK217" s="23">
        <f t="shared" si="139"/>
        <v>7841.08</v>
      </c>
      <c r="BL217" s="23">
        <f t="shared" si="140"/>
        <v>3588.24</v>
      </c>
      <c r="BM217" s="23">
        <f t="shared" si="141"/>
        <v>13578.43</v>
      </c>
      <c r="BN217" s="23">
        <f t="shared" si="142"/>
        <v>21357.91</v>
      </c>
      <c r="BO217" s="23">
        <f t="shared" si="143"/>
        <v>11794.11</v>
      </c>
      <c r="BP217" s="23">
        <f t="shared" si="144"/>
        <v>9563.7900000000009</v>
      </c>
      <c r="BQ217" s="23">
        <f t="shared" si="145"/>
        <v>8323.5300000000007</v>
      </c>
      <c r="BR217" s="23">
        <f t="shared" si="146"/>
        <v>3239.31</v>
      </c>
      <c r="BS217" s="23">
        <f t="shared" si="147"/>
        <v>27828.560000000001</v>
      </c>
      <c r="BT217" s="23">
        <f t="shared" si="151"/>
        <v>-1423.7</v>
      </c>
      <c r="BU217" s="23">
        <f t="shared" si="151"/>
        <v>7991.76</v>
      </c>
      <c r="BV217" s="23">
        <f t="shared" si="151"/>
        <v>156833.32999999999</v>
      </c>
      <c r="BW217" s="23">
        <f t="shared" si="151"/>
        <v>189957.84</v>
      </c>
      <c r="BX217" s="23">
        <f t="shared" si="151"/>
        <v>193473.04</v>
      </c>
      <c r="BY217" t="s">
        <v>270</v>
      </c>
      <c r="CE217" t="s">
        <v>267</v>
      </c>
      <c r="CF217" t="s">
        <v>266</v>
      </c>
      <c r="CG217" t="s">
        <v>266</v>
      </c>
      <c r="CH217" t="s">
        <v>266</v>
      </c>
      <c r="CI217" t="s">
        <v>266</v>
      </c>
      <c r="CJ217" t="s">
        <v>266</v>
      </c>
      <c r="CK217" t="s">
        <v>267</v>
      </c>
      <c r="CL217" t="s">
        <v>267</v>
      </c>
      <c r="CM217" t="s">
        <v>267</v>
      </c>
      <c r="CN217" t="s">
        <v>267</v>
      </c>
      <c r="CO217" t="s">
        <v>267</v>
      </c>
    </row>
    <row r="218" spans="1:93" x14ac:dyDescent="0.25">
      <c r="A218" s="2" t="s">
        <v>224</v>
      </c>
      <c r="B218" s="17">
        <v>176951.00000000003</v>
      </c>
      <c r="C218" s="17">
        <v>125783.99999999999</v>
      </c>
      <c r="D218" s="17">
        <v>8561</v>
      </c>
      <c r="E218" s="17">
        <v>4823</v>
      </c>
      <c r="F218" s="17">
        <v>26392</v>
      </c>
      <c r="G218" s="17">
        <v>53666.000000000007</v>
      </c>
      <c r="H218" s="17">
        <v>653</v>
      </c>
      <c r="I218" s="17">
        <v>0</v>
      </c>
      <c r="J218" s="17">
        <v>0</v>
      </c>
      <c r="K218" s="17">
        <v>0</v>
      </c>
      <c r="L218" s="17">
        <v>0</v>
      </c>
      <c r="M218" s="17">
        <v>3138</v>
      </c>
      <c r="N218" s="17">
        <v>139483</v>
      </c>
      <c r="O218" s="17">
        <v>56927</v>
      </c>
      <c r="P218" s="17">
        <v>16122.999999999998</v>
      </c>
      <c r="Q218" s="17">
        <v>3163</v>
      </c>
      <c r="R218" s="17">
        <v>79128</v>
      </c>
      <c r="S218" s="17">
        <v>30361</v>
      </c>
      <c r="T218" s="17">
        <v>33725</v>
      </c>
      <c r="U218" s="17">
        <v>676482</v>
      </c>
      <c r="V218" s="17">
        <f t="shared" si="149"/>
        <v>758878</v>
      </c>
      <c r="W218" s="18">
        <v>739061</v>
      </c>
      <c r="X218" s="19">
        <v>725217</v>
      </c>
      <c r="Y218" s="19">
        <v>88640.999999999985</v>
      </c>
      <c r="Z218" s="19">
        <v>37100</v>
      </c>
      <c r="AA218" s="19">
        <v>142600</v>
      </c>
      <c r="AB218" s="19">
        <v>218843.81868866005</v>
      </c>
      <c r="AC218" s="19">
        <v>121964.92264781929</v>
      </c>
      <c r="AD218" s="19">
        <v>96878.896040840744</v>
      </c>
      <c r="AE218" s="19">
        <v>84900</v>
      </c>
      <c r="AF218" s="19">
        <v>35659</v>
      </c>
      <c r="AG218" s="24">
        <v>294755.1813113399</v>
      </c>
      <c r="AH218" s="17">
        <f t="shared" si="150"/>
        <v>19817</v>
      </c>
      <c r="AI218" s="20">
        <v>54804</v>
      </c>
      <c r="AJ218" s="21">
        <v>1718000</v>
      </c>
      <c r="AK218" s="22">
        <v>2022931</v>
      </c>
      <c r="AL218" s="22">
        <v>2064621</v>
      </c>
      <c r="AM218" s="16">
        <v>1037.7</v>
      </c>
      <c r="AN218" s="23">
        <f t="shared" si="116"/>
        <v>17052.23</v>
      </c>
      <c r="AO218" s="23">
        <f t="shared" si="117"/>
        <v>12121.42</v>
      </c>
      <c r="AP218" s="23">
        <f t="shared" si="118"/>
        <v>825</v>
      </c>
      <c r="AQ218" s="23">
        <f t="shared" si="119"/>
        <v>464.78</v>
      </c>
      <c r="AR218" s="23">
        <f t="shared" si="120"/>
        <v>2543.3200000000002</v>
      </c>
      <c r="AS218" s="23">
        <f t="shared" si="121"/>
        <v>5171.63</v>
      </c>
      <c r="AT218" s="23">
        <f t="shared" si="122"/>
        <v>62.93</v>
      </c>
      <c r="AU218" s="23">
        <f t="shared" si="123"/>
        <v>0</v>
      </c>
      <c r="AV218" s="23">
        <f t="shared" si="124"/>
        <v>0</v>
      </c>
      <c r="AW218" s="23">
        <f t="shared" si="125"/>
        <v>0</v>
      </c>
      <c r="AX218" s="23">
        <f t="shared" si="126"/>
        <v>0</v>
      </c>
      <c r="AY218" s="23">
        <f t="shared" si="127"/>
        <v>302.39999999999998</v>
      </c>
      <c r="AZ218" s="23">
        <f t="shared" si="128"/>
        <v>13441.55</v>
      </c>
      <c r="BA218" s="23">
        <f t="shared" si="129"/>
        <v>5485.88</v>
      </c>
      <c r="BB218" s="23">
        <f t="shared" si="130"/>
        <v>1553.72</v>
      </c>
      <c r="BC218" s="23">
        <f t="shared" si="131"/>
        <v>304.81</v>
      </c>
      <c r="BD218" s="23">
        <f t="shared" si="132"/>
        <v>7625.33</v>
      </c>
      <c r="BE218" s="23">
        <f t="shared" si="133"/>
        <v>2925.8</v>
      </c>
      <c r="BF218" s="23">
        <f t="shared" si="134"/>
        <v>3249.98</v>
      </c>
      <c r="BG218" s="23">
        <f t="shared" si="135"/>
        <v>65190.52</v>
      </c>
      <c r="BH218" s="23">
        <f t="shared" si="136"/>
        <v>73130.77</v>
      </c>
      <c r="BI218" s="23">
        <f t="shared" si="137"/>
        <v>71221.070000000007</v>
      </c>
      <c r="BJ218" s="23">
        <f t="shared" si="138"/>
        <v>69886.960000000006</v>
      </c>
      <c r="BK218" s="23">
        <f t="shared" si="139"/>
        <v>8542.06</v>
      </c>
      <c r="BL218" s="23">
        <f t="shared" si="140"/>
        <v>3575.21</v>
      </c>
      <c r="BM218" s="23">
        <f t="shared" si="141"/>
        <v>13741.93</v>
      </c>
      <c r="BN218" s="23">
        <f t="shared" si="142"/>
        <v>21089.31</v>
      </c>
      <c r="BO218" s="23">
        <f t="shared" si="143"/>
        <v>11753.39</v>
      </c>
      <c r="BP218" s="23">
        <f t="shared" si="144"/>
        <v>9335.93</v>
      </c>
      <c r="BQ218" s="23">
        <f t="shared" si="145"/>
        <v>8181.56</v>
      </c>
      <c r="BR218" s="23">
        <f t="shared" si="146"/>
        <v>3436.35</v>
      </c>
      <c r="BS218" s="23">
        <f t="shared" si="147"/>
        <v>28404.66</v>
      </c>
      <c r="BT218" s="23">
        <f t="shared" si="151"/>
        <v>1909.7</v>
      </c>
      <c r="BU218" s="23">
        <f t="shared" si="151"/>
        <v>5281.3</v>
      </c>
      <c r="BV218" s="23">
        <f t="shared" si="151"/>
        <v>165558.45000000001</v>
      </c>
      <c r="BW218" s="23">
        <f t="shared" si="151"/>
        <v>194943.72</v>
      </c>
      <c r="BX218" s="23">
        <f t="shared" si="151"/>
        <v>198961.26</v>
      </c>
      <c r="BY218" t="s">
        <v>270</v>
      </c>
      <c r="CE218" t="s">
        <v>267</v>
      </c>
      <c r="CF218" t="s">
        <v>266</v>
      </c>
      <c r="CG218" t="s">
        <v>266</v>
      </c>
      <c r="CH218" t="s">
        <v>266</v>
      </c>
      <c r="CI218" t="s">
        <v>266</v>
      </c>
      <c r="CJ218" t="s">
        <v>266</v>
      </c>
      <c r="CK218" t="s">
        <v>267</v>
      </c>
      <c r="CL218" t="s">
        <v>267</v>
      </c>
      <c r="CM218" t="s">
        <v>267</v>
      </c>
      <c r="CN218" t="s">
        <v>267</v>
      </c>
      <c r="CO218" t="s">
        <v>267</v>
      </c>
    </row>
    <row r="219" spans="1:93" x14ac:dyDescent="0.25">
      <c r="A219" s="2" t="s">
        <v>225</v>
      </c>
      <c r="B219" s="17">
        <v>180609</v>
      </c>
      <c r="C219" s="17">
        <v>131547</v>
      </c>
      <c r="D219" s="17">
        <v>7793</v>
      </c>
      <c r="E219" s="17">
        <v>5204</v>
      </c>
      <c r="F219" s="17">
        <v>26636</v>
      </c>
      <c r="G219" s="17">
        <v>55541</v>
      </c>
      <c r="H219" s="17">
        <v>568</v>
      </c>
      <c r="I219" s="17">
        <v>0</v>
      </c>
      <c r="J219" s="17">
        <v>0</v>
      </c>
      <c r="K219" s="17">
        <v>0</v>
      </c>
      <c r="L219" s="17">
        <v>0</v>
      </c>
      <c r="M219" s="17">
        <v>2823</v>
      </c>
      <c r="N219" s="17">
        <v>143646</v>
      </c>
      <c r="O219" s="17">
        <v>57951</v>
      </c>
      <c r="P219" s="17">
        <v>17114</v>
      </c>
      <c r="Q219" s="17">
        <v>3181</v>
      </c>
      <c r="R219" s="17">
        <v>84537</v>
      </c>
      <c r="S219" s="17">
        <v>32134</v>
      </c>
      <c r="T219" s="17">
        <v>32512</v>
      </c>
      <c r="U219" s="17">
        <v>700471</v>
      </c>
      <c r="V219" s="17">
        <f t="shared" si="149"/>
        <v>781796</v>
      </c>
      <c r="W219" s="18">
        <v>766064.5</v>
      </c>
      <c r="X219" s="19">
        <v>742216</v>
      </c>
      <c r="Y219" s="19">
        <v>94686</v>
      </c>
      <c r="Z219" s="19">
        <v>38700</v>
      </c>
      <c r="AA219" s="19">
        <v>147300</v>
      </c>
      <c r="AB219" s="19">
        <v>220909.93202622372</v>
      </c>
      <c r="AC219" s="19">
        <v>123503.57467165194</v>
      </c>
      <c r="AD219" s="19">
        <v>97406.357354571781</v>
      </c>
      <c r="AE219" s="19">
        <v>86100</v>
      </c>
      <c r="AF219" s="19">
        <v>42486.999999999993</v>
      </c>
      <c r="AG219" s="24">
        <v>301405.06797377631</v>
      </c>
      <c r="AH219" s="17">
        <f t="shared" si="150"/>
        <v>15731.5</v>
      </c>
      <c r="AI219" s="20">
        <v>58916</v>
      </c>
      <c r="AJ219" s="21">
        <v>1757300</v>
      </c>
      <c r="AK219" s="22">
        <v>2102925</v>
      </c>
      <c r="AL219" s="22">
        <v>2141094</v>
      </c>
      <c r="AM219" s="16">
        <v>1074.9000000000001</v>
      </c>
      <c r="AN219" s="23">
        <f t="shared" si="116"/>
        <v>16802.400000000001</v>
      </c>
      <c r="AO219" s="23">
        <f t="shared" si="117"/>
        <v>12238.07</v>
      </c>
      <c r="AP219" s="23">
        <f t="shared" si="118"/>
        <v>725</v>
      </c>
      <c r="AQ219" s="23">
        <f t="shared" si="119"/>
        <v>484.14</v>
      </c>
      <c r="AR219" s="23">
        <f t="shared" si="120"/>
        <v>2478</v>
      </c>
      <c r="AS219" s="23">
        <f t="shared" si="121"/>
        <v>5167.09</v>
      </c>
      <c r="AT219" s="23">
        <f t="shared" si="122"/>
        <v>52.84</v>
      </c>
      <c r="AU219" s="23">
        <f t="shared" si="123"/>
        <v>0</v>
      </c>
      <c r="AV219" s="23">
        <f t="shared" si="124"/>
        <v>0</v>
      </c>
      <c r="AW219" s="23">
        <f t="shared" si="125"/>
        <v>0</v>
      </c>
      <c r="AX219" s="23">
        <f t="shared" si="126"/>
        <v>0</v>
      </c>
      <c r="AY219" s="23">
        <f t="shared" si="127"/>
        <v>262.63</v>
      </c>
      <c r="AZ219" s="23">
        <f t="shared" si="128"/>
        <v>13363.66</v>
      </c>
      <c r="BA219" s="23">
        <f t="shared" si="129"/>
        <v>5391.29</v>
      </c>
      <c r="BB219" s="23">
        <f t="shared" si="130"/>
        <v>1592.15</v>
      </c>
      <c r="BC219" s="23">
        <f t="shared" si="131"/>
        <v>295.93</v>
      </c>
      <c r="BD219" s="23">
        <f t="shared" si="132"/>
        <v>7864.64</v>
      </c>
      <c r="BE219" s="23">
        <f t="shared" si="133"/>
        <v>2989.49</v>
      </c>
      <c r="BF219" s="23">
        <f t="shared" si="134"/>
        <v>3024.65</v>
      </c>
      <c r="BG219" s="23">
        <f t="shared" si="135"/>
        <v>65166.15</v>
      </c>
      <c r="BH219" s="23">
        <f t="shared" si="136"/>
        <v>72731.98</v>
      </c>
      <c r="BI219" s="23">
        <f t="shared" si="137"/>
        <v>71268.44</v>
      </c>
      <c r="BJ219" s="23">
        <f t="shared" si="138"/>
        <v>69049.77</v>
      </c>
      <c r="BK219" s="23">
        <f t="shared" si="139"/>
        <v>8808.82</v>
      </c>
      <c r="BL219" s="23">
        <f t="shared" si="140"/>
        <v>3600.33</v>
      </c>
      <c r="BM219" s="23">
        <f t="shared" si="141"/>
        <v>13703.6</v>
      </c>
      <c r="BN219" s="23">
        <f t="shared" si="142"/>
        <v>20551.669999999998</v>
      </c>
      <c r="BO219" s="23">
        <f t="shared" si="143"/>
        <v>11489.77</v>
      </c>
      <c r="BP219" s="23">
        <f t="shared" si="144"/>
        <v>9061.9</v>
      </c>
      <c r="BQ219" s="23">
        <f t="shared" si="145"/>
        <v>8010.05</v>
      </c>
      <c r="BR219" s="23">
        <f t="shared" si="146"/>
        <v>3952.65</v>
      </c>
      <c r="BS219" s="23">
        <f t="shared" si="147"/>
        <v>28040.29</v>
      </c>
      <c r="BT219" s="23">
        <f t="shared" si="151"/>
        <v>1463.53</v>
      </c>
      <c r="BU219" s="23">
        <f t="shared" si="151"/>
        <v>5481.07</v>
      </c>
      <c r="BV219" s="23">
        <f t="shared" si="151"/>
        <v>163484.98000000001</v>
      </c>
      <c r="BW219" s="23">
        <f t="shared" si="151"/>
        <v>195639.13</v>
      </c>
      <c r="BX219" s="23">
        <f t="shared" si="151"/>
        <v>199190.06</v>
      </c>
      <c r="BY219" t="s">
        <v>270</v>
      </c>
      <c r="CE219" t="s">
        <v>267</v>
      </c>
      <c r="CF219" t="s">
        <v>266</v>
      </c>
      <c r="CG219" t="s">
        <v>266</v>
      </c>
      <c r="CH219" t="s">
        <v>266</v>
      </c>
      <c r="CI219" t="s">
        <v>266</v>
      </c>
      <c r="CJ219" t="s">
        <v>266</v>
      </c>
      <c r="CK219" t="s">
        <v>267</v>
      </c>
      <c r="CL219" t="s">
        <v>267</v>
      </c>
      <c r="CM219" t="s">
        <v>267</v>
      </c>
      <c r="CN219" t="s">
        <v>267</v>
      </c>
      <c r="CO219" t="s">
        <v>267</v>
      </c>
    </row>
    <row r="220" spans="1:93" x14ac:dyDescent="0.25">
      <c r="A220" s="2" t="s">
        <v>226</v>
      </c>
      <c r="B220" s="17">
        <v>192505</v>
      </c>
      <c r="C220" s="17">
        <v>137461</v>
      </c>
      <c r="D220" s="17">
        <v>9191</v>
      </c>
      <c r="E220" s="17">
        <v>5360</v>
      </c>
      <c r="F220" s="17">
        <v>27624</v>
      </c>
      <c r="G220" s="17">
        <v>56840.999999999993</v>
      </c>
      <c r="H220" s="17">
        <v>744</v>
      </c>
      <c r="I220" s="17">
        <v>0</v>
      </c>
      <c r="J220" s="17">
        <v>0</v>
      </c>
      <c r="K220" s="17">
        <v>0</v>
      </c>
      <c r="L220" s="17">
        <v>0</v>
      </c>
      <c r="M220" s="17">
        <v>2535</v>
      </c>
      <c r="N220" s="17">
        <v>151803</v>
      </c>
      <c r="O220" s="17">
        <v>59525</v>
      </c>
      <c r="P220" s="17">
        <v>16507</v>
      </c>
      <c r="Q220" s="17">
        <v>3227</v>
      </c>
      <c r="R220" s="17">
        <v>87178</v>
      </c>
      <c r="S220" s="17">
        <v>34832</v>
      </c>
      <c r="T220" s="17">
        <v>29603</v>
      </c>
      <c r="U220" s="17">
        <v>735240</v>
      </c>
      <c r="V220" s="17">
        <f t="shared" si="149"/>
        <v>814936</v>
      </c>
      <c r="W220" s="18">
        <v>782544</v>
      </c>
      <c r="X220" s="19">
        <v>761139</v>
      </c>
      <c r="Y220" s="19">
        <v>93426</v>
      </c>
      <c r="Z220" s="19">
        <v>40200</v>
      </c>
      <c r="AA220" s="19">
        <v>152900</v>
      </c>
      <c r="AB220" s="19">
        <v>224458.12013183729</v>
      </c>
      <c r="AC220" s="19">
        <v>126091.69450083333</v>
      </c>
      <c r="AD220" s="19">
        <v>98366.425631003964</v>
      </c>
      <c r="AE220" s="19">
        <v>88100</v>
      </c>
      <c r="AF220" s="19">
        <v>42094</v>
      </c>
      <c r="AG220" s="24">
        <v>306812.87986816274</v>
      </c>
      <c r="AH220" s="17">
        <f t="shared" si="150"/>
        <v>32392</v>
      </c>
      <c r="AI220" s="20">
        <v>44267</v>
      </c>
      <c r="AJ220" s="21">
        <v>1776900</v>
      </c>
      <c r="AK220" s="22">
        <v>2177222</v>
      </c>
      <c r="AL220" s="22">
        <v>2214465</v>
      </c>
      <c r="AM220" s="16">
        <v>1110.8</v>
      </c>
      <c r="AN220" s="23">
        <f t="shared" si="116"/>
        <v>17330.3</v>
      </c>
      <c r="AO220" s="23">
        <f t="shared" si="117"/>
        <v>12374.95</v>
      </c>
      <c r="AP220" s="23">
        <f t="shared" si="118"/>
        <v>827.42</v>
      </c>
      <c r="AQ220" s="23">
        <f t="shared" si="119"/>
        <v>482.54</v>
      </c>
      <c r="AR220" s="23">
        <f t="shared" si="120"/>
        <v>2486.86</v>
      </c>
      <c r="AS220" s="23">
        <f t="shared" si="121"/>
        <v>5117.12</v>
      </c>
      <c r="AT220" s="23">
        <f t="shared" si="122"/>
        <v>66.98</v>
      </c>
      <c r="AU220" s="23">
        <f t="shared" si="123"/>
        <v>0</v>
      </c>
      <c r="AV220" s="23">
        <f t="shared" si="124"/>
        <v>0</v>
      </c>
      <c r="AW220" s="23">
        <f t="shared" si="125"/>
        <v>0</v>
      </c>
      <c r="AX220" s="23">
        <f t="shared" si="126"/>
        <v>0</v>
      </c>
      <c r="AY220" s="23">
        <f t="shared" si="127"/>
        <v>228.21</v>
      </c>
      <c r="AZ220" s="23">
        <f t="shared" si="128"/>
        <v>13666.1</v>
      </c>
      <c r="BA220" s="23">
        <f t="shared" si="129"/>
        <v>5358.75</v>
      </c>
      <c r="BB220" s="23">
        <f t="shared" si="130"/>
        <v>1486.05</v>
      </c>
      <c r="BC220" s="23">
        <f t="shared" si="131"/>
        <v>290.51</v>
      </c>
      <c r="BD220" s="23">
        <f t="shared" si="132"/>
        <v>7848.22</v>
      </c>
      <c r="BE220" s="23">
        <f t="shared" si="133"/>
        <v>3135.76</v>
      </c>
      <c r="BF220" s="23">
        <f t="shared" si="134"/>
        <v>2665.02</v>
      </c>
      <c r="BG220" s="23">
        <f t="shared" si="135"/>
        <v>66190.13</v>
      </c>
      <c r="BH220" s="23">
        <f t="shared" si="136"/>
        <v>73364.78</v>
      </c>
      <c r="BI220" s="23">
        <f t="shared" si="137"/>
        <v>70448.69</v>
      </c>
      <c r="BJ220" s="23">
        <f t="shared" si="138"/>
        <v>68521.7</v>
      </c>
      <c r="BK220" s="23">
        <f t="shared" si="139"/>
        <v>8410.69</v>
      </c>
      <c r="BL220" s="23">
        <f t="shared" si="140"/>
        <v>3619.01</v>
      </c>
      <c r="BM220" s="23">
        <f t="shared" si="141"/>
        <v>13764.85</v>
      </c>
      <c r="BN220" s="23">
        <f t="shared" si="142"/>
        <v>20206.89</v>
      </c>
      <c r="BO220" s="23">
        <f t="shared" si="143"/>
        <v>11351.43</v>
      </c>
      <c r="BP220" s="23">
        <f t="shared" si="144"/>
        <v>8855.4599999999991</v>
      </c>
      <c r="BQ220" s="23">
        <f t="shared" si="145"/>
        <v>7931.22</v>
      </c>
      <c r="BR220" s="23">
        <f t="shared" si="146"/>
        <v>3789.52</v>
      </c>
      <c r="BS220" s="23">
        <f t="shared" si="147"/>
        <v>27620.89</v>
      </c>
      <c r="BT220" s="23">
        <f t="shared" si="151"/>
        <v>2916.1</v>
      </c>
      <c r="BU220" s="23">
        <f t="shared" si="151"/>
        <v>3985.15</v>
      </c>
      <c r="BV220" s="23">
        <f t="shared" si="151"/>
        <v>159965.79</v>
      </c>
      <c r="BW220" s="23">
        <f t="shared" si="151"/>
        <v>196004.86</v>
      </c>
      <c r="BX220" s="23">
        <f t="shared" si="151"/>
        <v>199357.67</v>
      </c>
      <c r="BY220" t="s">
        <v>270</v>
      </c>
      <c r="CE220" t="s">
        <v>267</v>
      </c>
      <c r="CF220" t="s">
        <v>266</v>
      </c>
      <c r="CG220" t="s">
        <v>266</v>
      </c>
      <c r="CH220" t="s">
        <v>266</v>
      </c>
      <c r="CI220" t="s">
        <v>266</v>
      </c>
      <c r="CJ220" t="s">
        <v>266</v>
      </c>
      <c r="CK220" t="s">
        <v>267</v>
      </c>
      <c r="CL220" t="s">
        <v>267</v>
      </c>
      <c r="CM220" t="s">
        <v>267</v>
      </c>
      <c r="CN220" t="s">
        <v>267</v>
      </c>
      <c r="CO220" t="s">
        <v>267</v>
      </c>
    </row>
    <row r="221" spans="1:93" x14ac:dyDescent="0.25">
      <c r="A221" s="2" t="s">
        <v>227</v>
      </c>
      <c r="B221" s="17">
        <v>192365</v>
      </c>
      <c r="C221" s="17">
        <v>143674</v>
      </c>
      <c r="D221" s="17">
        <v>9827</v>
      </c>
      <c r="E221" s="17">
        <v>5122</v>
      </c>
      <c r="F221" s="17">
        <v>27918</v>
      </c>
      <c r="G221" s="17">
        <v>51344</v>
      </c>
      <c r="H221" s="17">
        <v>409</v>
      </c>
      <c r="I221" s="17">
        <v>0</v>
      </c>
      <c r="J221" s="17">
        <v>0</v>
      </c>
      <c r="K221" s="17">
        <v>0</v>
      </c>
      <c r="L221" s="17">
        <v>0</v>
      </c>
      <c r="M221" s="17">
        <v>2528</v>
      </c>
      <c r="N221" s="17">
        <v>153971</v>
      </c>
      <c r="O221" s="17">
        <v>59928.000000000007</v>
      </c>
      <c r="P221" s="17">
        <v>16166</v>
      </c>
      <c r="Q221" s="17">
        <v>3259</v>
      </c>
      <c r="R221" s="17">
        <v>90881</v>
      </c>
      <c r="S221" s="17">
        <v>36339</v>
      </c>
      <c r="T221" s="17">
        <v>33581</v>
      </c>
      <c r="U221" s="17">
        <v>743560</v>
      </c>
      <c r="V221" s="17">
        <f t="shared" si="149"/>
        <v>827312</v>
      </c>
      <c r="W221" s="18">
        <v>813662</v>
      </c>
      <c r="X221" s="19">
        <v>791476</v>
      </c>
      <c r="Y221" s="19">
        <v>94479</v>
      </c>
      <c r="Z221" s="19">
        <v>42200</v>
      </c>
      <c r="AA221" s="19">
        <v>164100</v>
      </c>
      <c r="AB221" s="19">
        <v>228828.162213237</v>
      </c>
      <c r="AC221" s="19">
        <v>128354.72407369483</v>
      </c>
      <c r="AD221" s="19">
        <v>100473.43813954217</v>
      </c>
      <c r="AE221" s="19">
        <v>92400</v>
      </c>
      <c r="AF221" s="19">
        <v>36845</v>
      </c>
      <c r="AG221" s="24">
        <v>321581.83778676298</v>
      </c>
      <c r="AH221" s="17">
        <f t="shared" si="150"/>
        <v>13650</v>
      </c>
      <c r="AI221" s="20">
        <v>61453</v>
      </c>
      <c r="AJ221" s="21">
        <v>1815000</v>
      </c>
      <c r="AK221" s="22">
        <v>2249423</v>
      </c>
      <c r="AL221" s="22">
        <v>2139511</v>
      </c>
      <c r="AM221" s="16">
        <v>1139.3</v>
      </c>
      <c r="AN221" s="23">
        <f t="shared" si="116"/>
        <v>16884.490000000002</v>
      </c>
      <c r="AO221" s="23">
        <f t="shared" si="117"/>
        <v>12610.73</v>
      </c>
      <c r="AP221" s="23">
        <f t="shared" si="118"/>
        <v>862.55</v>
      </c>
      <c r="AQ221" s="23">
        <f t="shared" si="119"/>
        <v>449.57</v>
      </c>
      <c r="AR221" s="23">
        <f t="shared" si="120"/>
        <v>2450.4499999999998</v>
      </c>
      <c r="AS221" s="23">
        <f t="shared" si="121"/>
        <v>4506.63</v>
      </c>
      <c r="AT221" s="23">
        <f t="shared" si="122"/>
        <v>35.9</v>
      </c>
      <c r="AU221" s="23">
        <f t="shared" si="123"/>
        <v>0</v>
      </c>
      <c r="AV221" s="23">
        <f t="shared" si="124"/>
        <v>0</v>
      </c>
      <c r="AW221" s="23">
        <f t="shared" si="125"/>
        <v>0</v>
      </c>
      <c r="AX221" s="23">
        <f t="shared" si="126"/>
        <v>0</v>
      </c>
      <c r="AY221" s="23">
        <f t="shared" si="127"/>
        <v>221.89</v>
      </c>
      <c r="AZ221" s="23">
        <f t="shared" si="128"/>
        <v>13514.53</v>
      </c>
      <c r="BA221" s="23">
        <f t="shared" si="129"/>
        <v>5260.07</v>
      </c>
      <c r="BB221" s="23">
        <f t="shared" si="130"/>
        <v>1418.94</v>
      </c>
      <c r="BC221" s="23">
        <f t="shared" si="131"/>
        <v>286.05</v>
      </c>
      <c r="BD221" s="23">
        <f t="shared" si="132"/>
        <v>7976.92</v>
      </c>
      <c r="BE221" s="23">
        <f t="shared" si="133"/>
        <v>3189.59</v>
      </c>
      <c r="BF221" s="23">
        <f t="shared" si="134"/>
        <v>2947.51</v>
      </c>
      <c r="BG221" s="23">
        <f t="shared" si="135"/>
        <v>65264.639999999999</v>
      </c>
      <c r="BH221" s="23">
        <f t="shared" si="136"/>
        <v>72615.820000000007</v>
      </c>
      <c r="BI221" s="23">
        <f t="shared" si="137"/>
        <v>71417.710000000006</v>
      </c>
      <c r="BJ221" s="23">
        <f t="shared" si="138"/>
        <v>69470.38</v>
      </c>
      <c r="BK221" s="23">
        <f t="shared" si="139"/>
        <v>8292.7199999999993</v>
      </c>
      <c r="BL221" s="23">
        <f t="shared" si="140"/>
        <v>3704.03</v>
      </c>
      <c r="BM221" s="23">
        <f t="shared" si="141"/>
        <v>14403.58</v>
      </c>
      <c r="BN221" s="23">
        <f t="shared" si="142"/>
        <v>20084.98</v>
      </c>
      <c r="BO221" s="23">
        <f t="shared" si="143"/>
        <v>11266.1</v>
      </c>
      <c r="BP221" s="23">
        <f t="shared" si="144"/>
        <v>8818.8700000000008</v>
      </c>
      <c r="BQ221" s="23">
        <f t="shared" si="145"/>
        <v>8110.24</v>
      </c>
      <c r="BR221" s="23">
        <f t="shared" si="146"/>
        <v>3234</v>
      </c>
      <c r="BS221" s="23">
        <f t="shared" si="147"/>
        <v>28226.27</v>
      </c>
      <c r="BT221" s="23">
        <f t="shared" si="151"/>
        <v>1198.0999999999999</v>
      </c>
      <c r="BU221" s="23">
        <f t="shared" si="151"/>
        <v>5393.93</v>
      </c>
      <c r="BV221" s="23">
        <f t="shared" si="151"/>
        <v>159308.35</v>
      </c>
      <c r="BW221" s="23">
        <f t="shared" si="151"/>
        <v>197439.04</v>
      </c>
      <c r="BX221" s="23">
        <f t="shared" si="151"/>
        <v>187791.71</v>
      </c>
      <c r="BY221" t="s">
        <v>270</v>
      </c>
      <c r="CE221" t="s">
        <v>267</v>
      </c>
      <c r="CF221" t="s">
        <v>266</v>
      </c>
      <c r="CG221" t="s">
        <v>266</v>
      </c>
      <c r="CH221" t="s">
        <v>266</v>
      </c>
      <c r="CI221" t="s">
        <v>266</v>
      </c>
      <c r="CJ221" t="s">
        <v>266</v>
      </c>
      <c r="CK221" t="s">
        <v>267</v>
      </c>
      <c r="CL221" t="s">
        <v>267</v>
      </c>
      <c r="CM221" t="s">
        <v>267</v>
      </c>
      <c r="CN221" t="s">
        <v>267</v>
      </c>
      <c r="CO221" t="s">
        <v>267</v>
      </c>
    </row>
    <row r="222" spans="1:93" x14ac:dyDescent="0.25">
      <c r="A222" s="2" t="s">
        <v>228</v>
      </c>
      <c r="B222" s="17">
        <v>195306</v>
      </c>
      <c r="C222" s="17">
        <v>144213</v>
      </c>
      <c r="D222" s="17">
        <v>11131</v>
      </c>
      <c r="E222" s="17">
        <v>5327</v>
      </c>
      <c r="F222" s="17">
        <v>15222</v>
      </c>
      <c r="G222" s="17">
        <v>54872</v>
      </c>
      <c r="H222" s="17">
        <v>241</v>
      </c>
      <c r="I222" s="17">
        <v>0</v>
      </c>
      <c r="J222" s="17">
        <v>0</v>
      </c>
      <c r="K222" s="17">
        <v>0</v>
      </c>
      <c r="L222" s="17">
        <v>0</v>
      </c>
      <c r="M222" s="17">
        <v>2041.9999999999998</v>
      </c>
      <c r="N222" s="17">
        <v>138168</v>
      </c>
      <c r="O222" s="17">
        <v>50105</v>
      </c>
      <c r="P222" s="17">
        <v>13204</v>
      </c>
      <c r="Q222" s="17">
        <v>3667</v>
      </c>
      <c r="R222" s="17">
        <v>90877</v>
      </c>
      <c r="S222" s="17">
        <v>37577</v>
      </c>
      <c r="T222" s="17">
        <v>32069</v>
      </c>
      <c r="U222" s="17">
        <v>709603</v>
      </c>
      <c r="V222" s="17">
        <f t="shared" si="149"/>
        <v>794021</v>
      </c>
      <c r="W222" s="18">
        <v>1046199.75</v>
      </c>
      <c r="X222" s="19">
        <v>980813.00000000012</v>
      </c>
      <c r="Y222" s="19">
        <v>125674</v>
      </c>
      <c r="Z222" s="19">
        <v>44582</v>
      </c>
      <c r="AA222" s="19">
        <v>218568</v>
      </c>
      <c r="AB222" s="19">
        <v>249436.60844445985</v>
      </c>
      <c r="AC222" s="19">
        <v>131297.52268430172</v>
      </c>
      <c r="AD222" s="19">
        <v>118139.08576015814</v>
      </c>
      <c r="AE222" s="19">
        <v>95526</v>
      </c>
      <c r="AF222" s="19">
        <v>25132</v>
      </c>
      <c r="AG222" s="24">
        <v>473242.39155554015</v>
      </c>
      <c r="AH222" s="17">
        <f t="shared" si="150"/>
        <v>-252178.75</v>
      </c>
      <c r="AI222" s="20">
        <v>312942</v>
      </c>
      <c r="AJ222" s="21">
        <v>2152900</v>
      </c>
      <c r="AK222" s="22">
        <v>2085204.0000000002</v>
      </c>
      <c r="AL222" s="22">
        <v>2216594</v>
      </c>
      <c r="AM222" s="16">
        <v>1156.4000000000001</v>
      </c>
      <c r="AN222" s="23">
        <f t="shared" si="116"/>
        <v>16889.14</v>
      </c>
      <c r="AO222" s="23">
        <f t="shared" si="117"/>
        <v>12470.86</v>
      </c>
      <c r="AP222" s="23">
        <f t="shared" si="118"/>
        <v>962.56</v>
      </c>
      <c r="AQ222" s="23">
        <f t="shared" si="119"/>
        <v>460.65</v>
      </c>
      <c r="AR222" s="23">
        <f t="shared" si="120"/>
        <v>1316.33</v>
      </c>
      <c r="AS222" s="23">
        <f t="shared" si="121"/>
        <v>4745.07</v>
      </c>
      <c r="AT222" s="23">
        <f t="shared" si="122"/>
        <v>20.84</v>
      </c>
      <c r="AU222" s="23">
        <f t="shared" si="123"/>
        <v>0</v>
      </c>
      <c r="AV222" s="23">
        <f t="shared" si="124"/>
        <v>0</v>
      </c>
      <c r="AW222" s="23">
        <f t="shared" si="125"/>
        <v>0</v>
      </c>
      <c r="AX222" s="23">
        <f t="shared" si="126"/>
        <v>0</v>
      </c>
      <c r="AY222" s="23">
        <f t="shared" si="127"/>
        <v>176.58</v>
      </c>
      <c r="AZ222" s="23">
        <f t="shared" si="128"/>
        <v>11948.11</v>
      </c>
      <c r="BA222" s="23">
        <f t="shared" si="129"/>
        <v>4332.84</v>
      </c>
      <c r="BB222" s="23">
        <f t="shared" si="130"/>
        <v>1141.82</v>
      </c>
      <c r="BC222" s="23">
        <f t="shared" si="131"/>
        <v>317.10000000000002</v>
      </c>
      <c r="BD222" s="23">
        <f t="shared" si="132"/>
        <v>7858.61</v>
      </c>
      <c r="BE222" s="23">
        <f t="shared" si="133"/>
        <v>3249.48</v>
      </c>
      <c r="BF222" s="23">
        <f t="shared" si="134"/>
        <v>2773.18</v>
      </c>
      <c r="BG222" s="23">
        <f t="shared" si="135"/>
        <v>61363.11</v>
      </c>
      <c r="BH222" s="23">
        <f t="shared" si="136"/>
        <v>68663.179999999993</v>
      </c>
      <c r="BI222" s="23">
        <f t="shared" si="137"/>
        <v>90470.399999999994</v>
      </c>
      <c r="BJ222" s="23">
        <f t="shared" si="138"/>
        <v>84816.07</v>
      </c>
      <c r="BK222" s="23">
        <f t="shared" si="139"/>
        <v>10867.69</v>
      </c>
      <c r="BL222" s="23">
        <f t="shared" si="140"/>
        <v>3855.24</v>
      </c>
      <c r="BM222" s="23">
        <f t="shared" si="141"/>
        <v>18900.73</v>
      </c>
      <c r="BN222" s="23">
        <f t="shared" si="142"/>
        <v>21570.1</v>
      </c>
      <c r="BO222" s="23">
        <f t="shared" si="143"/>
        <v>11353.99</v>
      </c>
      <c r="BP222" s="23">
        <f t="shared" si="144"/>
        <v>10216.11</v>
      </c>
      <c r="BQ222" s="23">
        <f t="shared" si="145"/>
        <v>8260.64</v>
      </c>
      <c r="BR222" s="23">
        <f t="shared" si="146"/>
        <v>2173.3000000000002</v>
      </c>
      <c r="BS222" s="23">
        <f t="shared" si="147"/>
        <v>40923.760000000002</v>
      </c>
      <c r="BT222" s="23">
        <f t="shared" si="151"/>
        <v>-21807.23</v>
      </c>
      <c r="BU222" s="23">
        <f t="shared" si="151"/>
        <v>27061.74</v>
      </c>
      <c r="BV222" s="23">
        <f t="shared" si="151"/>
        <v>186172.6</v>
      </c>
      <c r="BW222" s="23">
        <f t="shared" si="151"/>
        <v>180318.57</v>
      </c>
      <c r="BX222" s="23">
        <f t="shared" si="151"/>
        <v>191680.56</v>
      </c>
      <c r="BY222" t="s">
        <v>270</v>
      </c>
      <c r="CE222" t="s">
        <v>267</v>
      </c>
      <c r="CF222" t="s">
        <v>266</v>
      </c>
      <c r="CG222" t="s">
        <v>266</v>
      </c>
      <c r="CH222" t="s">
        <v>266</v>
      </c>
      <c r="CI222" t="s">
        <v>266</v>
      </c>
      <c r="CJ222" t="s">
        <v>266</v>
      </c>
      <c r="CK222" t="s">
        <v>267</v>
      </c>
      <c r="CL222" t="s">
        <v>267</v>
      </c>
      <c r="CM222" t="s">
        <v>267</v>
      </c>
      <c r="CN222" t="s">
        <v>267</v>
      </c>
      <c r="CO222" t="s">
        <v>267</v>
      </c>
    </row>
    <row r="223" spans="1:93" x14ac:dyDescent="0.25">
      <c r="A223" s="2" t="s">
        <v>229</v>
      </c>
      <c r="B223" s="17">
        <v>224992</v>
      </c>
      <c r="C223" s="17">
        <v>159697.99999999997</v>
      </c>
      <c r="D223" s="17">
        <v>15267</v>
      </c>
      <c r="E223" s="17">
        <v>6056</v>
      </c>
      <c r="F223" s="17">
        <v>22357</v>
      </c>
      <c r="G223" s="17">
        <v>71676.999999999985</v>
      </c>
      <c r="H223" s="17">
        <v>552</v>
      </c>
      <c r="I223" s="17">
        <v>0</v>
      </c>
      <c r="J223" s="17">
        <v>0</v>
      </c>
      <c r="K223" s="17">
        <v>0</v>
      </c>
      <c r="L223" s="17">
        <v>0</v>
      </c>
      <c r="M223" s="17">
        <v>1510</v>
      </c>
      <c r="N223" s="17">
        <v>166576</v>
      </c>
      <c r="O223" s="17">
        <v>57635.000000000007</v>
      </c>
      <c r="P223" s="17">
        <v>19788</v>
      </c>
      <c r="Q223" s="17">
        <v>3832</v>
      </c>
      <c r="R223" s="17">
        <v>92319</v>
      </c>
      <c r="S223" s="17">
        <v>39970</v>
      </c>
      <c r="T223" s="17">
        <v>38800</v>
      </c>
      <c r="U223" s="17">
        <v>830996</v>
      </c>
      <c r="V223" s="17">
        <f t="shared" si="149"/>
        <v>921029</v>
      </c>
      <c r="W223" s="18">
        <v>983288</v>
      </c>
      <c r="X223" s="19">
        <v>936317</v>
      </c>
      <c r="Y223" s="19">
        <v>104598.99999999999</v>
      </c>
      <c r="Z223" s="19">
        <v>48608</v>
      </c>
      <c r="AA223" s="19">
        <v>216785</v>
      </c>
      <c r="AB223" s="19">
        <v>253182.14372456283</v>
      </c>
      <c r="AC223" s="19">
        <v>136045.39883511781</v>
      </c>
      <c r="AD223" s="19">
        <v>117136.74488944499</v>
      </c>
      <c r="AE223" s="19">
        <v>100251</v>
      </c>
      <c r="AF223" s="19">
        <v>47552</v>
      </c>
      <c r="AG223" s="24">
        <v>374537.85627543723</v>
      </c>
      <c r="AH223" s="17">
        <f t="shared" si="150"/>
        <v>-62259</v>
      </c>
      <c r="AI223" s="20">
        <v>121091</v>
      </c>
      <c r="AJ223" s="21">
        <v>2381900</v>
      </c>
      <c r="AK223" s="22">
        <v>2337907</v>
      </c>
      <c r="AL223" s="22">
        <v>2448075</v>
      </c>
      <c r="AM223" s="16">
        <v>1203.2</v>
      </c>
      <c r="AN223" s="23">
        <f t="shared" si="116"/>
        <v>18699.47</v>
      </c>
      <c r="AO223" s="23">
        <f t="shared" si="117"/>
        <v>13272.77</v>
      </c>
      <c r="AP223" s="23">
        <f t="shared" si="118"/>
        <v>1268.8699999999999</v>
      </c>
      <c r="AQ223" s="23">
        <f t="shared" si="119"/>
        <v>503.32</v>
      </c>
      <c r="AR223" s="23">
        <f t="shared" si="120"/>
        <v>1858.13</v>
      </c>
      <c r="AS223" s="23">
        <f t="shared" si="121"/>
        <v>5957.2</v>
      </c>
      <c r="AT223" s="23">
        <f t="shared" si="122"/>
        <v>45.88</v>
      </c>
      <c r="AU223" s="23">
        <f t="shared" si="123"/>
        <v>0</v>
      </c>
      <c r="AV223" s="23">
        <f t="shared" si="124"/>
        <v>0</v>
      </c>
      <c r="AW223" s="23">
        <f t="shared" si="125"/>
        <v>0</v>
      </c>
      <c r="AX223" s="23">
        <f t="shared" si="126"/>
        <v>0</v>
      </c>
      <c r="AY223" s="23">
        <f t="shared" si="127"/>
        <v>125.5</v>
      </c>
      <c r="AZ223" s="23">
        <f t="shared" si="128"/>
        <v>13844.41</v>
      </c>
      <c r="BA223" s="23">
        <f t="shared" si="129"/>
        <v>4790.1400000000003</v>
      </c>
      <c r="BB223" s="23">
        <f t="shared" si="130"/>
        <v>1644.61</v>
      </c>
      <c r="BC223" s="23">
        <f t="shared" si="131"/>
        <v>318.48</v>
      </c>
      <c r="BD223" s="23">
        <f t="shared" si="132"/>
        <v>7672.79</v>
      </c>
      <c r="BE223" s="23">
        <f t="shared" si="133"/>
        <v>3321.97</v>
      </c>
      <c r="BF223" s="23">
        <f t="shared" si="134"/>
        <v>3224.73</v>
      </c>
      <c r="BG223" s="23">
        <f t="shared" si="135"/>
        <v>69065.490000000005</v>
      </c>
      <c r="BH223" s="23">
        <f t="shared" si="136"/>
        <v>76548.289999999994</v>
      </c>
      <c r="BI223" s="23">
        <f t="shared" si="137"/>
        <v>81722.740000000005</v>
      </c>
      <c r="BJ223" s="23">
        <f t="shared" si="138"/>
        <v>77818.899999999994</v>
      </c>
      <c r="BK223" s="23">
        <f t="shared" si="139"/>
        <v>8693.4</v>
      </c>
      <c r="BL223" s="23">
        <f t="shared" si="140"/>
        <v>4039.89</v>
      </c>
      <c r="BM223" s="23">
        <f t="shared" si="141"/>
        <v>18017.37</v>
      </c>
      <c r="BN223" s="23">
        <f t="shared" si="142"/>
        <v>21042.400000000001</v>
      </c>
      <c r="BO223" s="23">
        <f t="shared" si="143"/>
        <v>11306.96</v>
      </c>
      <c r="BP223" s="23">
        <f t="shared" si="144"/>
        <v>9735.43</v>
      </c>
      <c r="BQ223" s="23">
        <f t="shared" si="145"/>
        <v>8332.0300000000007</v>
      </c>
      <c r="BR223" s="23">
        <f t="shared" si="146"/>
        <v>3952.13</v>
      </c>
      <c r="BS223" s="23">
        <f t="shared" si="147"/>
        <v>31128.48</v>
      </c>
      <c r="BT223" s="23">
        <f t="shared" si="151"/>
        <v>-5174.45</v>
      </c>
      <c r="BU223" s="23">
        <f t="shared" si="151"/>
        <v>10064.08</v>
      </c>
      <c r="BV223" s="23">
        <f t="shared" si="151"/>
        <v>197963.76</v>
      </c>
      <c r="BW223" s="23">
        <f t="shared" si="151"/>
        <v>194307.43</v>
      </c>
      <c r="BX223" s="23">
        <f t="shared" si="151"/>
        <v>203463.67999999999</v>
      </c>
      <c r="BY223" t="s">
        <v>270</v>
      </c>
      <c r="CE223" t="s">
        <v>267</v>
      </c>
      <c r="CF223" t="s">
        <v>266</v>
      </c>
      <c r="CG223" t="s">
        <v>266</v>
      </c>
      <c r="CH223" t="s">
        <v>266</v>
      </c>
      <c r="CI223" t="s">
        <v>266</v>
      </c>
      <c r="CJ223" t="s">
        <v>266</v>
      </c>
      <c r="CK223" t="s">
        <v>267</v>
      </c>
      <c r="CL223" t="s">
        <v>267</v>
      </c>
      <c r="CM223" t="s">
        <v>267</v>
      </c>
      <c r="CN223" t="s">
        <v>267</v>
      </c>
      <c r="CO223" t="s">
        <v>267</v>
      </c>
    </row>
    <row r="224" spans="1:93" ht="15.75" thickBot="1" x14ac:dyDescent="0.3">
      <c r="A224" s="2" t="s">
        <v>230</v>
      </c>
      <c r="B224" s="17">
        <v>248750</v>
      </c>
      <c r="C224" s="17">
        <v>177564</v>
      </c>
      <c r="D224" s="17">
        <v>18051</v>
      </c>
      <c r="E224" s="17">
        <v>7086</v>
      </c>
      <c r="F224" s="17">
        <v>25040</v>
      </c>
      <c r="G224" s="17">
        <v>78785</v>
      </c>
      <c r="H224" s="17">
        <v>234</v>
      </c>
      <c r="I224" s="17">
        <v>0</v>
      </c>
      <c r="J224" s="17">
        <v>0</v>
      </c>
      <c r="K224" s="17">
        <v>4441</v>
      </c>
      <c r="L224" s="17">
        <v>0</v>
      </c>
      <c r="M224" s="17">
        <v>1323</v>
      </c>
      <c r="N224" s="17">
        <v>186687</v>
      </c>
      <c r="O224" s="17">
        <v>57477.000000000007</v>
      </c>
      <c r="P224" s="17">
        <v>20466</v>
      </c>
      <c r="Q224" s="17">
        <v>3749</v>
      </c>
      <c r="R224" s="17">
        <v>101687</v>
      </c>
      <c r="S224" s="17">
        <v>41640</v>
      </c>
      <c r="T224" s="17">
        <v>44976</v>
      </c>
      <c r="U224" s="17">
        <v>917625</v>
      </c>
      <c r="V224" s="17">
        <f t="shared" si="149"/>
        <v>1017956</v>
      </c>
      <c r="W224" s="25">
        <v>1076625.5395480141</v>
      </c>
      <c r="X224" s="26">
        <v>1043605</v>
      </c>
      <c r="Y224" s="26">
        <v>110975</v>
      </c>
      <c r="Z224" s="26">
        <v>52997.569960970795</v>
      </c>
      <c r="AA224" s="26">
        <v>215016.54507979209</v>
      </c>
      <c r="AB224" s="26">
        <v>256983.92188987008</v>
      </c>
      <c r="AC224" s="26">
        <v>138088.25390843829</v>
      </c>
      <c r="AD224" s="26">
        <v>118895.66798143182</v>
      </c>
      <c r="AE224" s="26">
        <v>105209.71254946299</v>
      </c>
      <c r="AF224" s="26">
        <v>114669.59448290456</v>
      </c>
      <c r="AG224" s="27">
        <v>409702.65603699931</v>
      </c>
      <c r="AH224" s="17">
        <f t="shared" si="150"/>
        <v>-58669.539548014058</v>
      </c>
      <c r="AI224" s="20">
        <v>139213</v>
      </c>
      <c r="AJ224" s="21">
        <v>2530400</v>
      </c>
      <c r="AK224" s="22">
        <v>2525544</v>
      </c>
      <c r="AL224" s="22">
        <v>2530833.1129999999</v>
      </c>
      <c r="AM224" s="16">
        <v>1342.6</v>
      </c>
      <c r="AN224" s="23">
        <f t="shared" si="116"/>
        <v>18527.48</v>
      </c>
      <c r="AO224" s="23">
        <f t="shared" si="117"/>
        <v>13225.38</v>
      </c>
      <c r="AP224" s="23">
        <f t="shared" si="118"/>
        <v>1344.48</v>
      </c>
      <c r="AQ224" s="23">
        <f t="shared" si="119"/>
        <v>527.78</v>
      </c>
      <c r="AR224" s="23">
        <f t="shared" si="120"/>
        <v>1865.04</v>
      </c>
      <c r="AS224" s="23">
        <f t="shared" si="121"/>
        <v>5868.09</v>
      </c>
      <c r="AT224" s="23">
        <f t="shared" si="122"/>
        <v>17.43</v>
      </c>
      <c r="AU224" s="23">
        <f t="shared" si="123"/>
        <v>0</v>
      </c>
      <c r="AV224" s="23">
        <f t="shared" si="124"/>
        <v>0</v>
      </c>
      <c r="AW224" s="23">
        <f t="shared" si="125"/>
        <v>330.78</v>
      </c>
      <c r="AX224" s="23">
        <f t="shared" si="126"/>
        <v>0</v>
      </c>
      <c r="AY224" s="23">
        <f t="shared" si="127"/>
        <v>98.54</v>
      </c>
      <c r="AZ224" s="23">
        <f t="shared" si="128"/>
        <v>13904.89</v>
      </c>
      <c r="BA224" s="23">
        <f t="shared" si="129"/>
        <v>4281.0200000000004</v>
      </c>
      <c r="BB224" s="23">
        <f t="shared" si="130"/>
        <v>1524.36</v>
      </c>
      <c r="BC224" s="23">
        <f t="shared" si="131"/>
        <v>279.23</v>
      </c>
      <c r="BD224" s="23">
        <f t="shared" si="132"/>
        <v>7573.89</v>
      </c>
      <c r="BE224" s="23">
        <f t="shared" si="133"/>
        <v>3101.44</v>
      </c>
      <c r="BF224" s="23">
        <f t="shared" si="134"/>
        <v>3349.92</v>
      </c>
      <c r="BG224" s="23">
        <f t="shared" si="135"/>
        <v>68346.86</v>
      </c>
      <c r="BH224" s="23">
        <f t="shared" si="136"/>
        <v>75819.75</v>
      </c>
      <c r="BI224" s="23">
        <f t="shared" si="137"/>
        <v>80189.600000000006</v>
      </c>
      <c r="BJ224" s="23">
        <f t="shared" si="138"/>
        <v>77730.149999999994</v>
      </c>
      <c r="BK224" s="23">
        <f t="shared" si="139"/>
        <v>8265.68</v>
      </c>
      <c r="BL224" s="23">
        <f t="shared" si="140"/>
        <v>3947.38</v>
      </c>
      <c r="BM224" s="23">
        <f t="shared" si="141"/>
        <v>16014.94</v>
      </c>
      <c r="BN224" s="23">
        <f t="shared" si="142"/>
        <v>19140.77</v>
      </c>
      <c r="BO224" s="23">
        <f t="shared" si="143"/>
        <v>10285.14</v>
      </c>
      <c r="BP224" s="23">
        <f t="shared" si="144"/>
        <v>8855.6299999999992</v>
      </c>
      <c r="BQ224" s="23">
        <f t="shared" si="145"/>
        <v>7836.27</v>
      </c>
      <c r="BR224" s="23">
        <f t="shared" si="146"/>
        <v>8540.86</v>
      </c>
      <c r="BS224" s="23">
        <f t="shared" si="147"/>
        <v>30515.62</v>
      </c>
      <c r="BT224" s="23">
        <f t="shared" si="151"/>
        <v>-4369.8500000000004</v>
      </c>
      <c r="BU224" s="23">
        <f t="shared" si="151"/>
        <v>10368.91</v>
      </c>
      <c r="BV224" s="23">
        <f t="shared" si="151"/>
        <v>188470.13</v>
      </c>
      <c r="BW224" s="23">
        <f t="shared" si="151"/>
        <v>188108.45</v>
      </c>
      <c r="BX224" s="23">
        <f t="shared" si="151"/>
        <v>188502.39</v>
      </c>
      <c r="BY224" t="s">
        <v>270</v>
      </c>
      <c r="CE224" t="s">
        <v>267</v>
      </c>
      <c r="CF224" t="s">
        <v>266</v>
      </c>
      <c r="CG224" t="s">
        <v>266</v>
      </c>
      <c r="CH224" t="s">
        <v>266</v>
      </c>
      <c r="CI224" t="s">
        <v>266</v>
      </c>
      <c r="CJ224" t="s">
        <v>266</v>
      </c>
      <c r="CK224" t="s">
        <v>267</v>
      </c>
      <c r="CL224" t="s">
        <v>267</v>
      </c>
      <c r="CM224" t="s">
        <v>267</v>
      </c>
      <c r="CN224" t="s">
        <v>267</v>
      </c>
      <c r="CO224" t="s">
        <v>267</v>
      </c>
    </row>
    <row r="225" spans="23:39" x14ac:dyDescent="0.25">
      <c r="W225" s="28"/>
      <c r="X225" s="29"/>
      <c r="Y225" s="29"/>
      <c r="Z225" s="29"/>
      <c r="AA225" s="29"/>
      <c r="AB225" s="30"/>
      <c r="AC225" s="30"/>
      <c r="AD225" s="30"/>
      <c r="AE225" s="31"/>
      <c r="AF225" s="31"/>
      <c r="AG225" s="29"/>
      <c r="AH225" s="29"/>
      <c r="AM225" s="16"/>
    </row>
    <row r="226" spans="23:39" x14ac:dyDescent="0.25">
      <c r="W226" s="28"/>
      <c r="X226" s="29"/>
      <c r="Y226" s="29"/>
      <c r="Z226" s="29"/>
      <c r="AA226" s="29"/>
      <c r="AB226" s="30"/>
      <c r="AC226" s="30"/>
      <c r="AD226" s="30"/>
      <c r="AE226" s="31"/>
      <c r="AF226" s="31"/>
      <c r="AG226" s="29"/>
      <c r="AH226" s="29"/>
    </row>
    <row r="227" spans="23:39" x14ac:dyDescent="0.25">
      <c r="W227" s="28"/>
      <c r="X227" s="29"/>
      <c r="Y227" s="29"/>
      <c r="Z227" s="29"/>
      <c r="AA227" s="29"/>
      <c r="AB227" s="29"/>
      <c r="AC227" s="29"/>
      <c r="AD227" s="29"/>
      <c r="AE227" s="29"/>
      <c r="AF227" s="29"/>
      <c r="AG227" s="29"/>
      <c r="AH227" s="29"/>
    </row>
    <row r="228" spans="23:39" x14ac:dyDescent="0.25">
      <c r="W228" s="28"/>
      <c r="X228" s="29"/>
      <c r="Y228" s="29"/>
      <c r="Z228" s="29"/>
      <c r="AA228" s="29"/>
      <c r="AB228" s="29"/>
      <c r="AC228" s="29"/>
      <c r="AD228" s="29"/>
      <c r="AE228" s="29"/>
      <c r="AF228" s="29"/>
      <c r="AG228" s="29"/>
      <c r="AH228" s="29"/>
    </row>
    <row r="229" spans="23:39" x14ac:dyDescent="0.25">
      <c r="W229" s="28"/>
      <c r="X229" s="31"/>
      <c r="Y229" s="29"/>
      <c r="Z229" s="29"/>
      <c r="AA229" s="31"/>
      <c r="AB229" s="29"/>
      <c r="AC229" s="29"/>
      <c r="AD229" s="29"/>
      <c r="AE229" s="29"/>
      <c r="AF229" s="29"/>
      <c r="AG229" s="29"/>
      <c r="AH229" s="29"/>
    </row>
    <row r="230" spans="23:39" x14ac:dyDescent="0.25">
      <c r="W230" s="28"/>
      <c r="X230" s="32"/>
      <c r="Y230" s="29"/>
      <c r="Z230" s="29"/>
      <c r="AA230" s="32"/>
    </row>
    <row r="231" spans="23:39" x14ac:dyDescent="0.25">
      <c r="W231" s="28"/>
      <c r="X231" s="32"/>
      <c r="Y231" s="29"/>
      <c r="Z231" s="29"/>
      <c r="AA231" s="32"/>
    </row>
    <row r="232" spans="23:39" x14ac:dyDescent="0.25">
      <c r="W232" s="28"/>
      <c r="X232" s="32"/>
      <c r="Y232" s="29"/>
      <c r="Z232" s="33"/>
      <c r="AA232" s="33"/>
    </row>
    <row r="233" spans="23:39" x14ac:dyDescent="0.25">
      <c r="W233" s="28"/>
    </row>
    <row r="234" spans="23:39" x14ac:dyDescent="0.25">
      <c r="W234" s="28"/>
    </row>
    <row r="235" spans="23:39" x14ac:dyDescent="0.25">
      <c r="W235" s="28"/>
    </row>
    <row r="236" spans="23:39" x14ac:dyDescent="0.25">
      <c r="W236" s="28"/>
      <c r="Y236" s="34"/>
    </row>
    <row r="237" spans="23:39" x14ac:dyDescent="0.25">
      <c r="W237" s="28"/>
    </row>
    <row r="238" spans="23:39" x14ac:dyDescent="0.25">
      <c r="W238" s="28"/>
    </row>
    <row r="239" spans="23:39" x14ac:dyDescent="0.25">
      <c r="W239" s="28"/>
    </row>
    <row r="240" spans="23:39" x14ac:dyDescent="0.25">
      <c r="W240" s="28"/>
    </row>
    <row r="241" spans="23:28" x14ac:dyDescent="0.25">
      <c r="W241" s="28"/>
      <c r="Z241" s="34"/>
      <c r="AA241" s="34"/>
      <c r="AB241" s="34"/>
    </row>
    <row r="242" spans="23:28" x14ac:dyDescent="0.25">
      <c r="W242" s="28"/>
      <c r="X242" s="34"/>
    </row>
    <row r="243" spans="23:28" x14ac:dyDescent="0.25">
      <c r="W243" s="28"/>
      <c r="X243" s="34"/>
    </row>
    <row r="244" spans="23:28" x14ac:dyDescent="0.25">
      <c r="X244" s="34"/>
      <c r="Z244" s="34"/>
      <c r="AA244" s="34"/>
      <c r="AB244" s="34"/>
    </row>
    <row r="245" spans="23:28" x14ac:dyDescent="0.25">
      <c r="X245" s="34"/>
    </row>
    <row r="246" spans="23:28" x14ac:dyDescent="0.25">
      <c r="X246" s="34"/>
      <c r="Z246" s="34"/>
      <c r="AA246" s="34"/>
      <c r="AB246" s="34"/>
    </row>
    <row r="247" spans="23:28" x14ac:dyDescent="0.25">
      <c r="X247" s="34"/>
    </row>
    <row r="249" spans="23:28" x14ac:dyDescent="0.25">
      <c r="Z249" s="34"/>
      <c r="AA249" s="34"/>
      <c r="AB249" s="3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PublicFinances1800-2023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Golder</dc:creator>
  <cp:lastModifiedBy>Paul Golder</cp:lastModifiedBy>
  <dcterms:created xsi:type="dcterms:W3CDTF">2025-11-19T10:52:38Z</dcterms:created>
  <dcterms:modified xsi:type="dcterms:W3CDTF">2025-11-27T12:56:16Z</dcterms:modified>
</cp:coreProperties>
</file>
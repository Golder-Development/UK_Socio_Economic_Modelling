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VScode\Politcal_analysis\PoliticalAnalysis_PG_2025\DataSources\"/>
    </mc:Choice>
  </mc:AlternateContent>
  <xr:revisionPtr revIDLastSave="0" documentId="8_{2317B445-18E7-4ED7-A00B-12290E04B45C}" xr6:coauthVersionLast="47" xr6:coauthVersionMax="47" xr10:uidLastSave="{00000000-0000-0000-0000-000000000000}"/>
  <bookViews>
    <workbookView xWindow="-28920" yWindow="-120" windowWidth="29040" windowHeight="15840" firstSheet="1" activeTab="2" xr2:uid="{38807887-7314-4B06-8DCE-1013AD29A46E}"/>
  </bookViews>
  <sheets>
    <sheet name="metadata" sheetId="2" r:id="rId1"/>
    <sheet name="Sheet1" sheetId="3" r:id="rId2"/>
    <sheet name="Sheet2" sheetId="4" r:id="rId3"/>
    <sheet name="POPLNS" sheetId="1" r:id="rId4"/>
  </sheets>
  <calcPr calcId="191029"/>
  <pivotCaches>
    <pivotCache cacheId="1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3" i="4" l="1"/>
  <c r="AD72" i="4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7" i="4"/>
  <c r="AD46" i="4"/>
  <c r="AD45" i="4"/>
  <c r="AD44" i="4"/>
  <c r="AD43" i="4"/>
  <c r="AD42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D7" i="4"/>
  <c r="AD6" i="4"/>
  <c r="Y73" i="4"/>
  <c r="Y72" i="4"/>
  <c r="Y71" i="4"/>
  <c r="Y70" i="4"/>
  <c r="Y69" i="4"/>
  <c r="Y68" i="4"/>
  <c r="Y67" i="4"/>
  <c r="Y66" i="4"/>
  <c r="Y65" i="4"/>
  <c r="Y64" i="4"/>
  <c r="Y63" i="4"/>
  <c r="Y62" i="4"/>
  <c r="Y61" i="4"/>
  <c r="Y60" i="4"/>
  <c r="Y59" i="4"/>
  <c r="Y58" i="4"/>
  <c r="Y57" i="4"/>
  <c r="Y56" i="4"/>
  <c r="Y55" i="4"/>
  <c r="Y54" i="4"/>
  <c r="Y53" i="4"/>
  <c r="Y52" i="4"/>
  <c r="Y51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34" i="4"/>
  <c r="Y33" i="4"/>
  <c r="Y105" i="4"/>
  <c r="Y104" i="4"/>
  <c r="Y103" i="4"/>
  <c r="Y102" i="4"/>
  <c r="Y101" i="4"/>
  <c r="Y100" i="4"/>
  <c r="Y99" i="4"/>
  <c r="Y98" i="4"/>
  <c r="Y97" i="4"/>
  <c r="Y96" i="4"/>
  <c r="Y95" i="4"/>
  <c r="Y94" i="4"/>
  <c r="Y93" i="4"/>
  <c r="Y92" i="4"/>
  <c r="Y91" i="4"/>
  <c r="Y90" i="4"/>
  <c r="Y89" i="4"/>
  <c r="Y88" i="4"/>
  <c r="Y87" i="4"/>
  <c r="Y86" i="4"/>
  <c r="Y85" i="4"/>
  <c r="Y84" i="4"/>
  <c r="Y83" i="4"/>
  <c r="Y82" i="4"/>
  <c r="Y81" i="4"/>
  <c r="Y80" i="4"/>
  <c r="Y79" i="4"/>
  <c r="Y78" i="4"/>
  <c r="Y77" i="4"/>
  <c r="Y76" i="4"/>
  <c r="Y75" i="4"/>
  <c r="Y74" i="4"/>
  <c r="AC73" i="4"/>
  <c r="AB73" i="4"/>
  <c r="AA73" i="4"/>
  <c r="Z73" i="4"/>
  <c r="AC72" i="4"/>
  <c r="AB72" i="4"/>
  <c r="AA72" i="4"/>
  <c r="Z72" i="4"/>
  <c r="AC71" i="4"/>
  <c r="AB71" i="4"/>
  <c r="AA71" i="4"/>
  <c r="Z71" i="4"/>
  <c r="AC70" i="4"/>
  <c r="AB70" i="4"/>
  <c r="AA70" i="4"/>
  <c r="Z70" i="4"/>
  <c r="AC69" i="4"/>
  <c r="AB69" i="4"/>
  <c r="AA69" i="4"/>
  <c r="Z69" i="4"/>
  <c r="AC68" i="4"/>
  <c r="AB68" i="4"/>
  <c r="AA68" i="4"/>
  <c r="Z68" i="4"/>
  <c r="AC67" i="4"/>
  <c r="AB67" i="4"/>
  <c r="AA67" i="4"/>
  <c r="Z67" i="4"/>
  <c r="AC66" i="4"/>
  <c r="AB66" i="4"/>
  <c r="AA66" i="4"/>
  <c r="Z66" i="4"/>
  <c r="AC65" i="4"/>
  <c r="AB65" i="4"/>
  <c r="AA65" i="4"/>
  <c r="Z65" i="4"/>
  <c r="AC64" i="4"/>
  <c r="AB64" i="4"/>
  <c r="AA64" i="4"/>
  <c r="Z64" i="4"/>
  <c r="AC63" i="4"/>
  <c r="AB63" i="4"/>
  <c r="AA63" i="4"/>
  <c r="Z63" i="4"/>
  <c r="AC62" i="4"/>
  <c r="AB62" i="4"/>
  <c r="AA62" i="4"/>
  <c r="Z62" i="4"/>
  <c r="AC61" i="4"/>
  <c r="AB61" i="4"/>
  <c r="AA61" i="4"/>
  <c r="Z61" i="4"/>
  <c r="AC60" i="4"/>
  <c r="AB60" i="4"/>
  <c r="AA60" i="4"/>
  <c r="Z60" i="4"/>
  <c r="AC59" i="4"/>
  <c r="AB59" i="4"/>
  <c r="AA59" i="4"/>
  <c r="Z59" i="4"/>
  <c r="AC58" i="4"/>
  <c r="AB58" i="4"/>
  <c r="AA58" i="4"/>
  <c r="Z58" i="4"/>
  <c r="AC57" i="4"/>
  <c r="AB57" i="4"/>
  <c r="AA57" i="4"/>
  <c r="Z57" i="4"/>
  <c r="AC56" i="4"/>
  <c r="AB56" i="4"/>
  <c r="AA56" i="4"/>
  <c r="Z56" i="4"/>
  <c r="AC55" i="4"/>
  <c r="AB55" i="4"/>
  <c r="AA55" i="4"/>
  <c r="Z55" i="4"/>
  <c r="AC54" i="4"/>
  <c r="AB54" i="4"/>
  <c r="AA54" i="4"/>
  <c r="Z54" i="4"/>
  <c r="AC53" i="4"/>
  <c r="AC52" i="4"/>
  <c r="AC51" i="4"/>
  <c r="AC50" i="4"/>
  <c r="AC49" i="4"/>
  <c r="AC48" i="4"/>
  <c r="AC47" i="4"/>
  <c r="AC46" i="4"/>
  <c r="AC45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30" i="4"/>
  <c r="AC29" i="4"/>
  <c r="AC28" i="4"/>
  <c r="AC27" i="4"/>
  <c r="AC26" i="4"/>
  <c r="AC25" i="4"/>
  <c r="AC24" i="4"/>
  <c r="AC23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6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Z6" i="4"/>
  <c r="Y23" i="4"/>
  <c r="T105" i="4"/>
  <c r="S105" i="4"/>
  <c r="U105" i="4" s="1"/>
  <c r="R105" i="4"/>
  <c r="W104" i="4"/>
  <c r="U104" i="4"/>
  <c r="S104" i="4"/>
  <c r="R104" i="4"/>
  <c r="T104" i="4" s="1"/>
  <c r="U103" i="4"/>
  <c r="S103" i="4"/>
  <c r="R103" i="4"/>
  <c r="T103" i="4" s="1"/>
  <c r="T102" i="4"/>
  <c r="S102" i="4"/>
  <c r="U102" i="4" s="1"/>
  <c r="R102" i="4"/>
  <c r="W101" i="4"/>
  <c r="T101" i="4"/>
  <c r="S101" i="4"/>
  <c r="U101" i="4" s="1"/>
  <c r="R101" i="4"/>
  <c r="W100" i="4"/>
  <c r="U100" i="4"/>
  <c r="S100" i="4"/>
  <c r="R100" i="4"/>
  <c r="T100" i="4" s="1"/>
  <c r="U99" i="4"/>
  <c r="S99" i="4"/>
  <c r="R99" i="4"/>
  <c r="T99" i="4" s="1"/>
  <c r="T98" i="4"/>
  <c r="S98" i="4"/>
  <c r="U98" i="4" s="1"/>
  <c r="R98" i="4"/>
  <c r="W97" i="4"/>
  <c r="T97" i="4"/>
  <c r="S97" i="4"/>
  <c r="U97" i="4" s="1"/>
  <c r="R97" i="4"/>
  <c r="W96" i="4"/>
  <c r="U96" i="4"/>
  <c r="T96" i="4"/>
  <c r="S96" i="4"/>
  <c r="R96" i="4"/>
  <c r="W95" i="4"/>
  <c r="U95" i="4"/>
  <c r="S95" i="4"/>
  <c r="R95" i="4"/>
  <c r="T95" i="4" s="1"/>
  <c r="T94" i="4"/>
  <c r="S94" i="4"/>
  <c r="U94" i="4" s="1"/>
  <c r="R94" i="4"/>
  <c r="W93" i="4"/>
  <c r="T93" i="4"/>
  <c r="S93" i="4"/>
  <c r="U93" i="4" s="1"/>
  <c r="R93" i="4"/>
  <c r="T92" i="4"/>
  <c r="S92" i="4"/>
  <c r="U92" i="4" s="1"/>
  <c r="R92" i="4"/>
  <c r="W91" i="4"/>
  <c r="S91" i="4"/>
  <c r="U91" i="4" s="1"/>
  <c r="R91" i="4"/>
  <c r="T91" i="4" s="1"/>
  <c r="T90" i="4"/>
  <c r="S90" i="4"/>
  <c r="U90" i="4" s="1"/>
  <c r="R90" i="4"/>
  <c r="S89" i="4"/>
  <c r="U89" i="4" s="1"/>
  <c r="R89" i="4"/>
  <c r="T89" i="4" s="1"/>
  <c r="V88" i="4"/>
  <c r="T88" i="4"/>
  <c r="S88" i="4"/>
  <c r="U88" i="4" s="1"/>
  <c r="R88" i="4"/>
  <c r="W87" i="4"/>
  <c r="S87" i="4"/>
  <c r="U87" i="4" s="1"/>
  <c r="R87" i="4"/>
  <c r="T87" i="4" s="1"/>
  <c r="V86" i="4"/>
  <c r="S86" i="4"/>
  <c r="U86" i="4" s="1"/>
  <c r="R86" i="4"/>
  <c r="T86" i="4" s="1"/>
  <c r="V85" i="4"/>
  <c r="S85" i="4"/>
  <c r="U85" i="4" s="1"/>
  <c r="R85" i="4"/>
  <c r="T85" i="4" s="1"/>
  <c r="T84" i="4"/>
  <c r="S84" i="4"/>
  <c r="U84" i="4" s="1"/>
  <c r="R84" i="4"/>
  <c r="V83" i="4"/>
  <c r="S83" i="4"/>
  <c r="U83" i="4" s="1"/>
  <c r="R83" i="4"/>
  <c r="T83" i="4" s="1"/>
  <c r="V82" i="4"/>
  <c r="S82" i="4"/>
  <c r="U82" i="4" s="1"/>
  <c r="R82" i="4"/>
  <c r="T82" i="4" s="1"/>
  <c r="S81" i="4"/>
  <c r="U81" i="4" s="1"/>
  <c r="R81" i="4"/>
  <c r="T81" i="4" s="1"/>
  <c r="S80" i="4"/>
  <c r="U80" i="4" s="1"/>
  <c r="R80" i="4"/>
  <c r="T80" i="4" s="1"/>
  <c r="V79" i="4"/>
  <c r="S79" i="4"/>
  <c r="U79" i="4" s="1"/>
  <c r="R79" i="4"/>
  <c r="T79" i="4" s="1"/>
  <c r="V78" i="4"/>
  <c r="S78" i="4"/>
  <c r="U78" i="4" s="1"/>
  <c r="R78" i="4"/>
  <c r="T78" i="4" s="1"/>
  <c r="S77" i="4"/>
  <c r="U77" i="4" s="1"/>
  <c r="R77" i="4"/>
  <c r="T77" i="4" s="1"/>
  <c r="U76" i="4"/>
  <c r="S76" i="4"/>
  <c r="R76" i="4"/>
  <c r="T76" i="4" s="1"/>
  <c r="V75" i="4"/>
  <c r="S75" i="4"/>
  <c r="U75" i="4" s="1"/>
  <c r="R75" i="4"/>
  <c r="T75" i="4" s="1"/>
  <c r="S74" i="4"/>
  <c r="U74" i="4" s="1"/>
  <c r="R74" i="4"/>
  <c r="T74" i="4" s="1"/>
  <c r="T73" i="4"/>
  <c r="S73" i="4"/>
  <c r="U73" i="4" s="1"/>
  <c r="R73" i="4"/>
  <c r="W72" i="4"/>
  <c r="U72" i="4"/>
  <c r="S72" i="4"/>
  <c r="R72" i="4"/>
  <c r="T72" i="4" s="1"/>
  <c r="W71" i="4"/>
  <c r="S71" i="4"/>
  <c r="U71" i="4" s="1"/>
  <c r="R71" i="4"/>
  <c r="T71" i="4" s="1"/>
  <c r="T70" i="4"/>
  <c r="S70" i="4"/>
  <c r="U70" i="4" s="1"/>
  <c r="R70" i="4"/>
  <c r="S69" i="4"/>
  <c r="U69" i="4" s="1"/>
  <c r="R69" i="4"/>
  <c r="T69" i="4" s="1"/>
  <c r="V68" i="4"/>
  <c r="S68" i="4"/>
  <c r="U68" i="4" s="1"/>
  <c r="R68" i="4"/>
  <c r="T68" i="4" s="1"/>
  <c r="V67" i="4"/>
  <c r="S67" i="4"/>
  <c r="U67" i="4" s="1"/>
  <c r="R67" i="4"/>
  <c r="T67" i="4" s="1"/>
  <c r="T66" i="4"/>
  <c r="S66" i="4"/>
  <c r="U66" i="4" s="1"/>
  <c r="R66" i="4"/>
  <c r="T65" i="4"/>
  <c r="S65" i="4"/>
  <c r="U65" i="4" s="1"/>
  <c r="R65" i="4"/>
  <c r="W64" i="4"/>
  <c r="U64" i="4"/>
  <c r="S64" i="4"/>
  <c r="R64" i="4"/>
  <c r="T64" i="4" s="1"/>
  <c r="W63" i="4"/>
  <c r="S63" i="4"/>
  <c r="U63" i="4" s="1"/>
  <c r="R63" i="4"/>
  <c r="T63" i="4" s="1"/>
  <c r="T62" i="4"/>
  <c r="S62" i="4"/>
  <c r="U62" i="4" s="1"/>
  <c r="R62" i="4"/>
  <c r="T61" i="4"/>
  <c r="S61" i="4"/>
  <c r="U61" i="4" s="1"/>
  <c r="R61" i="4"/>
  <c r="V60" i="4"/>
  <c r="S60" i="4"/>
  <c r="U60" i="4" s="1"/>
  <c r="R60" i="4"/>
  <c r="T60" i="4" s="1"/>
  <c r="V59" i="4"/>
  <c r="S59" i="4"/>
  <c r="U59" i="4" s="1"/>
  <c r="R59" i="4"/>
  <c r="T59" i="4" s="1"/>
  <c r="S58" i="4"/>
  <c r="U58" i="4" s="1"/>
  <c r="R58" i="4"/>
  <c r="T58" i="4" s="1"/>
  <c r="T57" i="4"/>
  <c r="S57" i="4"/>
  <c r="U57" i="4" s="1"/>
  <c r="R57" i="4"/>
  <c r="W56" i="4"/>
  <c r="U56" i="4"/>
  <c r="S56" i="4"/>
  <c r="R56" i="4"/>
  <c r="T56" i="4" s="1"/>
  <c r="W55" i="4"/>
  <c r="S55" i="4"/>
  <c r="U55" i="4" s="1"/>
  <c r="R55" i="4"/>
  <c r="T55" i="4" s="1"/>
  <c r="T54" i="4"/>
  <c r="S54" i="4"/>
  <c r="U54" i="4" s="1"/>
  <c r="R54" i="4"/>
  <c r="T53" i="4"/>
  <c r="S53" i="4"/>
  <c r="U53" i="4" s="1"/>
  <c r="R53" i="4"/>
  <c r="V52" i="4"/>
  <c r="AA52" i="4" s="1"/>
  <c r="S52" i="4"/>
  <c r="U52" i="4" s="1"/>
  <c r="AB52" i="4" s="1"/>
  <c r="R52" i="4"/>
  <c r="T52" i="4" s="1"/>
  <c r="V51" i="4"/>
  <c r="S51" i="4"/>
  <c r="U51" i="4" s="1"/>
  <c r="R51" i="4"/>
  <c r="T51" i="4" s="1"/>
  <c r="AA51" i="4" s="1"/>
  <c r="T50" i="4"/>
  <c r="S50" i="4"/>
  <c r="U50" i="4" s="1"/>
  <c r="R50" i="4"/>
  <c r="T49" i="4"/>
  <c r="S49" i="4"/>
  <c r="U49" i="4" s="1"/>
  <c r="R49" i="4"/>
  <c r="W48" i="4"/>
  <c r="U48" i="4"/>
  <c r="AB48" i="4" s="1"/>
  <c r="S48" i="4"/>
  <c r="R48" i="4"/>
  <c r="T48" i="4" s="1"/>
  <c r="W47" i="4"/>
  <c r="S47" i="4"/>
  <c r="U47" i="4" s="1"/>
  <c r="AB47" i="4" s="1"/>
  <c r="R47" i="4"/>
  <c r="T47" i="4" s="1"/>
  <c r="AA47" i="4" s="1"/>
  <c r="T46" i="4"/>
  <c r="S46" i="4"/>
  <c r="U46" i="4" s="1"/>
  <c r="R46" i="4"/>
  <c r="T45" i="4"/>
  <c r="S45" i="4"/>
  <c r="U45" i="4" s="1"/>
  <c r="R45" i="4"/>
  <c r="V44" i="4"/>
  <c r="AA44" i="4" s="1"/>
  <c r="S44" i="4"/>
  <c r="U44" i="4" s="1"/>
  <c r="AB44" i="4" s="1"/>
  <c r="R44" i="4"/>
  <c r="T44" i="4" s="1"/>
  <c r="V43" i="4"/>
  <c r="S43" i="4"/>
  <c r="U43" i="4" s="1"/>
  <c r="R43" i="4"/>
  <c r="T43" i="4" s="1"/>
  <c r="AA43" i="4" s="1"/>
  <c r="S42" i="4"/>
  <c r="U42" i="4" s="1"/>
  <c r="R42" i="4"/>
  <c r="T42" i="4" s="1"/>
  <c r="T41" i="4"/>
  <c r="S41" i="4"/>
  <c r="U41" i="4" s="1"/>
  <c r="R41" i="4"/>
  <c r="W40" i="4"/>
  <c r="U40" i="4"/>
  <c r="AB40" i="4" s="1"/>
  <c r="S40" i="4"/>
  <c r="R40" i="4"/>
  <c r="T40" i="4" s="1"/>
  <c r="W39" i="4"/>
  <c r="S39" i="4"/>
  <c r="U39" i="4" s="1"/>
  <c r="AB39" i="4" s="1"/>
  <c r="R39" i="4"/>
  <c r="T39" i="4" s="1"/>
  <c r="AA39" i="4" s="1"/>
  <c r="T38" i="4"/>
  <c r="S38" i="4"/>
  <c r="U38" i="4" s="1"/>
  <c r="R38" i="4"/>
  <c r="T37" i="4"/>
  <c r="S37" i="4"/>
  <c r="U37" i="4" s="1"/>
  <c r="R37" i="4"/>
  <c r="W36" i="4"/>
  <c r="V36" i="4"/>
  <c r="AA36" i="4" s="1"/>
  <c r="S36" i="4"/>
  <c r="U36" i="4" s="1"/>
  <c r="AB36" i="4" s="1"/>
  <c r="R36" i="4"/>
  <c r="T36" i="4" s="1"/>
  <c r="V35" i="4"/>
  <c r="S35" i="4"/>
  <c r="U35" i="4" s="1"/>
  <c r="AB35" i="4" s="1"/>
  <c r="R35" i="4"/>
  <c r="T35" i="4" s="1"/>
  <c r="AA35" i="4" s="1"/>
  <c r="S34" i="4"/>
  <c r="U34" i="4" s="1"/>
  <c r="R34" i="4"/>
  <c r="T34" i="4" s="1"/>
  <c r="T33" i="4"/>
  <c r="S33" i="4"/>
  <c r="U33" i="4" s="1"/>
  <c r="R33" i="4"/>
  <c r="W32" i="4"/>
  <c r="AB32" i="4" s="1"/>
  <c r="U32" i="4"/>
  <c r="S32" i="4"/>
  <c r="R32" i="4"/>
  <c r="T32" i="4" s="1"/>
  <c r="AA32" i="4" s="1"/>
  <c r="W31" i="4"/>
  <c r="AB31" i="4" s="1"/>
  <c r="S31" i="4"/>
  <c r="U31" i="4" s="1"/>
  <c r="R31" i="4"/>
  <c r="T31" i="4" s="1"/>
  <c r="T30" i="4"/>
  <c r="S30" i="4"/>
  <c r="U30" i="4" s="1"/>
  <c r="R30" i="4"/>
  <c r="T29" i="4"/>
  <c r="S29" i="4"/>
  <c r="U29" i="4" s="1"/>
  <c r="R29" i="4"/>
  <c r="W28" i="4"/>
  <c r="AB28" i="4" s="1"/>
  <c r="V28" i="4"/>
  <c r="S28" i="4"/>
  <c r="U28" i="4" s="1"/>
  <c r="R28" i="4"/>
  <c r="T28" i="4" s="1"/>
  <c r="AA28" i="4" s="1"/>
  <c r="V27" i="4"/>
  <c r="S27" i="4"/>
  <c r="U27" i="4" s="1"/>
  <c r="R27" i="4"/>
  <c r="T27" i="4" s="1"/>
  <c r="AA27" i="4" s="1"/>
  <c r="S26" i="4"/>
  <c r="U26" i="4" s="1"/>
  <c r="R26" i="4"/>
  <c r="T26" i="4" s="1"/>
  <c r="AA26" i="4" s="1"/>
  <c r="T25" i="4"/>
  <c r="S25" i="4"/>
  <c r="U25" i="4" s="1"/>
  <c r="R25" i="4"/>
  <c r="W24" i="4"/>
  <c r="AB24" i="4" s="1"/>
  <c r="U24" i="4"/>
  <c r="S24" i="4"/>
  <c r="R24" i="4"/>
  <c r="T24" i="4" s="1"/>
  <c r="AA24" i="4" s="1"/>
  <c r="W23" i="4"/>
  <c r="AB23" i="4" s="1"/>
  <c r="S23" i="4"/>
  <c r="U23" i="4" s="1"/>
  <c r="R23" i="4"/>
  <c r="T23" i="4" s="1"/>
  <c r="T22" i="4"/>
  <c r="S22" i="4"/>
  <c r="U22" i="4" s="1"/>
  <c r="R22" i="4"/>
  <c r="S21" i="4"/>
  <c r="U21" i="4" s="1"/>
  <c r="R21" i="4"/>
  <c r="T21" i="4" s="1"/>
  <c r="W20" i="4"/>
  <c r="V20" i="4"/>
  <c r="S20" i="4"/>
  <c r="U20" i="4" s="1"/>
  <c r="R20" i="4"/>
  <c r="T20" i="4" s="1"/>
  <c r="V19" i="4"/>
  <c r="S19" i="4"/>
  <c r="U19" i="4" s="1"/>
  <c r="R19" i="4"/>
  <c r="T19" i="4" s="1"/>
  <c r="V18" i="4"/>
  <c r="S18" i="4"/>
  <c r="U18" i="4" s="1"/>
  <c r="R18" i="4"/>
  <c r="T18" i="4" s="1"/>
  <c r="T17" i="4"/>
  <c r="S17" i="4"/>
  <c r="U17" i="4" s="1"/>
  <c r="R17" i="4"/>
  <c r="W16" i="4"/>
  <c r="U16" i="4"/>
  <c r="S16" i="4"/>
  <c r="R16" i="4"/>
  <c r="T16" i="4" s="1"/>
  <c r="W15" i="4"/>
  <c r="S15" i="4"/>
  <c r="U15" i="4" s="1"/>
  <c r="R15" i="4"/>
  <c r="T15" i="4" s="1"/>
  <c r="T14" i="4"/>
  <c r="S14" i="4"/>
  <c r="U14" i="4" s="1"/>
  <c r="R14" i="4"/>
  <c r="S13" i="4"/>
  <c r="U13" i="4" s="1"/>
  <c r="R13" i="4"/>
  <c r="T13" i="4" s="1"/>
  <c r="W12" i="4"/>
  <c r="V12" i="4"/>
  <c r="S12" i="4"/>
  <c r="U12" i="4" s="1"/>
  <c r="R12" i="4"/>
  <c r="T12" i="4" s="1"/>
  <c r="V11" i="4"/>
  <c r="S11" i="4"/>
  <c r="U11" i="4" s="1"/>
  <c r="R11" i="4"/>
  <c r="T11" i="4" s="1"/>
  <c r="V10" i="4"/>
  <c r="S10" i="4"/>
  <c r="U10" i="4" s="1"/>
  <c r="R10" i="4"/>
  <c r="T10" i="4" s="1"/>
  <c r="T9" i="4"/>
  <c r="S9" i="4"/>
  <c r="U9" i="4" s="1"/>
  <c r="R9" i="4"/>
  <c r="W8" i="4"/>
  <c r="U8" i="4"/>
  <c r="S8" i="4"/>
  <c r="R8" i="4"/>
  <c r="T8" i="4" s="1"/>
  <c r="W7" i="4"/>
  <c r="S7" i="4"/>
  <c r="U7" i="4" s="1"/>
  <c r="R7" i="4"/>
  <c r="T7" i="4" s="1"/>
  <c r="R6" i="4"/>
  <c r="T6" i="4" s="1"/>
  <c r="S6" i="4"/>
  <c r="U6" i="4" s="1"/>
  <c r="Q105" i="4"/>
  <c r="W105" i="4" s="1"/>
  <c r="P105" i="4"/>
  <c r="V105" i="4" s="1"/>
  <c r="Q104" i="4"/>
  <c r="P104" i="4"/>
  <c r="V104" i="4" s="1"/>
  <c r="Q103" i="4"/>
  <c r="W103" i="4" s="1"/>
  <c r="P103" i="4"/>
  <c r="V103" i="4" s="1"/>
  <c r="Q102" i="4"/>
  <c r="W102" i="4" s="1"/>
  <c r="P102" i="4"/>
  <c r="V102" i="4" s="1"/>
  <c r="Q101" i="4"/>
  <c r="P101" i="4"/>
  <c r="V101" i="4" s="1"/>
  <c r="Q100" i="4"/>
  <c r="P100" i="4"/>
  <c r="V100" i="4" s="1"/>
  <c r="Q99" i="4"/>
  <c r="W99" i="4" s="1"/>
  <c r="P99" i="4"/>
  <c r="V99" i="4" s="1"/>
  <c r="Q98" i="4"/>
  <c r="W98" i="4" s="1"/>
  <c r="P98" i="4"/>
  <c r="V98" i="4" s="1"/>
  <c r="Q97" i="4"/>
  <c r="P97" i="4"/>
  <c r="V97" i="4" s="1"/>
  <c r="Q96" i="4"/>
  <c r="P96" i="4"/>
  <c r="V96" i="4" s="1"/>
  <c r="Q95" i="4"/>
  <c r="P95" i="4"/>
  <c r="V95" i="4" s="1"/>
  <c r="Q94" i="4"/>
  <c r="W94" i="4" s="1"/>
  <c r="P94" i="4"/>
  <c r="V94" i="4" s="1"/>
  <c r="Q93" i="4"/>
  <c r="P93" i="4"/>
  <c r="V93" i="4" s="1"/>
  <c r="Q92" i="4"/>
  <c r="W92" i="4" s="1"/>
  <c r="P92" i="4"/>
  <c r="V92" i="4" s="1"/>
  <c r="Q91" i="4"/>
  <c r="P91" i="4"/>
  <c r="V91" i="4" s="1"/>
  <c r="Q90" i="4"/>
  <c r="W90" i="4" s="1"/>
  <c r="P90" i="4"/>
  <c r="V90" i="4" s="1"/>
  <c r="Q89" i="4"/>
  <c r="W89" i="4" s="1"/>
  <c r="P89" i="4"/>
  <c r="V89" i="4" s="1"/>
  <c r="Q88" i="4"/>
  <c r="W88" i="4" s="1"/>
  <c r="P88" i="4"/>
  <c r="Q87" i="4"/>
  <c r="P87" i="4"/>
  <c r="V87" i="4" s="1"/>
  <c r="Q86" i="4"/>
  <c r="W86" i="4" s="1"/>
  <c r="P86" i="4"/>
  <c r="Q85" i="4"/>
  <c r="W85" i="4" s="1"/>
  <c r="P85" i="4"/>
  <c r="Q84" i="4"/>
  <c r="W84" i="4" s="1"/>
  <c r="P84" i="4"/>
  <c r="V84" i="4" s="1"/>
  <c r="Q83" i="4"/>
  <c r="W83" i="4" s="1"/>
  <c r="P83" i="4"/>
  <c r="Q82" i="4"/>
  <c r="W82" i="4" s="1"/>
  <c r="P82" i="4"/>
  <c r="Q81" i="4"/>
  <c r="W81" i="4" s="1"/>
  <c r="P81" i="4"/>
  <c r="V81" i="4" s="1"/>
  <c r="Q80" i="4"/>
  <c r="W80" i="4" s="1"/>
  <c r="P80" i="4"/>
  <c r="V80" i="4" s="1"/>
  <c r="Q79" i="4"/>
  <c r="W79" i="4" s="1"/>
  <c r="P79" i="4"/>
  <c r="Q78" i="4"/>
  <c r="W78" i="4" s="1"/>
  <c r="P78" i="4"/>
  <c r="Q77" i="4"/>
  <c r="W77" i="4" s="1"/>
  <c r="P77" i="4"/>
  <c r="V77" i="4" s="1"/>
  <c r="Q76" i="4"/>
  <c r="W76" i="4" s="1"/>
  <c r="P76" i="4"/>
  <c r="V76" i="4" s="1"/>
  <c r="Q75" i="4"/>
  <c r="W75" i="4" s="1"/>
  <c r="P75" i="4"/>
  <c r="Q74" i="4"/>
  <c r="W74" i="4" s="1"/>
  <c r="P74" i="4"/>
  <c r="V74" i="4" s="1"/>
  <c r="Q73" i="4"/>
  <c r="W73" i="4" s="1"/>
  <c r="P73" i="4"/>
  <c r="V73" i="4" s="1"/>
  <c r="Q72" i="4"/>
  <c r="P72" i="4"/>
  <c r="V72" i="4" s="1"/>
  <c r="Q71" i="4"/>
  <c r="P71" i="4"/>
  <c r="V71" i="4" s="1"/>
  <c r="Q70" i="4"/>
  <c r="W70" i="4" s="1"/>
  <c r="P70" i="4"/>
  <c r="V70" i="4" s="1"/>
  <c r="Q69" i="4"/>
  <c r="W69" i="4" s="1"/>
  <c r="P69" i="4"/>
  <c r="V69" i="4" s="1"/>
  <c r="Q68" i="4"/>
  <c r="W68" i="4" s="1"/>
  <c r="P68" i="4"/>
  <c r="Q67" i="4"/>
  <c r="W67" i="4" s="1"/>
  <c r="P67" i="4"/>
  <c r="Q66" i="4"/>
  <c r="W66" i="4" s="1"/>
  <c r="P66" i="4"/>
  <c r="V66" i="4" s="1"/>
  <c r="Q65" i="4"/>
  <c r="W65" i="4" s="1"/>
  <c r="P65" i="4"/>
  <c r="V65" i="4" s="1"/>
  <c r="Q64" i="4"/>
  <c r="P64" i="4"/>
  <c r="V64" i="4" s="1"/>
  <c r="Q63" i="4"/>
  <c r="P63" i="4"/>
  <c r="V63" i="4" s="1"/>
  <c r="Q62" i="4"/>
  <c r="W62" i="4" s="1"/>
  <c r="P62" i="4"/>
  <c r="V62" i="4" s="1"/>
  <c r="Q61" i="4"/>
  <c r="W61" i="4" s="1"/>
  <c r="P61" i="4"/>
  <c r="V61" i="4" s="1"/>
  <c r="Q60" i="4"/>
  <c r="W60" i="4" s="1"/>
  <c r="P60" i="4"/>
  <c r="Q59" i="4"/>
  <c r="W59" i="4" s="1"/>
  <c r="P59" i="4"/>
  <c r="Q58" i="4"/>
  <c r="W58" i="4" s="1"/>
  <c r="P58" i="4"/>
  <c r="V58" i="4" s="1"/>
  <c r="Q57" i="4"/>
  <c r="W57" i="4" s="1"/>
  <c r="P57" i="4"/>
  <c r="V57" i="4" s="1"/>
  <c r="Q56" i="4"/>
  <c r="P56" i="4"/>
  <c r="V56" i="4" s="1"/>
  <c r="Q55" i="4"/>
  <c r="P55" i="4"/>
  <c r="V55" i="4" s="1"/>
  <c r="Q54" i="4"/>
  <c r="W54" i="4" s="1"/>
  <c r="P54" i="4"/>
  <c r="V54" i="4" s="1"/>
  <c r="Q53" i="4"/>
  <c r="W53" i="4" s="1"/>
  <c r="P53" i="4"/>
  <c r="V53" i="4" s="1"/>
  <c r="Q52" i="4"/>
  <c r="W52" i="4" s="1"/>
  <c r="P52" i="4"/>
  <c r="Q51" i="4"/>
  <c r="W51" i="4" s="1"/>
  <c r="P51" i="4"/>
  <c r="Q50" i="4"/>
  <c r="W50" i="4" s="1"/>
  <c r="AB50" i="4" s="1"/>
  <c r="P50" i="4"/>
  <c r="V50" i="4" s="1"/>
  <c r="Q49" i="4"/>
  <c r="W49" i="4" s="1"/>
  <c r="AB49" i="4" s="1"/>
  <c r="P49" i="4"/>
  <c r="V49" i="4" s="1"/>
  <c r="Q48" i="4"/>
  <c r="P48" i="4"/>
  <c r="V48" i="4" s="1"/>
  <c r="AA48" i="4" s="1"/>
  <c r="Q47" i="4"/>
  <c r="P47" i="4"/>
  <c r="V47" i="4" s="1"/>
  <c r="Q46" i="4"/>
  <c r="W46" i="4" s="1"/>
  <c r="P46" i="4"/>
  <c r="V46" i="4" s="1"/>
  <c r="Q45" i="4"/>
  <c r="W45" i="4" s="1"/>
  <c r="P45" i="4"/>
  <c r="V45" i="4" s="1"/>
  <c r="Q44" i="4"/>
  <c r="W44" i="4" s="1"/>
  <c r="P44" i="4"/>
  <c r="Q43" i="4"/>
  <c r="W43" i="4" s="1"/>
  <c r="P43" i="4"/>
  <c r="Q42" i="4"/>
  <c r="W42" i="4" s="1"/>
  <c r="AB42" i="4" s="1"/>
  <c r="P42" i="4"/>
  <c r="V42" i="4" s="1"/>
  <c r="Q41" i="4"/>
  <c r="W41" i="4" s="1"/>
  <c r="AB41" i="4" s="1"/>
  <c r="P41" i="4"/>
  <c r="V41" i="4" s="1"/>
  <c r="Q40" i="4"/>
  <c r="P40" i="4"/>
  <c r="V40" i="4" s="1"/>
  <c r="AA40" i="4" s="1"/>
  <c r="Q39" i="4"/>
  <c r="P39" i="4"/>
  <c r="V39" i="4" s="1"/>
  <c r="Q38" i="4"/>
  <c r="W38" i="4" s="1"/>
  <c r="P38" i="4"/>
  <c r="V38" i="4" s="1"/>
  <c r="Q37" i="4"/>
  <c r="W37" i="4" s="1"/>
  <c r="P37" i="4"/>
  <c r="V37" i="4" s="1"/>
  <c r="Q36" i="4"/>
  <c r="P36" i="4"/>
  <c r="Q35" i="4"/>
  <c r="W35" i="4" s="1"/>
  <c r="P35" i="4"/>
  <c r="Q34" i="4"/>
  <c r="W34" i="4" s="1"/>
  <c r="AB34" i="4" s="1"/>
  <c r="P34" i="4"/>
  <c r="V34" i="4" s="1"/>
  <c r="Q33" i="4"/>
  <c r="W33" i="4" s="1"/>
  <c r="P33" i="4"/>
  <c r="V33" i="4" s="1"/>
  <c r="Q32" i="4"/>
  <c r="P32" i="4"/>
  <c r="V32" i="4" s="1"/>
  <c r="Q31" i="4"/>
  <c r="P31" i="4"/>
  <c r="V31" i="4" s="1"/>
  <c r="Q30" i="4"/>
  <c r="W30" i="4" s="1"/>
  <c r="AB30" i="4" s="1"/>
  <c r="P30" i="4"/>
  <c r="V30" i="4" s="1"/>
  <c r="AA30" i="4" s="1"/>
  <c r="Q29" i="4"/>
  <c r="W29" i="4" s="1"/>
  <c r="AB29" i="4" s="1"/>
  <c r="P29" i="4"/>
  <c r="V29" i="4" s="1"/>
  <c r="Q28" i="4"/>
  <c r="P28" i="4"/>
  <c r="Q27" i="4"/>
  <c r="W27" i="4" s="1"/>
  <c r="AB27" i="4" s="1"/>
  <c r="P27" i="4"/>
  <c r="Q26" i="4"/>
  <c r="W26" i="4" s="1"/>
  <c r="AB26" i="4" s="1"/>
  <c r="P26" i="4"/>
  <c r="V26" i="4" s="1"/>
  <c r="Q25" i="4"/>
  <c r="W25" i="4" s="1"/>
  <c r="AB25" i="4" s="1"/>
  <c r="P25" i="4"/>
  <c r="V25" i="4" s="1"/>
  <c r="Q24" i="4"/>
  <c r="P24" i="4"/>
  <c r="V24" i="4" s="1"/>
  <c r="Q23" i="4"/>
  <c r="P23" i="4"/>
  <c r="V23" i="4" s="1"/>
  <c r="Q22" i="4"/>
  <c r="W22" i="4" s="1"/>
  <c r="P22" i="4"/>
  <c r="V22" i="4" s="1"/>
  <c r="Q21" i="4"/>
  <c r="W21" i="4" s="1"/>
  <c r="P21" i="4"/>
  <c r="V21" i="4" s="1"/>
  <c r="Q20" i="4"/>
  <c r="P20" i="4"/>
  <c r="Q19" i="4"/>
  <c r="W19" i="4" s="1"/>
  <c r="P19" i="4"/>
  <c r="Q18" i="4"/>
  <c r="W18" i="4" s="1"/>
  <c r="P18" i="4"/>
  <c r="Q17" i="4"/>
  <c r="W17" i="4" s="1"/>
  <c r="P17" i="4"/>
  <c r="V17" i="4" s="1"/>
  <c r="Q16" i="4"/>
  <c r="P16" i="4"/>
  <c r="V16" i="4" s="1"/>
  <c r="Q15" i="4"/>
  <c r="P15" i="4"/>
  <c r="V15" i="4" s="1"/>
  <c r="Q14" i="4"/>
  <c r="W14" i="4" s="1"/>
  <c r="P14" i="4"/>
  <c r="V14" i="4" s="1"/>
  <c r="Q13" i="4"/>
  <c r="W13" i="4" s="1"/>
  <c r="P13" i="4"/>
  <c r="V13" i="4" s="1"/>
  <c r="Q12" i="4"/>
  <c r="P12" i="4"/>
  <c r="Q11" i="4"/>
  <c r="W11" i="4" s="1"/>
  <c r="P11" i="4"/>
  <c r="Q10" i="4"/>
  <c r="W10" i="4" s="1"/>
  <c r="P10" i="4"/>
  <c r="Q9" i="4"/>
  <c r="W9" i="4" s="1"/>
  <c r="P9" i="4"/>
  <c r="V9" i="4" s="1"/>
  <c r="Q8" i="4"/>
  <c r="P8" i="4"/>
  <c r="V8" i="4" s="1"/>
  <c r="Q7" i="4"/>
  <c r="P7" i="4"/>
  <c r="V7" i="4" s="1"/>
  <c r="Q6" i="4"/>
  <c r="W6" i="4" s="1"/>
  <c r="P6" i="4"/>
  <c r="V6" i="4" s="1"/>
  <c r="M6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Q33" i="3"/>
  <c r="Q32" i="3"/>
  <c r="Q31" i="3"/>
  <c r="Q30" i="3"/>
  <c r="Q29" i="3"/>
  <c r="Q28" i="3"/>
  <c r="Q27" i="3"/>
  <c r="Q26" i="3"/>
  <c r="Q25" i="3"/>
  <c r="Q24" i="3"/>
  <c r="S33" i="3"/>
  <c r="R33" i="3"/>
  <c r="S32" i="3"/>
  <c r="R32" i="3"/>
  <c r="S31" i="3"/>
  <c r="R31" i="3"/>
  <c r="S30" i="3"/>
  <c r="R30" i="3"/>
  <c r="S29" i="3"/>
  <c r="R29" i="3"/>
  <c r="S28" i="3"/>
  <c r="R28" i="3"/>
  <c r="S27" i="3"/>
  <c r="R27" i="3"/>
  <c r="S26" i="3"/>
  <c r="R26" i="3"/>
  <c r="S25" i="3"/>
  <c r="R25" i="3"/>
  <c r="S24" i="3"/>
  <c r="R24" i="3"/>
  <c r="R23" i="3"/>
  <c r="S23" i="3"/>
  <c r="Q23" i="3"/>
  <c r="Q22" i="3"/>
  <c r="Q21" i="3"/>
  <c r="Q20" i="3"/>
  <c r="Q19" i="3"/>
  <c r="Q18" i="3"/>
  <c r="Q16" i="3"/>
  <c r="Q15" i="3"/>
  <c r="Q14" i="3"/>
  <c r="Q13" i="3"/>
  <c r="Q12" i="3"/>
  <c r="Q11" i="3"/>
  <c r="Q10" i="3"/>
  <c r="Q9" i="3"/>
  <c r="Q8" i="3"/>
  <c r="Q7" i="3"/>
  <c r="Q6" i="3"/>
  <c r="O105" i="3"/>
  <c r="N105" i="3"/>
  <c r="O104" i="3"/>
  <c r="N104" i="3"/>
  <c r="N103" i="3"/>
  <c r="O103" i="3" s="1"/>
  <c r="N102" i="3"/>
  <c r="O102" i="3" s="1"/>
  <c r="O101" i="3"/>
  <c r="N101" i="3"/>
  <c r="O100" i="3"/>
  <c r="N100" i="3"/>
  <c r="N99" i="3"/>
  <c r="O99" i="3" s="1"/>
  <c r="N98" i="3"/>
  <c r="O98" i="3" s="1"/>
  <c r="O97" i="3"/>
  <c r="N97" i="3"/>
  <c r="O96" i="3"/>
  <c r="N96" i="3"/>
  <c r="N95" i="3"/>
  <c r="O95" i="3" s="1"/>
  <c r="N94" i="3"/>
  <c r="O94" i="3" s="1"/>
  <c r="O93" i="3"/>
  <c r="N93" i="3"/>
  <c r="O92" i="3"/>
  <c r="N92" i="3"/>
  <c r="N91" i="3"/>
  <c r="O91" i="3" s="1"/>
  <c r="N90" i="3"/>
  <c r="O90" i="3" s="1"/>
  <c r="O89" i="3"/>
  <c r="N89" i="3"/>
  <c r="O88" i="3"/>
  <c r="N88" i="3"/>
  <c r="N87" i="3"/>
  <c r="O87" i="3" s="1"/>
  <c r="N86" i="3"/>
  <c r="O86" i="3" s="1"/>
  <c r="O85" i="3"/>
  <c r="N85" i="3"/>
  <c r="O84" i="3"/>
  <c r="N84" i="3"/>
  <c r="N83" i="3"/>
  <c r="O83" i="3" s="1"/>
  <c r="N82" i="3"/>
  <c r="O82" i="3" s="1"/>
  <c r="O81" i="3"/>
  <c r="N81" i="3"/>
  <c r="O80" i="3"/>
  <c r="N80" i="3"/>
  <c r="N79" i="3"/>
  <c r="O79" i="3" s="1"/>
  <c r="N78" i="3"/>
  <c r="O78" i="3" s="1"/>
  <c r="O77" i="3"/>
  <c r="N77" i="3"/>
  <c r="O76" i="3"/>
  <c r="N76" i="3"/>
  <c r="N75" i="3"/>
  <c r="O75" i="3" s="1"/>
  <c r="N74" i="3"/>
  <c r="O74" i="3" s="1"/>
  <c r="O73" i="3"/>
  <c r="N73" i="3"/>
  <c r="O72" i="3"/>
  <c r="N72" i="3"/>
  <c r="N71" i="3"/>
  <c r="O71" i="3" s="1"/>
  <c r="N70" i="3"/>
  <c r="O70" i="3" s="1"/>
  <c r="O69" i="3"/>
  <c r="N69" i="3"/>
  <c r="O68" i="3"/>
  <c r="N68" i="3"/>
  <c r="N67" i="3"/>
  <c r="O67" i="3" s="1"/>
  <c r="N66" i="3"/>
  <c r="O66" i="3" s="1"/>
  <c r="O65" i="3"/>
  <c r="N65" i="3"/>
  <c r="O64" i="3"/>
  <c r="N64" i="3"/>
  <c r="N63" i="3"/>
  <c r="O63" i="3" s="1"/>
  <c r="N62" i="3"/>
  <c r="O62" i="3" s="1"/>
  <c r="O61" i="3"/>
  <c r="N61" i="3"/>
  <c r="O60" i="3"/>
  <c r="N60" i="3"/>
  <c r="N59" i="3"/>
  <c r="O59" i="3" s="1"/>
  <c r="N58" i="3"/>
  <c r="O58" i="3" s="1"/>
  <c r="O57" i="3"/>
  <c r="N57" i="3"/>
  <c r="O56" i="3"/>
  <c r="N56" i="3"/>
  <c r="N55" i="3"/>
  <c r="O55" i="3" s="1"/>
  <c r="N54" i="3"/>
  <c r="O54" i="3" s="1"/>
  <c r="O53" i="3"/>
  <c r="N53" i="3"/>
  <c r="O52" i="3"/>
  <c r="N52" i="3"/>
  <c r="N51" i="3"/>
  <c r="O51" i="3" s="1"/>
  <c r="N50" i="3"/>
  <c r="O50" i="3" s="1"/>
  <c r="O49" i="3"/>
  <c r="N49" i="3"/>
  <c r="O48" i="3"/>
  <c r="N48" i="3"/>
  <c r="N47" i="3"/>
  <c r="O47" i="3" s="1"/>
  <c r="N46" i="3"/>
  <c r="O46" i="3" s="1"/>
  <c r="O45" i="3"/>
  <c r="N45" i="3"/>
  <c r="O44" i="3"/>
  <c r="N44" i="3"/>
  <c r="N43" i="3"/>
  <c r="O43" i="3" s="1"/>
  <c r="N42" i="3"/>
  <c r="O42" i="3" s="1"/>
  <c r="O41" i="3"/>
  <c r="N41" i="3"/>
  <c r="O40" i="3"/>
  <c r="N40" i="3"/>
  <c r="N39" i="3"/>
  <c r="O39" i="3" s="1"/>
  <c r="N38" i="3"/>
  <c r="O38" i="3" s="1"/>
  <c r="O37" i="3"/>
  <c r="N37" i="3"/>
  <c r="O36" i="3"/>
  <c r="N36" i="3"/>
  <c r="N35" i="3"/>
  <c r="O35" i="3" s="1"/>
  <c r="N34" i="3"/>
  <c r="O34" i="3" s="1"/>
  <c r="O33" i="3"/>
  <c r="N33" i="3"/>
  <c r="O32" i="3"/>
  <c r="N32" i="3"/>
  <c r="N31" i="3"/>
  <c r="O31" i="3" s="1"/>
  <c r="N30" i="3"/>
  <c r="O30" i="3" s="1"/>
  <c r="O29" i="3"/>
  <c r="N29" i="3"/>
  <c r="O28" i="3"/>
  <c r="N28" i="3"/>
  <c r="N27" i="3"/>
  <c r="O27" i="3" s="1"/>
  <c r="N26" i="3"/>
  <c r="O26" i="3" s="1"/>
  <c r="O25" i="3"/>
  <c r="N25" i="3"/>
  <c r="O24" i="3"/>
  <c r="N24" i="3"/>
  <c r="N23" i="3"/>
  <c r="O23" i="3" s="1"/>
  <c r="N22" i="3"/>
  <c r="O22" i="3" s="1"/>
  <c r="O21" i="3"/>
  <c r="N21" i="3"/>
  <c r="O20" i="3"/>
  <c r="N20" i="3"/>
  <c r="N19" i="3"/>
  <c r="O19" i="3" s="1"/>
  <c r="N18" i="3"/>
  <c r="O18" i="3" s="1"/>
  <c r="O17" i="3"/>
  <c r="N17" i="3"/>
  <c r="O16" i="3"/>
  <c r="N16" i="3"/>
  <c r="N15" i="3"/>
  <c r="O15" i="3" s="1"/>
  <c r="N14" i="3"/>
  <c r="O14" i="3" s="1"/>
  <c r="O13" i="3"/>
  <c r="N13" i="3"/>
  <c r="O12" i="3"/>
  <c r="N12" i="3"/>
  <c r="N11" i="3"/>
  <c r="O11" i="3" s="1"/>
  <c r="N10" i="3"/>
  <c r="O10" i="3" s="1"/>
  <c r="O9" i="3"/>
  <c r="N9" i="3"/>
  <c r="O8" i="3"/>
  <c r="N8" i="3"/>
  <c r="N7" i="3"/>
  <c r="O7" i="3" s="1"/>
  <c r="N6" i="3"/>
  <c r="O6" i="3" s="1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Q17" i="3"/>
  <c r="Q105" i="3"/>
  <c r="Q97" i="3"/>
  <c r="Q89" i="3"/>
  <c r="Q81" i="3"/>
  <c r="Q73" i="3"/>
  <c r="Q65" i="3"/>
  <c r="Q57" i="3"/>
  <c r="Q49" i="3"/>
  <c r="Q41" i="3"/>
  <c r="Q51" i="3"/>
  <c r="Q104" i="3"/>
  <c r="Q96" i="3"/>
  <c r="Q88" i="3"/>
  <c r="Q80" i="3"/>
  <c r="Q72" i="3"/>
  <c r="Q64" i="3"/>
  <c r="Q56" i="3"/>
  <c r="Q48" i="3"/>
  <c r="Q40" i="3"/>
  <c r="Q67" i="3"/>
  <c r="Q103" i="3"/>
  <c r="Q95" i="3"/>
  <c r="Q87" i="3"/>
  <c r="Q79" i="3"/>
  <c r="Q71" i="3"/>
  <c r="Q63" i="3"/>
  <c r="Q55" i="3"/>
  <c r="Q47" i="3"/>
  <c r="Q39" i="3"/>
  <c r="Q75" i="3"/>
  <c r="Q35" i="3"/>
  <c r="Q102" i="3"/>
  <c r="Q94" i="3"/>
  <c r="Q86" i="3"/>
  <c r="Q78" i="3"/>
  <c r="Q70" i="3"/>
  <c r="Q62" i="3"/>
  <c r="Q54" i="3"/>
  <c r="Q46" i="3"/>
  <c r="Q38" i="3"/>
  <c r="Q83" i="3"/>
  <c r="Q101" i="3"/>
  <c r="Q93" i="3"/>
  <c r="Q85" i="3"/>
  <c r="Q77" i="3"/>
  <c r="Q69" i="3"/>
  <c r="Q61" i="3"/>
  <c r="Q53" i="3"/>
  <c r="Q45" i="3"/>
  <c r="Q37" i="3"/>
  <c r="Q91" i="3"/>
  <c r="Q100" i="3"/>
  <c r="Q92" i="3"/>
  <c r="Q84" i="3"/>
  <c r="Q76" i="3"/>
  <c r="Q68" i="3"/>
  <c r="Q60" i="3"/>
  <c r="Q52" i="3"/>
  <c r="Q44" i="3"/>
  <c r="Q36" i="3"/>
  <c r="Q99" i="3"/>
  <c r="Q98" i="3"/>
  <c r="Q90" i="3"/>
  <c r="Q82" i="3"/>
  <c r="Q74" i="3"/>
  <c r="Q66" i="3"/>
  <c r="Q58" i="3"/>
  <c r="Q50" i="3"/>
  <c r="Q42" i="3"/>
  <c r="Q59" i="3"/>
  <c r="Q43" i="3"/>
  <c r="Q34" i="3"/>
  <c r="T33" i="3"/>
  <c r="T25" i="3"/>
  <c r="T32" i="3"/>
  <c r="T24" i="3"/>
  <c r="T31" i="3"/>
  <c r="T30" i="3"/>
  <c r="T29" i="3"/>
  <c r="T28" i="3"/>
  <c r="T27" i="3"/>
  <c r="T26" i="3"/>
  <c r="T23" i="3"/>
  <c r="AA29" i="4" l="1"/>
  <c r="AB37" i="4"/>
  <c r="AB45" i="4"/>
  <c r="AA37" i="4"/>
  <c r="AA45" i="4"/>
  <c r="AB53" i="4"/>
  <c r="AA33" i="4"/>
  <c r="AA34" i="4"/>
  <c r="AB43" i="4"/>
  <c r="AA53" i="4"/>
  <c r="AA23" i="4"/>
  <c r="AB38" i="4"/>
  <c r="AB46" i="4"/>
  <c r="AB51" i="4"/>
  <c r="AA42" i="4"/>
  <c r="AA25" i="4"/>
  <c r="AA31" i="4"/>
  <c r="AB33" i="4"/>
  <c r="AA38" i="4"/>
  <c r="AA46" i="4"/>
  <c r="AA41" i="4"/>
  <c r="AA49" i="4"/>
  <c r="AA50" i="4"/>
</calcChain>
</file>

<file path=xl/sharedStrings.xml><?xml version="1.0" encoding="utf-8"?>
<sst xmlns="http://schemas.openxmlformats.org/spreadsheetml/2006/main" count="7370" uniqueCount="70">
  <si>
    <t>YR</t>
  </si>
  <si>
    <t>SEX</t>
  </si>
  <si>
    <t>AGE</t>
  </si>
  <si>
    <t>POP</t>
  </si>
  <si>
    <t>15-19</t>
  </si>
  <si>
    <t>20-24</t>
  </si>
  <si>
    <t>T25-34</t>
  </si>
  <si>
    <t>T35-44</t>
  </si>
  <si>
    <t>T45-54</t>
  </si>
  <si>
    <t>T55-64</t>
  </si>
  <si>
    <t>T65-74</t>
  </si>
  <si>
    <t>T75-84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</si>
  <si>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</si>
  <si>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</si>
  <si>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</si>
  <si>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</si>
  <si>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</si>
  <si>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</si>
  <si>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</si>
  <si>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</si>
  <si>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</si>
  <si>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</si>
  <si>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</si>
  <si>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</si>
  <si>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2</t>
  </si>
  <si>
    <t>1</t>
  </si>
  <si>
    <t>01-04</t>
  </si>
  <si>
    <t>05-09</t>
  </si>
  <si>
    <t>10-14</t>
  </si>
  <si>
    <t>&lt;1</t>
  </si>
  <si>
    <t>80+</t>
  </si>
  <si>
    <t>85+</t>
  </si>
  <si>
    <t>Field Names</t>
  </si>
  <si>
    <t>Populations data</t>
  </si>
  <si>
    <t>yr</t>
  </si>
  <si>
    <t>the year from 1901 to 2000</t>
  </si>
  <si>
    <t>sex</t>
  </si>
  <si>
    <t>the sex; 1 = Male; 2 = Female</t>
  </si>
  <si>
    <t>age</t>
  </si>
  <si>
    <t>the age-group at death - normally 5 year groups</t>
  </si>
  <si>
    <t>note: 10 year groups are preceded by the letter T</t>
  </si>
  <si>
    <t>pop</t>
  </si>
  <si>
    <t>the population</t>
  </si>
  <si>
    <t>note: for cross-tab or frequency queries this field should be summed not counted</t>
  </si>
  <si>
    <t>Grand Total</t>
  </si>
  <si>
    <t>Sum of POP</t>
  </si>
  <si>
    <t>AGE2</t>
  </si>
  <si>
    <t>Upto 19</t>
  </si>
  <si>
    <t>Over 65</t>
  </si>
  <si>
    <t>30 to 65</t>
  </si>
  <si>
    <t>20 to 30</t>
  </si>
  <si>
    <t>Female</t>
  </si>
  <si>
    <t>Female Total</t>
  </si>
  <si>
    <t>Male</t>
  </si>
  <si>
    <t>Male Total</t>
  </si>
  <si>
    <t>(All)</t>
  </si>
  <si>
    <t>Total Adult Pop</t>
  </si>
  <si>
    <t>Total</t>
  </si>
  <si>
    <t>Impact of property limitation</t>
  </si>
  <si>
    <t>% Total Pop</t>
  </si>
  <si>
    <t>% of adult male</t>
  </si>
  <si>
    <t>% of women</t>
  </si>
  <si>
    <t>est under 18</t>
  </si>
  <si>
    <t>male</t>
  </si>
  <si>
    <t>Est 20/21</t>
  </si>
  <si>
    <t>Over 21 population</t>
  </si>
  <si>
    <t>Over 18 Pop</t>
  </si>
  <si>
    <t>Extra due  to Multi votes</t>
  </si>
  <si>
    <t>% of adults</t>
  </si>
  <si>
    <t>Multi Vote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</si>
</sst>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quotePrefix="1"/>
    <xf numFmtId="16" fontId="0" fillId="0" borderId="0" xfId="0" quotePrefix="1" applyNumberFormat="1"/>
    <xf numFmtId="17" fontId="0" fillId="0" borderId="0" xfId="0" quotePrefix="1" applyNumberForma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pivotButton="1" applyBorder="1"/>
    <xf numFmtId="0" fontId="0" fillId="0" borderId="9" xfId="0" applyBorder="1"/>
    <xf numFmtId="0" fontId="0" fillId="0" borderId="1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5" xfId="0" applyNumberFormat="1" applyBorder="1"/>
    <xf numFmtId="0" fontId="0" fillId="0" borderId="0" xfId="0" applyNumberFormat="1"/>
    <xf numFmtId="0" fontId="0" fillId="0" borderId="10" xfId="0" applyNumberFormat="1" applyBorder="1"/>
    <xf numFmtId="0" fontId="0" fillId="0" borderId="6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2" xfId="0" pivotButton="1" applyBorder="1"/>
    <xf numFmtId="0" fontId="0" fillId="0" borderId="12" xfId="0" applyBorder="1"/>
    <xf numFmtId="0" fontId="0" fillId="0" borderId="0" xfId="0" applyFill="1" applyBorder="1"/>
    <xf numFmtId="0" fontId="0" fillId="0" borderId="0" xfId="0" quotePrefix="1" applyAlignment="1">
      <alignment horizontal="left"/>
    </xf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Golder" refreshedDate="45980.572730671294" createdVersion="1" refreshedVersion="8" recordCount="3642" upgradeOnRefresh="1" xr:uid="{0C45E77C-2355-4613-9D56-EE948E1E3945}">
  <cacheSource type="worksheet">
    <worksheetSource ref="A1:D3643" sheet="POPLNS"/>
  </cacheSource>
  <cacheFields count="5">
    <cacheField name="YR" numFmtId="0">
      <sharedItems containsSemiMixedTypes="0" containsString="0" containsNumber="1" containsInteger="1" minValue="1901" maxValue="2000" count="100"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</sharedItems>
    </cacheField>
    <cacheField name="SEX" numFmtId="0">
      <sharedItems count="2">
        <s v="2"/>
        <s v="1"/>
      </sharedItems>
    </cacheField>
    <cacheField name="AGE" numFmtId="0">
      <sharedItems count="26">
        <s v="&lt;1"/>
        <s v="01-04"/>
        <s v="05-09"/>
        <s v="10-14"/>
        <s v="15-19"/>
        <s v="20-24"/>
        <s v="85+"/>
        <s v="T25-34"/>
        <s v="T35-44"/>
        <s v="T45-54"/>
        <s v="T55-64"/>
        <s v="T65-74"/>
        <s v="T75-84"/>
        <s v="25-29"/>
        <s v="30-34"/>
        <s v="35-39"/>
        <s v="40-44"/>
        <s v="45-49"/>
        <s v="50-54"/>
        <s v="55-59"/>
        <s v="60-64"/>
        <s v="65-69"/>
        <s v="70-74"/>
        <s v="75-79"/>
        <s v="80-84"/>
        <s v="80+"/>
      </sharedItems>
      <fieldGroup par="4"/>
    </cacheField>
    <cacheField name="POP" numFmtId="0">
      <sharedItems containsSemiMixedTypes="0" containsString="0" containsNumber="1" containsInteger="1" minValue="18100" maxValue="3096700"/>
    </cacheField>
    <cacheField name="AGE2" numFmtId="0" databaseField="0">
      <fieldGroup base="2">
        <discretePr count="26">
          <x v="3"/>
          <x v="3"/>
          <x v="3"/>
          <x v="3"/>
          <x v="3"/>
          <x v="0"/>
          <x v="2"/>
          <x v="0"/>
          <x v="1"/>
          <x v="1"/>
          <x v="1"/>
          <x v="2"/>
          <x v="2"/>
          <x v="0"/>
          <x v="1"/>
          <x v="1"/>
          <x v="1"/>
          <x v="1"/>
          <x v="1"/>
          <x v="1"/>
          <x v="1"/>
          <x v="2"/>
          <x v="2"/>
          <x v="2"/>
          <x v="2"/>
          <x v="2"/>
        </discretePr>
        <groupItems count="4">
          <s v="Group2"/>
          <s v="Group3"/>
          <s v="Group4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2">
  <r>
    <x v="0"/>
    <x v="0"/>
    <x v="0"/>
    <n v="393100"/>
  </r>
  <r>
    <x v="0"/>
    <x v="1"/>
    <x v="0"/>
    <n v="393500"/>
  </r>
  <r>
    <x v="0"/>
    <x v="0"/>
    <x v="1"/>
    <n v="1469600"/>
  </r>
  <r>
    <x v="0"/>
    <x v="1"/>
    <x v="1"/>
    <n v="1463800"/>
  </r>
  <r>
    <x v="0"/>
    <x v="0"/>
    <x v="2"/>
    <n v="1750700"/>
  </r>
  <r>
    <x v="0"/>
    <x v="1"/>
    <x v="2"/>
    <n v="1741600"/>
  </r>
  <r>
    <x v="0"/>
    <x v="0"/>
    <x v="3"/>
    <n v="1672700"/>
  </r>
  <r>
    <x v="0"/>
    <x v="1"/>
    <x v="3"/>
    <n v="1672800"/>
  </r>
  <r>
    <x v="0"/>
    <x v="0"/>
    <x v="4"/>
    <n v="1639600"/>
  </r>
  <r>
    <x v="0"/>
    <x v="1"/>
    <x v="4"/>
    <n v="1608600"/>
  </r>
  <r>
    <x v="0"/>
    <x v="0"/>
    <x v="5"/>
    <n v="1648900"/>
  </r>
  <r>
    <x v="0"/>
    <x v="1"/>
    <x v="5"/>
    <n v="1473400"/>
  </r>
  <r>
    <x v="0"/>
    <x v="0"/>
    <x v="6"/>
    <n v="30800"/>
  </r>
  <r>
    <x v="0"/>
    <x v="1"/>
    <x v="6"/>
    <n v="18100"/>
  </r>
  <r>
    <x v="0"/>
    <x v="0"/>
    <x v="7"/>
    <n v="2778300"/>
  </r>
  <r>
    <x v="0"/>
    <x v="1"/>
    <x v="7"/>
    <n v="2494200"/>
  </r>
  <r>
    <x v="0"/>
    <x v="0"/>
    <x v="8"/>
    <n v="2074600"/>
  </r>
  <r>
    <x v="0"/>
    <x v="1"/>
    <x v="8"/>
    <n v="1941600"/>
  </r>
  <r>
    <x v="0"/>
    <x v="0"/>
    <x v="9"/>
    <n v="1513800"/>
  </r>
  <r>
    <x v="0"/>
    <x v="1"/>
    <x v="9"/>
    <n v="1403300"/>
  </r>
  <r>
    <x v="0"/>
    <x v="0"/>
    <x v="10"/>
    <n v="1039500"/>
  </r>
  <r>
    <x v="0"/>
    <x v="1"/>
    <x v="10"/>
    <n v="912200"/>
  </r>
  <r>
    <x v="0"/>
    <x v="0"/>
    <x v="11"/>
    <n v="601900"/>
  </r>
  <r>
    <x v="0"/>
    <x v="1"/>
    <x v="11"/>
    <n v="480800"/>
  </r>
  <r>
    <x v="0"/>
    <x v="0"/>
    <x v="12"/>
    <n v="229000"/>
  </r>
  <r>
    <x v="0"/>
    <x v="1"/>
    <x v="12"/>
    <n v="165700"/>
  </r>
  <r>
    <x v="1"/>
    <x v="0"/>
    <x v="0"/>
    <n v="400200"/>
  </r>
  <r>
    <x v="1"/>
    <x v="1"/>
    <x v="0"/>
    <n v="402100"/>
  </r>
  <r>
    <x v="1"/>
    <x v="0"/>
    <x v="1"/>
    <n v="1467900"/>
  </r>
  <r>
    <x v="1"/>
    <x v="1"/>
    <x v="1"/>
    <n v="1462900"/>
  </r>
  <r>
    <x v="1"/>
    <x v="0"/>
    <x v="2"/>
    <n v="1760400"/>
  </r>
  <r>
    <x v="1"/>
    <x v="1"/>
    <x v="2"/>
    <n v="1751900"/>
  </r>
  <r>
    <x v="1"/>
    <x v="0"/>
    <x v="3"/>
    <n v="1680500"/>
  </r>
  <r>
    <x v="1"/>
    <x v="1"/>
    <x v="3"/>
    <n v="1680100"/>
  </r>
  <r>
    <x v="1"/>
    <x v="0"/>
    <x v="4"/>
    <n v="1643800"/>
  </r>
  <r>
    <x v="1"/>
    <x v="1"/>
    <x v="4"/>
    <n v="1613200"/>
  </r>
  <r>
    <x v="1"/>
    <x v="0"/>
    <x v="5"/>
    <n v="1651200"/>
  </r>
  <r>
    <x v="1"/>
    <x v="1"/>
    <x v="5"/>
    <n v="1476200"/>
  </r>
  <r>
    <x v="1"/>
    <x v="0"/>
    <x v="6"/>
    <n v="31800"/>
  </r>
  <r>
    <x v="1"/>
    <x v="1"/>
    <x v="6"/>
    <n v="18500"/>
  </r>
  <r>
    <x v="1"/>
    <x v="0"/>
    <x v="7"/>
    <n v="2812200"/>
  </r>
  <r>
    <x v="1"/>
    <x v="1"/>
    <x v="7"/>
    <n v="2527200"/>
  </r>
  <r>
    <x v="1"/>
    <x v="0"/>
    <x v="8"/>
    <n v="2117200"/>
  </r>
  <r>
    <x v="1"/>
    <x v="1"/>
    <x v="8"/>
    <n v="1980300"/>
  </r>
  <r>
    <x v="1"/>
    <x v="0"/>
    <x v="9"/>
    <n v="1545100"/>
  </r>
  <r>
    <x v="1"/>
    <x v="1"/>
    <x v="9"/>
    <n v="1431800"/>
  </r>
  <r>
    <x v="1"/>
    <x v="0"/>
    <x v="10"/>
    <n v="1056600"/>
  </r>
  <r>
    <x v="1"/>
    <x v="1"/>
    <x v="10"/>
    <n v="929100"/>
  </r>
  <r>
    <x v="1"/>
    <x v="0"/>
    <x v="11"/>
    <n v="617200"/>
  </r>
  <r>
    <x v="1"/>
    <x v="1"/>
    <x v="11"/>
    <n v="492800"/>
  </r>
  <r>
    <x v="1"/>
    <x v="0"/>
    <x v="12"/>
    <n v="233100"/>
  </r>
  <r>
    <x v="1"/>
    <x v="1"/>
    <x v="12"/>
    <n v="167500"/>
  </r>
  <r>
    <x v="2"/>
    <x v="0"/>
    <x v="0"/>
    <n v="408900"/>
  </r>
  <r>
    <x v="2"/>
    <x v="1"/>
    <x v="0"/>
    <n v="410700"/>
  </r>
  <r>
    <x v="2"/>
    <x v="0"/>
    <x v="1"/>
    <n v="1464800"/>
  </r>
  <r>
    <x v="2"/>
    <x v="1"/>
    <x v="1"/>
    <n v="1462200"/>
  </r>
  <r>
    <x v="2"/>
    <x v="0"/>
    <x v="2"/>
    <n v="1770200"/>
  </r>
  <r>
    <x v="2"/>
    <x v="1"/>
    <x v="2"/>
    <n v="1762400"/>
  </r>
  <r>
    <x v="2"/>
    <x v="0"/>
    <x v="3"/>
    <n v="1688300"/>
  </r>
  <r>
    <x v="2"/>
    <x v="1"/>
    <x v="3"/>
    <n v="1687500"/>
  </r>
  <r>
    <x v="2"/>
    <x v="0"/>
    <x v="4"/>
    <n v="1647900"/>
  </r>
  <r>
    <x v="2"/>
    <x v="1"/>
    <x v="4"/>
    <n v="1617800"/>
  </r>
  <r>
    <x v="2"/>
    <x v="0"/>
    <x v="5"/>
    <n v="1653600"/>
  </r>
  <r>
    <x v="2"/>
    <x v="1"/>
    <x v="5"/>
    <n v="1479100"/>
  </r>
  <r>
    <x v="2"/>
    <x v="0"/>
    <x v="6"/>
    <n v="32900"/>
  </r>
  <r>
    <x v="2"/>
    <x v="1"/>
    <x v="6"/>
    <n v="19000"/>
  </r>
  <r>
    <x v="2"/>
    <x v="0"/>
    <x v="7"/>
    <n v="2846500"/>
  </r>
  <r>
    <x v="2"/>
    <x v="1"/>
    <x v="7"/>
    <n v="2560700"/>
  </r>
  <r>
    <x v="2"/>
    <x v="0"/>
    <x v="8"/>
    <n v="2160300"/>
  </r>
  <r>
    <x v="2"/>
    <x v="1"/>
    <x v="8"/>
    <n v="2019400"/>
  </r>
  <r>
    <x v="2"/>
    <x v="0"/>
    <x v="9"/>
    <n v="1576800"/>
  </r>
  <r>
    <x v="2"/>
    <x v="1"/>
    <x v="9"/>
    <n v="1460600"/>
  </r>
  <r>
    <x v="2"/>
    <x v="0"/>
    <x v="10"/>
    <n v="1073700"/>
  </r>
  <r>
    <x v="2"/>
    <x v="1"/>
    <x v="10"/>
    <n v="946200"/>
  </r>
  <r>
    <x v="2"/>
    <x v="0"/>
    <x v="11"/>
    <n v="632600"/>
  </r>
  <r>
    <x v="2"/>
    <x v="1"/>
    <x v="11"/>
    <n v="504900"/>
  </r>
  <r>
    <x v="2"/>
    <x v="0"/>
    <x v="12"/>
    <n v="237100"/>
  </r>
  <r>
    <x v="2"/>
    <x v="1"/>
    <x v="12"/>
    <n v="169300"/>
  </r>
  <r>
    <x v="3"/>
    <x v="0"/>
    <x v="0"/>
    <n v="407100"/>
  </r>
  <r>
    <x v="3"/>
    <x v="1"/>
    <x v="0"/>
    <n v="408700"/>
  </r>
  <r>
    <x v="3"/>
    <x v="0"/>
    <x v="1"/>
    <n v="1477300"/>
  </r>
  <r>
    <x v="3"/>
    <x v="1"/>
    <x v="1"/>
    <n v="1477100"/>
  </r>
  <r>
    <x v="3"/>
    <x v="0"/>
    <x v="2"/>
    <n v="1784900"/>
  </r>
  <r>
    <x v="3"/>
    <x v="1"/>
    <x v="2"/>
    <n v="1777800"/>
  </r>
  <r>
    <x v="3"/>
    <x v="0"/>
    <x v="3"/>
    <n v="1700900"/>
  </r>
  <r>
    <x v="3"/>
    <x v="1"/>
    <x v="3"/>
    <n v="1699700"/>
  </r>
  <r>
    <x v="3"/>
    <x v="0"/>
    <x v="4"/>
    <n v="1656700"/>
  </r>
  <r>
    <x v="3"/>
    <x v="1"/>
    <x v="4"/>
    <n v="1626800"/>
  </r>
  <r>
    <x v="3"/>
    <x v="0"/>
    <x v="5"/>
    <n v="1660600"/>
  </r>
  <r>
    <x v="3"/>
    <x v="1"/>
    <x v="5"/>
    <n v="1486100"/>
  </r>
  <r>
    <x v="3"/>
    <x v="0"/>
    <x v="6"/>
    <n v="34000"/>
  </r>
  <r>
    <x v="3"/>
    <x v="1"/>
    <x v="6"/>
    <n v="19500"/>
  </r>
  <r>
    <x v="3"/>
    <x v="0"/>
    <x v="7"/>
    <n v="2889100"/>
  </r>
  <r>
    <x v="3"/>
    <x v="1"/>
    <x v="7"/>
    <n v="2601500"/>
  </r>
  <r>
    <x v="3"/>
    <x v="0"/>
    <x v="8"/>
    <n v="2209800"/>
  </r>
  <r>
    <x v="3"/>
    <x v="1"/>
    <x v="8"/>
    <n v="2064500"/>
  </r>
  <r>
    <x v="3"/>
    <x v="0"/>
    <x v="9"/>
    <n v="1613300"/>
  </r>
  <r>
    <x v="3"/>
    <x v="1"/>
    <x v="9"/>
    <n v="1493800"/>
  </r>
  <r>
    <x v="3"/>
    <x v="0"/>
    <x v="10"/>
    <n v="1094100"/>
  </r>
  <r>
    <x v="3"/>
    <x v="1"/>
    <x v="10"/>
    <n v="966200"/>
  </r>
  <r>
    <x v="3"/>
    <x v="0"/>
    <x v="11"/>
    <n v="649900"/>
  </r>
  <r>
    <x v="3"/>
    <x v="1"/>
    <x v="11"/>
    <n v="518500"/>
  </r>
  <r>
    <x v="3"/>
    <x v="0"/>
    <x v="12"/>
    <n v="241900"/>
  </r>
  <r>
    <x v="3"/>
    <x v="1"/>
    <x v="12"/>
    <n v="171500"/>
  </r>
  <r>
    <x v="4"/>
    <x v="0"/>
    <x v="0"/>
    <n v="403600"/>
  </r>
  <r>
    <x v="4"/>
    <x v="1"/>
    <x v="0"/>
    <n v="405500"/>
  </r>
  <r>
    <x v="4"/>
    <x v="0"/>
    <x v="1"/>
    <n v="1481300"/>
  </r>
  <r>
    <x v="4"/>
    <x v="1"/>
    <x v="1"/>
    <n v="1483100"/>
  </r>
  <r>
    <x v="4"/>
    <x v="0"/>
    <x v="2"/>
    <n v="1790000"/>
  </r>
  <r>
    <x v="4"/>
    <x v="1"/>
    <x v="2"/>
    <n v="1783700"/>
  </r>
  <r>
    <x v="4"/>
    <x v="0"/>
    <x v="3"/>
    <n v="1704300"/>
  </r>
  <r>
    <x v="4"/>
    <x v="1"/>
    <x v="3"/>
    <n v="1702600"/>
  </r>
  <r>
    <x v="4"/>
    <x v="0"/>
    <x v="4"/>
    <n v="1656400"/>
  </r>
  <r>
    <x v="4"/>
    <x v="1"/>
    <x v="4"/>
    <n v="1627100"/>
  </r>
  <r>
    <x v="4"/>
    <x v="0"/>
    <x v="5"/>
    <n v="1658500"/>
  </r>
  <r>
    <x v="4"/>
    <x v="1"/>
    <x v="5"/>
    <n v="1485000"/>
  </r>
  <r>
    <x v="4"/>
    <x v="0"/>
    <x v="6"/>
    <n v="35000"/>
  </r>
  <r>
    <x v="4"/>
    <x v="1"/>
    <x v="6"/>
    <n v="19900"/>
  </r>
  <r>
    <x v="4"/>
    <x v="0"/>
    <x v="7"/>
    <n v="2916200"/>
  </r>
  <r>
    <x v="4"/>
    <x v="1"/>
    <x v="7"/>
    <n v="2628500"/>
  </r>
  <r>
    <x v="4"/>
    <x v="0"/>
    <x v="8"/>
    <n v="2247700"/>
  </r>
  <r>
    <x v="4"/>
    <x v="1"/>
    <x v="8"/>
    <n v="2098800"/>
  </r>
  <r>
    <x v="4"/>
    <x v="0"/>
    <x v="9"/>
    <n v="1641200"/>
  </r>
  <r>
    <x v="4"/>
    <x v="1"/>
    <x v="9"/>
    <n v="1519200"/>
  </r>
  <r>
    <x v="4"/>
    <x v="0"/>
    <x v="10"/>
    <n v="1108700"/>
  </r>
  <r>
    <x v="4"/>
    <x v="1"/>
    <x v="10"/>
    <n v="981000"/>
  </r>
  <r>
    <x v="4"/>
    <x v="0"/>
    <x v="11"/>
    <n v="663900"/>
  </r>
  <r>
    <x v="4"/>
    <x v="1"/>
    <x v="11"/>
    <n v="529400"/>
  </r>
  <r>
    <x v="4"/>
    <x v="0"/>
    <x v="12"/>
    <n v="245400"/>
  </r>
  <r>
    <x v="4"/>
    <x v="1"/>
    <x v="12"/>
    <n v="172900"/>
  </r>
  <r>
    <x v="5"/>
    <x v="0"/>
    <x v="0"/>
    <n v="403700"/>
  </r>
  <r>
    <x v="5"/>
    <x v="1"/>
    <x v="0"/>
    <n v="407000"/>
  </r>
  <r>
    <x v="5"/>
    <x v="0"/>
    <x v="1"/>
    <n v="1486800"/>
  </r>
  <r>
    <x v="5"/>
    <x v="1"/>
    <x v="1"/>
    <n v="1489700"/>
  </r>
  <r>
    <x v="5"/>
    <x v="0"/>
    <x v="2"/>
    <n v="1800100"/>
  </r>
  <r>
    <x v="5"/>
    <x v="1"/>
    <x v="2"/>
    <n v="1794500"/>
  </r>
  <r>
    <x v="5"/>
    <x v="0"/>
    <x v="3"/>
    <n v="1712400"/>
  </r>
  <r>
    <x v="5"/>
    <x v="1"/>
    <x v="3"/>
    <n v="1710200"/>
  </r>
  <r>
    <x v="5"/>
    <x v="0"/>
    <x v="4"/>
    <n v="1660700"/>
  </r>
  <r>
    <x v="5"/>
    <x v="1"/>
    <x v="4"/>
    <n v="1631800"/>
  </r>
  <r>
    <x v="5"/>
    <x v="0"/>
    <x v="5"/>
    <n v="1661000"/>
  </r>
  <r>
    <x v="5"/>
    <x v="1"/>
    <x v="5"/>
    <n v="1488000"/>
  </r>
  <r>
    <x v="5"/>
    <x v="0"/>
    <x v="6"/>
    <n v="36100"/>
  </r>
  <r>
    <x v="5"/>
    <x v="1"/>
    <x v="6"/>
    <n v="20400"/>
  </r>
  <r>
    <x v="5"/>
    <x v="0"/>
    <x v="7"/>
    <n v="2951500"/>
  </r>
  <r>
    <x v="5"/>
    <x v="1"/>
    <x v="7"/>
    <n v="2663000"/>
  </r>
  <r>
    <x v="5"/>
    <x v="0"/>
    <x v="8"/>
    <n v="2292100"/>
  </r>
  <r>
    <x v="5"/>
    <x v="1"/>
    <x v="8"/>
    <n v="2139100"/>
  </r>
  <r>
    <x v="5"/>
    <x v="0"/>
    <x v="9"/>
    <n v="1673900"/>
  </r>
  <r>
    <x v="5"/>
    <x v="1"/>
    <x v="9"/>
    <n v="1548900"/>
  </r>
  <r>
    <x v="5"/>
    <x v="0"/>
    <x v="10"/>
    <n v="1126400"/>
  </r>
  <r>
    <x v="5"/>
    <x v="1"/>
    <x v="10"/>
    <n v="998700"/>
  </r>
  <r>
    <x v="5"/>
    <x v="0"/>
    <x v="11"/>
    <n v="679800"/>
  </r>
  <r>
    <x v="5"/>
    <x v="1"/>
    <x v="11"/>
    <n v="541800"/>
  </r>
  <r>
    <x v="5"/>
    <x v="0"/>
    <x v="12"/>
    <n v="249600"/>
  </r>
  <r>
    <x v="5"/>
    <x v="1"/>
    <x v="12"/>
    <n v="174800"/>
  </r>
  <r>
    <x v="6"/>
    <x v="0"/>
    <x v="0"/>
    <n v="403300"/>
  </r>
  <r>
    <x v="6"/>
    <x v="1"/>
    <x v="0"/>
    <n v="407300"/>
  </r>
  <r>
    <x v="6"/>
    <x v="0"/>
    <x v="1"/>
    <n v="1492900"/>
  </r>
  <r>
    <x v="6"/>
    <x v="1"/>
    <x v="1"/>
    <n v="1497500"/>
  </r>
  <r>
    <x v="6"/>
    <x v="0"/>
    <x v="2"/>
    <n v="1810300"/>
  </r>
  <r>
    <x v="6"/>
    <x v="1"/>
    <x v="2"/>
    <n v="1805400"/>
  </r>
  <r>
    <x v="6"/>
    <x v="0"/>
    <x v="3"/>
    <n v="1720600"/>
  </r>
  <r>
    <x v="6"/>
    <x v="1"/>
    <x v="3"/>
    <n v="1718000"/>
  </r>
  <r>
    <x v="6"/>
    <x v="0"/>
    <x v="4"/>
    <n v="1665000"/>
  </r>
  <r>
    <x v="6"/>
    <x v="1"/>
    <x v="4"/>
    <n v="1636600"/>
  </r>
  <r>
    <x v="6"/>
    <x v="0"/>
    <x v="5"/>
    <n v="1663500"/>
  </r>
  <r>
    <x v="6"/>
    <x v="1"/>
    <x v="5"/>
    <n v="1491000"/>
  </r>
  <r>
    <x v="6"/>
    <x v="0"/>
    <x v="6"/>
    <n v="37100"/>
  </r>
  <r>
    <x v="6"/>
    <x v="1"/>
    <x v="6"/>
    <n v="20900"/>
  </r>
  <r>
    <x v="6"/>
    <x v="0"/>
    <x v="7"/>
    <n v="2987300"/>
  </r>
  <r>
    <x v="6"/>
    <x v="1"/>
    <x v="7"/>
    <n v="2697800"/>
  </r>
  <r>
    <x v="6"/>
    <x v="0"/>
    <x v="8"/>
    <n v="2337000"/>
  </r>
  <r>
    <x v="6"/>
    <x v="1"/>
    <x v="8"/>
    <n v="2179900"/>
  </r>
  <r>
    <x v="6"/>
    <x v="0"/>
    <x v="9"/>
    <n v="1707000"/>
  </r>
  <r>
    <x v="6"/>
    <x v="1"/>
    <x v="9"/>
    <n v="1578900"/>
  </r>
  <r>
    <x v="6"/>
    <x v="0"/>
    <x v="10"/>
    <n v="1144300"/>
  </r>
  <r>
    <x v="6"/>
    <x v="1"/>
    <x v="10"/>
    <n v="1016500"/>
  </r>
  <r>
    <x v="6"/>
    <x v="0"/>
    <x v="11"/>
    <n v="695900"/>
  </r>
  <r>
    <x v="6"/>
    <x v="1"/>
    <x v="11"/>
    <n v="554400"/>
  </r>
  <r>
    <x v="6"/>
    <x v="0"/>
    <x v="12"/>
    <n v="253900"/>
  </r>
  <r>
    <x v="6"/>
    <x v="1"/>
    <x v="12"/>
    <n v="176700"/>
  </r>
  <r>
    <x v="7"/>
    <x v="0"/>
    <x v="0"/>
    <n v="407800"/>
  </r>
  <r>
    <x v="7"/>
    <x v="1"/>
    <x v="0"/>
    <n v="410800"/>
  </r>
  <r>
    <x v="7"/>
    <x v="0"/>
    <x v="1"/>
    <n v="1499400"/>
  </r>
  <r>
    <x v="7"/>
    <x v="1"/>
    <x v="1"/>
    <n v="1507500"/>
  </r>
  <r>
    <x v="7"/>
    <x v="0"/>
    <x v="2"/>
    <n v="1825600"/>
  </r>
  <r>
    <x v="7"/>
    <x v="1"/>
    <x v="2"/>
    <n v="1821400"/>
  </r>
  <r>
    <x v="7"/>
    <x v="0"/>
    <x v="3"/>
    <n v="1733600"/>
  </r>
  <r>
    <x v="7"/>
    <x v="1"/>
    <x v="3"/>
    <n v="1730500"/>
  </r>
  <r>
    <x v="7"/>
    <x v="0"/>
    <x v="4"/>
    <n v="1674000"/>
  </r>
  <r>
    <x v="7"/>
    <x v="1"/>
    <x v="4"/>
    <n v="1645900"/>
  </r>
  <r>
    <x v="7"/>
    <x v="0"/>
    <x v="5"/>
    <n v="1670600"/>
  </r>
  <r>
    <x v="7"/>
    <x v="1"/>
    <x v="5"/>
    <n v="1498200"/>
  </r>
  <r>
    <x v="7"/>
    <x v="0"/>
    <x v="6"/>
    <n v="38300"/>
  </r>
  <r>
    <x v="7"/>
    <x v="1"/>
    <x v="6"/>
    <n v="21400"/>
  </r>
  <r>
    <x v="7"/>
    <x v="0"/>
    <x v="7"/>
    <n v="3031600"/>
  </r>
  <r>
    <x v="7"/>
    <x v="1"/>
    <x v="7"/>
    <n v="2740500"/>
  </r>
  <r>
    <x v="7"/>
    <x v="0"/>
    <x v="8"/>
    <n v="2388800"/>
  </r>
  <r>
    <x v="7"/>
    <x v="1"/>
    <x v="8"/>
    <n v="2227100"/>
  </r>
  <r>
    <x v="7"/>
    <x v="0"/>
    <x v="9"/>
    <n v="1745100"/>
  </r>
  <r>
    <x v="7"/>
    <x v="1"/>
    <x v="9"/>
    <n v="1613700"/>
  </r>
  <r>
    <x v="7"/>
    <x v="0"/>
    <x v="10"/>
    <n v="1165600"/>
  </r>
  <r>
    <x v="7"/>
    <x v="1"/>
    <x v="10"/>
    <n v="1037400"/>
  </r>
  <r>
    <x v="7"/>
    <x v="0"/>
    <x v="11"/>
    <n v="714000"/>
  </r>
  <r>
    <x v="7"/>
    <x v="1"/>
    <x v="11"/>
    <n v="568700"/>
  </r>
  <r>
    <x v="7"/>
    <x v="0"/>
    <x v="12"/>
    <n v="258900"/>
  </r>
  <r>
    <x v="7"/>
    <x v="1"/>
    <x v="12"/>
    <n v="179000"/>
  </r>
  <r>
    <x v="8"/>
    <x v="0"/>
    <x v="0"/>
    <n v="408500"/>
  </r>
  <r>
    <x v="8"/>
    <x v="1"/>
    <x v="0"/>
    <n v="412600"/>
  </r>
  <r>
    <x v="8"/>
    <x v="0"/>
    <x v="1"/>
    <n v="1499400"/>
  </r>
  <r>
    <x v="8"/>
    <x v="1"/>
    <x v="1"/>
    <n v="1508700"/>
  </r>
  <r>
    <x v="8"/>
    <x v="0"/>
    <x v="2"/>
    <n v="1831000"/>
  </r>
  <r>
    <x v="8"/>
    <x v="1"/>
    <x v="2"/>
    <n v="1827500"/>
  </r>
  <r>
    <x v="8"/>
    <x v="0"/>
    <x v="3"/>
    <n v="1737200"/>
  </r>
  <r>
    <x v="8"/>
    <x v="1"/>
    <x v="3"/>
    <n v="1733600"/>
  </r>
  <r>
    <x v="8"/>
    <x v="0"/>
    <x v="4"/>
    <n v="1673900"/>
  </r>
  <r>
    <x v="8"/>
    <x v="1"/>
    <x v="4"/>
    <n v="1646200"/>
  </r>
  <r>
    <x v="8"/>
    <x v="0"/>
    <x v="5"/>
    <n v="1668500"/>
  </r>
  <r>
    <x v="8"/>
    <x v="1"/>
    <x v="5"/>
    <n v="1497200"/>
  </r>
  <r>
    <x v="8"/>
    <x v="0"/>
    <x v="6"/>
    <n v="39300"/>
  </r>
  <r>
    <x v="8"/>
    <x v="1"/>
    <x v="6"/>
    <n v="21900"/>
  </r>
  <r>
    <x v="8"/>
    <x v="0"/>
    <x v="7"/>
    <n v="3059800"/>
  </r>
  <r>
    <x v="8"/>
    <x v="1"/>
    <x v="7"/>
    <n v="2768500"/>
  </r>
  <r>
    <x v="8"/>
    <x v="0"/>
    <x v="8"/>
    <n v="2428100"/>
  </r>
  <r>
    <x v="8"/>
    <x v="1"/>
    <x v="8"/>
    <n v="2262700"/>
  </r>
  <r>
    <x v="8"/>
    <x v="0"/>
    <x v="9"/>
    <n v="1774100"/>
  </r>
  <r>
    <x v="8"/>
    <x v="1"/>
    <x v="9"/>
    <n v="1639900"/>
  </r>
  <r>
    <x v="8"/>
    <x v="0"/>
    <x v="10"/>
    <n v="1180800"/>
  </r>
  <r>
    <x v="8"/>
    <x v="1"/>
    <x v="10"/>
    <n v="1052800"/>
  </r>
  <r>
    <x v="8"/>
    <x v="0"/>
    <x v="11"/>
    <n v="728500"/>
  </r>
  <r>
    <x v="8"/>
    <x v="1"/>
    <x v="11"/>
    <n v="580000"/>
  </r>
  <r>
    <x v="8"/>
    <x v="0"/>
    <x v="12"/>
    <n v="262500"/>
  </r>
  <r>
    <x v="8"/>
    <x v="1"/>
    <x v="12"/>
    <n v="180500"/>
  </r>
  <r>
    <x v="9"/>
    <x v="0"/>
    <x v="0"/>
    <n v="401400"/>
  </r>
  <r>
    <x v="9"/>
    <x v="1"/>
    <x v="0"/>
    <n v="407300"/>
  </r>
  <r>
    <x v="9"/>
    <x v="0"/>
    <x v="1"/>
    <n v="1512400"/>
  </r>
  <r>
    <x v="9"/>
    <x v="1"/>
    <x v="1"/>
    <n v="1522500"/>
  </r>
  <r>
    <x v="9"/>
    <x v="0"/>
    <x v="2"/>
    <n v="1841500"/>
  </r>
  <r>
    <x v="9"/>
    <x v="1"/>
    <x v="2"/>
    <n v="1838800"/>
  </r>
  <r>
    <x v="9"/>
    <x v="0"/>
    <x v="3"/>
    <n v="1745700"/>
  </r>
  <r>
    <x v="9"/>
    <x v="1"/>
    <x v="3"/>
    <n v="1741600"/>
  </r>
  <r>
    <x v="9"/>
    <x v="0"/>
    <x v="4"/>
    <n v="1678300"/>
  </r>
  <r>
    <x v="9"/>
    <x v="1"/>
    <x v="4"/>
    <n v="1651200"/>
  </r>
  <r>
    <x v="9"/>
    <x v="0"/>
    <x v="5"/>
    <n v="1671100"/>
  </r>
  <r>
    <x v="9"/>
    <x v="1"/>
    <x v="5"/>
    <n v="1500300"/>
  </r>
  <r>
    <x v="9"/>
    <x v="0"/>
    <x v="6"/>
    <n v="40500"/>
  </r>
  <r>
    <x v="9"/>
    <x v="1"/>
    <x v="6"/>
    <n v="22400"/>
  </r>
  <r>
    <x v="9"/>
    <x v="0"/>
    <x v="7"/>
    <n v="3096700"/>
  </r>
  <r>
    <x v="9"/>
    <x v="1"/>
    <x v="7"/>
    <n v="2804500"/>
  </r>
  <r>
    <x v="9"/>
    <x v="0"/>
    <x v="8"/>
    <n v="2474400"/>
  </r>
  <r>
    <x v="9"/>
    <x v="1"/>
    <x v="8"/>
    <n v="2304700"/>
  </r>
  <r>
    <x v="9"/>
    <x v="0"/>
    <x v="9"/>
    <n v="1808100"/>
  </r>
  <r>
    <x v="9"/>
    <x v="1"/>
    <x v="9"/>
    <n v="1670900"/>
  </r>
  <r>
    <x v="9"/>
    <x v="0"/>
    <x v="10"/>
    <n v="1199200"/>
  </r>
  <r>
    <x v="9"/>
    <x v="1"/>
    <x v="10"/>
    <n v="1071200"/>
  </r>
  <r>
    <x v="9"/>
    <x v="0"/>
    <x v="11"/>
    <n v="745100"/>
  </r>
  <r>
    <x v="9"/>
    <x v="1"/>
    <x v="11"/>
    <n v="592900"/>
  </r>
  <r>
    <x v="9"/>
    <x v="0"/>
    <x v="12"/>
    <n v="266900"/>
  </r>
  <r>
    <x v="9"/>
    <x v="1"/>
    <x v="12"/>
    <n v="182400"/>
  </r>
  <r>
    <x v="10"/>
    <x v="0"/>
    <x v="0"/>
    <n v="407000"/>
  </r>
  <r>
    <x v="10"/>
    <x v="1"/>
    <x v="0"/>
    <n v="415000"/>
  </r>
  <r>
    <x v="10"/>
    <x v="0"/>
    <x v="1"/>
    <n v="1549000"/>
  </r>
  <r>
    <x v="10"/>
    <x v="1"/>
    <x v="1"/>
    <n v="1554000"/>
  </r>
  <r>
    <x v="10"/>
    <x v="0"/>
    <x v="2"/>
    <n v="1850000"/>
  </r>
  <r>
    <x v="10"/>
    <x v="1"/>
    <x v="2"/>
    <n v="1848000"/>
  </r>
  <r>
    <x v="10"/>
    <x v="0"/>
    <x v="3"/>
    <n v="1753000"/>
  </r>
  <r>
    <x v="10"/>
    <x v="1"/>
    <x v="3"/>
    <n v="1739000"/>
  </r>
  <r>
    <x v="10"/>
    <x v="0"/>
    <x v="4"/>
    <n v="1683000"/>
  </r>
  <r>
    <x v="10"/>
    <x v="1"/>
    <x v="4"/>
    <n v="1646000"/>
  </r>
  <r>
    <x v="10"/>
    <x v="0"/>
    <x v="5"/>
    <n v="1644000"/>
  </r>
  <r>
    <x v="10"/>
    <x v="1"/>
    <x v="5"/>
    <n v="1510000"/>
  </r>
  <r>
    <x v="10"/>
    <x v="0"/>
    <x v="13"/>
    <n v="1603000"/>
  </r>
  <r>
    <x v="10"/>
    <x v="1"/>
    <x v="13"/>
    <n v="1441000"/>
  </r>
  <r>
    <x v="10"/>
    <x v="0"/>
    <x v="14"/>
    <n v="1507000"/>
  </r>
  <r>
    <x v="10"/>
    <x v="1"/>
    <x v="14"/>
    <n v="1382000"/>
  </r>
  <r>
    <x v="10"/>
    <x v="0"/>
    <x v="15"/>
    <n v="1352000"/>
  </r>
  <r>
    <x v="10"/>
    <x v="1"/>
    <x v="15"/>
    <n v="1260000"/>
  </r>
  <r>
    <x v="10"/>
    <x v="0"/>
    <x v="16"/>
    <n v="1177000"/>
  </r>
  <r>
    <x v="10"/>
    <x v="1"/>
    <x v="16"/>
    <n v="1094000"/>
  </r>
  <r>
    <x v="10"/>
    <x v="0"/>
    <x v="17"/>
    <n v="985000"/>
  </r>
  <r>
    <x v="10"/>
    <x v="1"/>
    <x v="17"/>
    <n v="906000"/>
  </r>
  <r>
    <x v="10"/>
    <x v="0"/>
    <x v="18"/>
    <n v="846000"/>
  </r>
  <r>
    <x v="10"/>
    <x v="1"/>
    <x v="18"/>
    <n v="773000"/>
  </r>
  <r>
    <x v="10"/>
    <x v="0"/>
    <x v="19"/>
    <n v="675000"/>
  </r>
  <r>
    <x v="10"/>
    <x v="1"/>
    <x v="19"/>
    <n v="607000"/>
  </r>
  <r>
    <x v="10"/>
    <x v="0"/>
    <x v="20"/>
    <n v="548000"/>
  </r>
  <r>
    <x v="10"/>
    <x v="1"/>
    <x v="20"/>
    <n v="481000"/>
  </r>
  <r>
    <x v="10"/>
    <x v="0"/>
    <x v="21"/>
    <n v="441000"/>
  </r>
  <r>
    <x v="10"/>
    <x v="1"/>
    <x v="21"/>
    <n v="368000"/>
  </r>
  <r>
    <x v="10"/>
    <x v="0"/>
    <x v="22"/>
    <n v="324000"/>
  </r>
  <r>
    <x v="10"/>
    <x v="1"/>
    <x v="22"/>
    <n v="246000"/>
  </r>
  <r>
    <x v="10"/>
    <x v="0"/>
    <x v="23"/>
    <n v="188000"/>
  </r>
  <r>
    <x v="10"/>
    <x v="1"/>
    <x v="23"/>
    <n v="127000"/>
  </r>
  <r>
    <x v="10"/>
    <x v="0"/>
    <x v="24"/>
    <n v="86000"/>
  </r>
  <r>
    <x v="10"/>
    <x v="1"/>
    <x v="24"/>
    <n v="56000"/>
  </r>
  <r>
    <x v="10"/>
    <x v="0"/>
    <x v="6"/>
    <n v="42000"/>
  </r>
  <r>
    <x v="10"/>
    <x v="1"/>
    <x v="6"/>
    <n v="23000"/>
  </r>
  <r>
    <x v="11"/>
    <x v="0"/>
    <x v="0"/>
    <n v="398000"/>
  </r>
  <r>
    <x v="11"/>
    <x v="1"/>
    <x v="0"/>
    <n v="406000"/>
  </r>
  <r>
    <x v="11"/>
    <x v="0"/>
    <x v="1"/>
    <n v="1523000"/>
  </r>
  <r>
    <x v="11"/>
    <x v="1"/>
    <x v="1"/>
    <n v="1535000"/>
  </r>
  <r>
    <x v="11"/>
    <x v="0"/>
    <x v="2"/>
    <n v="1851000"/>
  </r>
  <r>
    <x v="11"/>
    <x v="1"/>
    <x v="2"/>
    <n v="1851000"/>
  </r>
  <r>
    <x v="11"/>
    <x v="0"/>
    <x v="3"/>
    <n v="1767000"/>
  </r>
  <r>
    <x v="11"/>
    <x v="1"/>
    <x v="3"/>
    <n v="1750000"/>
  </r>
  <r>
    <x v="11"/>
    <x v="0"/>
    <x v="4"/>
    <n v="1687000"/>
  </r>
  <r>
    <x v="11"/>
    <x v="1"/>
    <x v="4"/>
    <n v="1652000"/>
  </r>
  <r>
    <x v="11"/>
    <x v="0"/>
    <x v="5"/>
    <n v="1636000"/>
  </r>
  <r>
    <x v="11"/>
    <x v="1"/>
    <x v="5"/>
    <n v="1502000"/>
  </r>
  <r>
    <x v="11"/>
    <x v="0"/>
    <x v="13"/>
    <n v="1593000"/>
  </r>
  <r>
    <x v="11"/>
    <x v="1"/>
    <x v="13"/>
    <n v="1436000"/>
  </r>
  <r>
    <x v="11"/>
    <x v="0"/>
    <x v="14"/>
    <n v="1509000"/>
  </r>
  <r>
    <x v="11"/>
    <x v="1"/>
    <x v="14"/>
    <n v="1382000"/>
  </r>
  <r>
    <x v="11"/>
    <x v="0"/>
    <x v="15"/>
    <n v="1370000"/>
  </r>
  <r>
    <x v="11"/>
    <x v="1"/>
    <x v="15"/>
    <n v="1275000"/>
  </r>
  <r>
    <x v="11"/>
    <x v="0"/>
    <x v="16"/>
    <n v="1201000"/>
  </r>
  <r>
    <x v="11"/>
    <x v="1"/>
    <x v="16"/>
    <n v="1116000"/>
  </r>
  <r>
    <x v="11"/>
    <x v="0"/>
    <x v="17"/>
    <n v="1005000"/>
  </r>
  <r>
    <x v="11"/>
    <x v="1"/>
    <x v="17"/>
    <n v="929000"/>
  </r>
  <r>
    <x v="11"/>
    <x v="0"/>
    <x v="18"/>
    <n v="859000"/>
  </r>
  <r>
    <x v="11"/>
    <x v="1"/>
    <x v="18"/>
    <n v="792000"/>
  </r>
  <r>
    <x v="11"/>
    <x v="0"/>
    <x v="19"/>
    <n v="692000"/>
  </r>
  <r>
    <x v="11"/>
    <x v="1"/>
    <x v="19"/>
    <n v="623000"/>
  </r>
  <r>
    <x v="11"/>
    <x v="0"/>
    <x v="20"/>
    <n v="560000"/>
  </r>
  <r>
    <x v="11"/>
    <x v="1"/>
    <x v="20"/>
    <n v="491000"/>
  </r>
  <r>
    <x v="11"/>
    <x v="0"/>
    <x v="21"/>
    <n v="450000"/>
  </r>
  <r>
    <x v="11"/>
    <x v="1"/>
    <x v="21"/>
    <n v="376000"/>
  </r>
  <r>
    <x v="11"/>
    <x v="0"/>
    <x v="22"/>
    <n v="325000"/>
  </r>
  <r>
    <x v="11"/>
    <x v="1"/>
    <x v="22"/>
    <n v="247000"/>
  </r>
  <r>
    <x v="11"/>
    <x v="0"/>
    <x v="23"/>
    <n v="193000"/>
  </r>
  <r>
    <x v="11"/>
    <x v="1"/>
    <x v="23"/>
    <n v="133000"/>
  </r>
  <r>
    <x v="11"/>
    <x v="0"/>
    <x v="24"/>
    <n v="89000"/>
  </r>
  <r>
    <x v="11"/>
    <x v="1"/>
    <x v="24"/>
    <n v="57000"/>
  </r>
  <r>
    <x v="11"/>
    <x v="0"/>
    <x v="6"/>
    <n v="43000"/>
  </r>
  <r>
    <x v="11"/>
    <x v="1"/>
    <x v="6"/>
    <n v="23000"/>
  </r>
  <r>
    <x v="12"/>
    <x v="0"/>
    <x v="0"/>
    <n v="403000"/>
  </r>
  <r>
    <x v="12"/>
    <x v="1"/>
    <x v="0"/>
    <n v="411000"/>
  </r>
  <r>
    <x v="12"/>
    <x v="0"/>
    <x v="1"/>
    <n v="1499000"/>
  </r>
  <r>
    <x v="12"/>
    <x v="1"/>
    <x v="1"/>
    <n v="1517000"/>
  </r>
  <r>
    <x v="12"/>
    <x v="0"/>
    <x v="2"/>
    <n v="1861000"/>
  </r>
  <r>
    <x v="12"/>
    <x v="1"/>
    <x v="2"/>
    <n v="1861000"/>
  </r>
  <r>
    <x v="12"/>
    <x v="0"/>
    <x v="3"/>
    <n v="1778000"/>
  </r>
  <r>
    <x v="12"/>
    <x v="1"/>
    <x v="3"/>
    <n v="1758000"/>
  </r>
  <r>
    <x v="12"/>
    <x v="0"/>
    <x v="4"/>
    <n v="1694000"/>
  </r>
  <r>
    <x v="12"/>
    <x v="1"/>
    <x v="4"/>
    <n v="1660000"/>
  </r>
  <r>
    <x v="12"/>
    <x v="0"/>
    <x v="5"/>
    <n v="1634000"/>
  </r>
  <r>
    <x v="12"/>
    <x v="1"/>
    <x v="5"/>
    <n v="1503000"/>
  </r>
  <r>
    <x v="12"/>
    <x v="0"/>
    <x v="13"/>
    <n v="1585000"/>
  </r>
  <r>
    <x v="12"/>
    <x v="1"/>
    <x v="13"/>
    <n v="1431000"/>
  </r>
  <r>
    <x v="12"/>
    <x v="0"/>
    <x v="14"/>
    <n v="1512000"/>
  </r>
  <r>
    <x v="12"/>
    <x v="1"/>
    <x v="14"/>
    <n v="1379000"/>
  </r>
  <r>
    <x v="12"/>
    <x v="0"/>
    <x v="15"/>
    <n v="1386000"/>
  </r>
  <r>
    <x v="12"/>
    <x v="1"/>
    <x v="15"/>
    <n v="1288000"/>
  </r>
  <r>
    <x v="12"/>
    <x v="0"/>
    <x v="16"/>
    <n v="1225000"/>
  </r>
  <r>
    <x v="12"/>
    <x v="1"/>
    <x v="16"/>
    <n v="1140000"/>
  </r>
  <r>
    <x v="12"/>
    <x v="0"/>
    <x v="17"/>
    <n v="1029000"/>
  </r>
  <r>
    <x v="12"/>
    <x v="1"/>
    <x v="17"/>
    <n v="950000"/>
  </r>
  <r>
    <x v="12"/>
    <x v="0"/>
    <x v="18"/>
    <n v="873000"/>
  </r>
  <r>
    <x v="12"/>
    <x v="1"/>
    <x v="18"/>
    <n v="809000"/>
  </r>
  <r>
    <x v="12"/>
    <x v="0"/>
    <x v="19"/>
    <n v="708000"/>
  </r>
  <r>
    <x v="12"/>
    <x v="1"/>
    <x v="19"/>
    <n v="638000"/>
  </r>
  <r>
    <x v="12"/>
    <x v="0"/>
    <x v="20"/>
    <n v="573000"/>
  </r>
  <r>
    <x v="12"/>
    <x v="1"/>
    <x v="20"/>
    <n v="500000"/>
  </r>
  <r>
    <x v="12"/>
    <x v="0"/>
    <x v="21"/>
    <n v="458000"/>
  </r>
  <r>
    <x v="12"/>
    <x v="1"/>
    <x v="21"/>
    <n v="382000"/>
  </r>
  <r>
    <x v="12"/>
    <x v="0"/>
    <x v="22"/>
    <n v="330000"/>
  </r>
  <r>
    <x v="12"/>
    <x v="1"/>
    <x v="22"/>
    <n v="250000"/>
  </r>
  <r>
    <x v="12"/>
    <x v="0"/>
    <x v="23"/>
    <n v="195000"/>
  </r>
  <r>
    <x v="12"/>
    <x v="1"/>
    <x v="23"/>
    <n v="134000"/>
  </r>
  <r>
    <x v="12"/>
    <x v="0"/>
    <x v="24"/>
    <n v="95000"/>
  </r>
  <r>
    <x v="12"/>
    <x v="1"/>
    <x v="24"/>
    <n v="59000"/>
  </r>
  <r>
    <x v="12"/>
    <x v="0"/>
    <x v="6"/>
    <n v="43000"/>
  </r>
  <r>
    <x v="12"/>
    <x v="1"/>
    <x v="6"/>
    <n v="23000"/>
  </r>
  <r>
    <x v="13"/>
    <x v="0"/>
    <x v="0"/>
    <n v="405000"/>
  </r>
  <r>
    <x v="13"/>
    <x v="1"/>
    <x v="0"/>
    <n v="413000"/>
  </r>
  <r>
    <x v="13"/>
    <x v="0"/>
    <x v="1"/>
    <n v="1490000"/>
  </r>
  <r>
    <x v="13"/>
    <x v="1"/>
    <x v="1"/>
    <n v="1505000"/>
  </r>
  <r>
    <x v="13"/>
    <x v="0"/>
    <x v="2"/>
    <n v="1868000"/>
  </r>
  <r>
    <x v="13"/>
    <x v="1"/>
    <x v="2"/>
    <n v="1873000"/>
  </r>
  <r>
    <x v="13"/>
    <x v="0"/>
    <x v="3"/>
    <n v="1794000"/>
  </r>
  <r>
    <x v="13"/>
    <x v="1"/>
    <x v="3"/>
    <n v="1775000"/>
  </r>
  <r>
    <x v="13"/>
    <x v="0"/>
    <x v="4"/>
    <n v="1706000"/>
  </r>
  <r>
    <x v="13"/>
    <x v="1"/>
    <x v="4"/>
    <n v="1681000"/>
  </r>
  <r>
    <x v="13"/>
    <x v="0"/>
    <x v="5"/>
    <n v="1641000"/>
  </r>
  <r>
    <x v="13"/>
    <x v="1"/>
    <x v="5"/>
    <n v="1516000"/>
  </r>
  <r>
    <x v="13"/>
    <x v="0"/>
    <x v="13"/>
    <n v="1592000"/>
  </r>
  <r>
    <x v="13"/>
    <x v="1"/>
    <x v="13"/>
    <n v="1440000"/>
  </r>
  <r>
    <x v="13"/>
    <x v="0"/>
    <x v="14"/>
    <n v="1527000"/>
  </r>
  <r>
    <x v="13"/>
    <x v="1"/>
    <x v="14"/>
    <n v="1386000"/>
  </r>
  <r>
    <x v="13"/>
    <x v="0"/>
    <x v="15"/>
    <n v="1390000"/>
  </r>
  <r>
    <x v="13"/>
    <x v="1"/>
    <x v="15"/>
    <n v="1298000"/>
  </r>
  <r>
    <x v="13"/>
    <x v="0"/>
    <x v="16"/>
    <n v="1269000"/>
  </r>
  <r>
    <x v="13"/>
    <x v="1"/>
    <x v="16"/>
    <n v="1166000"/>
  </r>
  <r>
    <x v="13"/>
    <x v="0"/>
    <x v="17"/>
    <n v="1051000"/>
  </r>
  <r>
    <x v="13"/>
    <x v="1"/>
    <x v="17"/>
    <n v="984000"/>
  </r>
  <r>
    <x v="13"/>
    <x v="0"/>
    <x v="18"/>
    <n v="892000"/>
  </r>
  <r>
    <x v="13"/>
    <x v="1"/>
    <x v="18"/>
    <n v="826000"/>
  </r>
  <r>
    <x v="13"/>
    <x v="0"/>
    <x v="19"/>
    <n v="728000"/>
  </r>
  <r>
    <x v="13"/>
    <x v="1"/>
    <x v="19"/>
    <n v="657000"/>
  </r>
  <r>
    <x v="13"/>
    <x v="0"/>
    <x v="20"/>
    <n v="585000"/>
  </r>
  <r>
    <x v="13"/>
    <x v="1"/>
    <x v="20"/>
    <n v="509000"/>
  </r>
  <r>
    <x v="13"/>
    <x v="0"/>
    <x v="21"/>
    <n v="466000"/>
  </r>
  <r>
    <x v="13"/>
    <x v="1"/>
    <x v="21"/>
    <n v="390000"/>
  </r>
  <r>
    <x v="13"/>
    <x v="0"/>
    <x v="22"/>
    <n v="328000"/>
  </r>
  <r>
    <x v="13"/>
    <x v="1"/>
    <x v="22"/>
    <n v="251000"/>
  </r>
  <r>
    <x v="13"/>
    <x v="0"/>
    <x v="23"/>
    <n v="200000"/>
  </r>
  <r>
    <x v="13"/>
    <x v="1"/>
    <x v="23"/>
    <n v="140000"/>
  </r>
  <r>
    <x v="13"/>
    <x v="0"/>
    <x v="24"/>
    <n v="98000"/>
  </r>
  <r>
    <x v="13"/>
    <x v="1"/>
    <x v="24"/>
    <n v="60000"/>
  </r>
  <r>
    <x v="13"/>
    <x v="0"/>
    <x v="6"/>
    <n v="44000"/>
  </r>
  <r>
    <x v="13"/>
    <x v="1"/>
    <x v="6"/>
    <n v="23000"/>
  </r>
  <r>
    <x v="14"/>
    <x v="0"/>
    <x v="0"/>
    <n v="398000"/>
  </r>
  <r>
    <x v="14"/>
    <x v="1"/>
    <x v="0"/>
    <n v="405000"/>
  </r>
  <r>
    <x v="14"/>
    <x v="0"/>
    <x v="1"/>
    <n v="1489000"/>
  </r>
  <r>
    <x v="14"/>
    <x v="1"/>
    <x v="1"/>
    <n v="1501000"/>
  </r>
  <r>
    <x v="14"/>
    <x v="0"/>
    <x v="2"/>
    <n v="1865000"/>
  </r>
  <r>
    <x v="14"/>
    <x v="1"/>
    <x v="2"/>
    <n v="1875000"/>
  </r>
  <r>
    <x v="14"/>
    <x v="0"/>
    <x v="3"/>
    <n v="1807000"/>
  </r>
  <r>
    <x v="14"/>
    <x v="1"/>
    <x v="3"/>
    <n v="1788000"/>
  </r>
  <r>
    <x v="14"/>
    <x v="0"/>
    <x v="4"/>
    <n v="1725000"/>
  </r>
  <r>
    <x v="14"/>
    <x v="1"/>
    <x v="4"/>
    <n v="1443000"/>
  </r>
  <r>
    <x v="14"/>
    <x v="0"/>
    <x v="5"/>
    <n v="1639000"/>
  </r>
  <r>
    <x v="14"/>
    <x v="1"/>
    <x v="5"/>
    <n v="858000"/>
  </r>
  <r>
    <x v="14"/>
    <x v="0"/>
    <x v="13"/>
    <n v="1609000"/>
  </r>
  <r>
    <x v="14"/>
    <x v="1"/>
    <x v="13"/>
    <n v="908000"/>
  </r>
  <r>
    <x v="14"/>
    <x v="0"/>
    <x v="14"/>
    <n v="1537000"/>
  </r>
  <r>
    <x v="14"/>
    <x v="1"/>
    <x v="14"/>
    <n v="1090000"/>
  </r>
  <r>
    <x v="14"/>
    <x v="0"/>
    <x v="15"/>
    <n v="1436000"/>
  </r>
  <r>
    <x v="14"/>
    <x v="1"/>
    <x v="15"/>
    <n v="1146000"/>
  </r>
  <r>
    <x v="14"/>
    <x v="0"/>
    <x v="16"/>
    <n v="1276000"/>
  </r>
  <r>
    <x v="14"/>
    <x v="1"/>
    <x v="16"/>
    <n v="1099000"/>
  </r>
  <r>
    <x v="14"/>
    <x v="0"/>
    <x v="17"/>
    <n v="1093000"/>
  </r>
  <r>
    <x v="14"/>
    <x v="1"/>
    <x v="17"/>
    <n v="994000"/>
  </r>
  <r>
    <x v="14"/>
    <x v="0"/>
    <x v="18"/>
    <n v="901000"/>
  </r>
  <r>
    <x v="14"/>
    <x v="1"/>
    <x v="18"/>
    <n v="824000"/>
  </r>
  <r>
    <x v="14"/>
    <x v="0"/>
    <x v="19"/>
    <n v="750000"/>
  </r>
  <r>
    <x v="14"/>
    <x v="1"/>
    <x v="19"/>
    <n v="682000"/>
  </r>
  <r>
    <x v="14"/>
    <x v="0"/>
    <x v="20"/>
    <n v="598000"/>
  </r>
  <r>
    <x v="14"/>
    <x v="1"/>
    <x v="20"/>
    <n v="525000"/>
  </r>
  <r>
    <x v="14"/>
    <x v="0"/>
    <x v="21"/>
    <n v="471000"/>
  </r>
  <r>
    <x v="14"/>
    <x v="1"/>
    <x v="21"/>
    <n v="396000"/>
  </r>
  <r>
    <x v="14"/>
    <x v="0"/>
    <x v="22"/>
    <n v="333000"/>
  </r>
  <r>
    <x v="14"/>
    <x v="1"/>
    <x v="22"/>
    <n v="252000"/>
  </r>
  <r>
    <x v="14"/>
    <x v="0"/>
    <x v="23"/>
    <n v="205000"/>
  </r>
  <r>
    <x v="14"/>
    <x v="1"/>
    <x v="23"/>
    <n v="140000"/>
  </r>
  <r>
    <x v="14"/>
    <x v="0"/>
    <x v="24"/>
    <n v="98000"/>
  </r>
  <r>
    <x v="14"/>
    <x v="1"/>
    <x v="24"/>
    <n v="60000"/>
  </r>
  <r>
    <x v="14"/>
    <x v="0"/>
    <x v="6"/>
    <n v="45000"/>
  </r>
  <r>
    <x v="14"/>
    <x v="1"/>
    <x v="6"/>
    <n v="23000"/>
  </r>
  <r>
    <x v="15"/>
    <x v="0"/>
    <x v="0"/>
    <n v="360000"/>
  </r>
  <r>
    <x v="15"/>
    <x v="1"/>
    <x v="0"/>
    <n v="368000"/>
  </r>
  <r>
    <x v="15"/>
    <x v="0"/>
    <x v="1"/>
    <n v="1493000"/>
  </r>
  <r>
    <x v="15"/>
    <x v="1"/>
    <x v="1"/>
    <n v="1503000"/>
  </r>
  <r>
    <x v="15"/>
    <x v="0"/>
    <x v="2"/>
    <n v="1852000"/>
  </r>
  <r>
    <x v="15"/>
    <x v="1"/>
    <x v="2"/>
    <n v="1860000"/>
  </r>
  <r>
    <x v="15"/>
    <x v="0"/>
    <x v="3"/>
    <n v="1818000"/>
  </r>
  <r>
    <x v="15"/>
    <x v="1"/>
    <x v="3"/>
    <n v="1804000"/>
  </r>
  <r>
    <x v="15"/>
    <x v="0"/>
    <x v="4"/>
    <n v="1739000"/>
  </r>
  <r>
    <x v="15"/>
    <x v="1"/>
    <x v="4"/>
    <n v="1411000"/>
  </r>
  <r>
    <x v="15"/>
    <x v="0"/>
    <x v="5"/>
    <n v="1667000"/>
  </r>
  <r>
    <x v="15"/>
    <x v="1"/>
    <x v="5"/>
    <n v="635000"/>
  </r>
  <r>
    <x v="15"/>
    <x v="0"/>
    <x v="13"/>
    <n v="1600000"/>
  </r>
  <r>
    <x v="15"/>
    <x v="1"/>
    <x v="13"/>
    <n v="671000"/>
  </r>
  <r>
    <x v="15"/>
    <x v="0"/>
    <x v="14"/>
    <n v="1544000"/>
  </r>
  <r>
    <x v="15"/>
    <x v="1"/>
    <x v="14"/>
    <n v="917000"/>
  </r>
  <r>
    <x v="15"/>
    <x v="0"/>
    <x v="15"/>
    <n v="1454000"/>
  </r>
  <r>
    <x v="15"/>
    <x v="1"/>
    <x v="15"/>
    <n v="1041000"/>
  </r>
  <r>
    <x v="15"/>
    <x v="0"/>
    <x v="16"/>
    <n v="1303000"/>
  </r>
  <r>
    <x v="15"/>
    <x v="1"/>
    <x v="16"/>
    <n v="1069000"/>
  </r>
  <r>
    <x v="15"/>
    <x v="0"/>
    <x v="17"/>
    <n v="1117000"/>
  </r>
  <r>
    <x v="15"/>
    <x v="1"/>
    <x v="17"/>
    <n v="992000"/>
  </r>
  <r>
    <x v="15"/>
    <x v="0"/>
    <x v="18"/>
    <n v="921000"/>
  </r>
  <r>
    <x v="15"/>
    <x v="1"/>
    <x v="18"/>
    <n v="847000"/>
  </r>
  <r>
    <x v="15"/>
    <x v="0"/>
    <x v="19"/>
    <n v="768000"/>
  </r>
  <r>
    <x v="15"/>
    <x v="1"/>
    <x v="19"/>
    <n v="694000"/>
  </r>
  <r>
    <x v="15"/>
    <x v="0"/>
    <x v="20"/>
    <n v="610000"/>
  </r>
  <r>
    <x v="15"/>
    <x v="1"/>
    <x v="20"/>
    <n v="530000"/>
  </r>
  <r>
    <x v="15"/>
    <x v="0"/>
    <x v="21"/>
    <n v="481000"/>
  </r>
  <r>
    <x v="15"/>
    <x v="1"/>
    <x v="21"/>
    <n v="403000"/>
  </r>
  <r>
    <x v="15"/>
    <x v="0"/>
    <x v="22"/>
    <n v="338000"/>
  </r>
  <r>
    <x v="15"/>
    <x v="1"/>
    <x v="22"/>
    <n v="253000"/>
  </r>
  <r>
    <x v="15"/>
    <x v="0"/>
    <x v="23"/>
    <n v="207000"/>
  </r>
  <r>
    <x v="15"/>
    <x v="1"/>
    <x v="23"/>
    <n v="143000"/>
  </r>
  <r>
    <x v="15"/>
    <x v="0"/>
    <x v="24"/>
    <n v="99000"/>
  </r>
  <r>
    <x v="15"/>
    <x v="1"/>
    <x v="24"/>
    <n v="62000"/>
  </r>
  <r>
    <x v="15"/>
    <x v="0"/>
    <x v="6"/>
    <n v="45000"/>
  </r>
  <r>
    <x v="15"/>
    <x v="1"/>
    <x v="6"/>
    <n v="23000"/>
  </r>
  <r>
    <x v="16"/>
    <x v="0"/>
    <x v="0"/>
    <n v="335000"/>
  </r>
  <r>
    <x v="16"/>
    <x v="1"/>
    <x v="0"/>
    <n v="344000"/>
  </r>
  <r>
    <x v="16"/>
    <x v="0"/>
    <x v="1"/>
    <n v="1460000"/>
  </r>
  <r>
    <x v="16"/>
    <x v="1"/>
    <x v="1"/>
    <n v="1469000"/>
  </r>
  <r>
    <x v="16"/>
    <x v="0"/>
    <x v="2"/>
    <n v="1841000"/>
  </r>
  <r>
    <x v="16"/>
    <x v="1"/>
    <x v="2"/>
    <n v="1854000"/>
  </r>
  <r>
    <x v="16"/>
    <x v="0"/>
    <x v="3"/>
    <n v="1827000"/>
  </r>
  <r>
    <x v="16"/>
    <x v="1"/>
    <x v="3"/>
    <n v="1823000"/>
  </r>
  <r>
    <x v="16"/>
    <x v="0"/>
    <x v="4"/>
    <n v="1749000"/>
  </r>
  <r>
    <x v="16"/>
    <x v="1"/>
    <x v="4"/>
    <n v="1367000"/>
  </r>
  <r>
    <x v="16"/>
    <x v="0"/>
    <x v="5"/>
    <n v="1676000"/>
  </r>
  <r>
    <x v="16"/>
    <x v="1"/>
    <x v="5"/>
    <n v="531000"/>
  </r>
  <r>
    <x v="16"/>
    <x v="0"/>
    <x v="13"/>
    <n v="1607000"/>
  </r>
  <r>
    <x v="16"/>
    <x v="1"/>
    <x v="13"/>
    <n v="512000"/>
  </r>
  <r>
    <x v="16"/>
    <x v="0"/>
    <x v="14"/>
    <n v="1551000"/>
  </r>
  <r>
    <x v="16"/>
    <x v="1"/>
    <x v="14"/>
    <n v="779000"/>
  </r>
  <r>
    <x v="16"/>
    <x v="0"/>
    <x v="15"/>
    <n v="1470000"/>
  </r>
  <r>
    <x v="16"/>
    <x v="1"/>
    <x v="15"/>
    <n v="945000"/>
  </r>
  <r>
    <x v="16"/>
    <x v="0"/>
    <x v="16"/>
    <n v="1324000"/>
  </r>
  <r>
    <x v="16"/>
    <x v="1"/>
    <x v="16"/>
    <n v="1022000"/>
  </r>
  <r>
    <x v="16"/>
    <x v="0"/>
    <x v="17"/>
    <n v="1143000"/>
  </r>
  <r>
    <x v="16"/>
    <x v="1"/>
    <x v="17"/>
    <n v="1002000"/>
  </r>
  <r>
    <x v="16"/>
    <x v="0"/>
    <x v="18"/>
    <n v="948000"/>
  </r>
  <r>
    <x v="16"/>
    <x v="1"/>
    <x v="18"/>
    <n v="868000"/>
  </r>
  <r>
    <x v="16"/>
    <x v="0"/>
    <x v="19"/>
    <n v="783000"/>
  </r>
  <r>
    <x v="16"/>
    <x v="1"/>
    <x v="19"/>
    <n v="707000"/>
  </r>
  <r>
    <x v="16"/>
    <x v="0"/>
    <x v="20"/>
    <n v="626000"/>
  </r>
  <r>
    <x v="16"/>
    <x v="1"/>
    <x v="20"/>
    <n v="546000"/>
  </r>
  <r>
    <x v="16"/>
    <x v="0"/>
    <x v="21"/>
    <n v="492000"/>
  </r>
  <r>
    <x v="16"/>
    <x v="1"/>
    <x v="21"/>
    <n v="412000"/>
  </r>
  <r>
    <x v="16"/>
    <x v="0"/>
    <x v="22"/>
    <n v="346000"/>
  </r>
  <r>
    <x v="16"/>
    <x v="1"/>
    <x v="22"/>
    <n v="254000"/>
  </r>
  <r>
    <x v="16"/>
    <x v="0"/>
    <x v="23"/>
    <n v="207000"/>
  </r>
  <r>
    <x v="16"/>
    <x v="1"/>
    <x v="23"/>
    <n v="143000"/>
  </r>
  <r>
    <x v="16"/>
    <x v="0"/>
    <x v="24"/>
    <n v="101000"/>
  </r>
  <r>
    <x v="16"/>
    <x v="1"/>
    <x v="24"/>
    <n v="63000"/>
  </r>
  <r>
    <x v="16"/>
    <x v="0"/>
    <x v="6"/>
    <n v="46000"/>
  </r>
  <r>
    <x v="16"/>
    <x v="1"/>
    <x v="6"/>
    <n v="24000"/>
  </r>
  <r>
    <x v="17"/>
    <x v="0"/>
    <x v="0"/>
    <n v="295000"/>
  </r>
  <r>
    <x v="17"/>
    <x v="1"/>
    <x v="0"/>
    <n v="303000"/>
  </r>
  <r>
    <x v="17"/>
    <x v="0"/>
    <x v="1"/>
    <n v="1394000"/>
  </r>
  <r>
    <x v="17"/>
    <x v="1"/>
    <x v="1"/>
    <n v="1407000"/>
  </r>
  <r>
    <x v="17"/>
    <x v="0"/>
    <x v="2"/>
    <n v="1822000"/>
  </r>
  <r>
    <x v="17"/>
    <x v="1"/>
    <x v="2"/>
    <n v="1837000"/>
  </r>
  <r>
    <x v="17"/>
    <x v="0"/>
    <x v="3"/>
    <n v="1849000"/>
  </r>
  <r>
    <x v="17"/>
    <x v="1"/>
    <x v="3"/>
    <n v="1848000"/>
  </r>
  <r>
    <x v="17"/>
    <x v="0"/>
    <x v="4"/>
    <n v="1757000"/>
  </r>
  <r>
    <x v="17"/>
    <x v="1"/>
    <x v="4"/>
    <n v="1422000"/>
  </r>
  <r>
    <x v="17"/>
    <x v="0"/>
    <x v="5"/>
    <n v="1683000"/>
  </r>
  <r>
    <x v="17"/>
    <x v="1"/>
    <x v="5"/>
    <n v="515000"/>
  </r>
  <r>
    <x v="17"/>
    <x v="0"/>
    <x v="13"/>
    <n v="1608000"/>
  </r>
  <r>
    <x v="17"/>
    <x v="1"/>
    <x v="13"/>
    <n v="450000"/>
  </r>
  <r>
    <x v="17"/>
    <x v="0"/>
    <x v="14"/>
    <n v="1552000"/>
  </r>
  <r>
    <x v="17"/>
    <x v="1"/>
    <x v="14"/>
    <n v="684000"/>
  </r>
  <r>
    <x v="17"/>
    <x v="0"/>
    <x v="15"/>
    <n v="1477000"/>
  </r>
  <r>
    <x v="17"/>
    <x v="1"/>
    <x v="15"/>
    <n v="891000"/>
  </r>
  <r>
    <x v="17"/>
    <x v="0"/>
    <x v="16"/>
    <n v="1346000"/>
  </r>
  <r>
    <x v="17"/>
    <x v="1"/>
    <x v="16"/>
    <n v="999000"/>
  </r>
  <r>
    <x v="17"/>
    <x v="0"/>
    <x v="17"/>
    <n v="1170000"/>
  </r>
  <r>
    <x v="17"/>
    <x v="1"/>
    <x v="17"/>
    <n v="999000"/>
  </r>
  <r>
    <x v="17"/>
    <x v="0"/>
    <x v="18"/>
    <n v="972000"/>
  </r>
  <r>
    <x v="17"/>
    <x v="1"/>
    <x v="18"/>
    <n v="887000"/>
  </r>
  <r>
    <x v="17"/>
    <x v="0"/>
    <x v="19"/>
    <n v="799000"/>
  </r>
  <r>
    <x v="17"/>
    <x v="1"/>
    <x v="19"/>
    <n v="722000"/>
  </r>
  <r>
    <x v="17"/>
    <x v="0"/>
    <x v="20"/>
    <n v="643000"/>
  </r>
  <r>
    <x v="17"/>
    <x v="1"/>
    <x v="20"/>
    <n v="561000"/>
  </r>
  <r>
    <x v="17"/>
    <x v="0"/>
    <x v="21"/>
    <n v="504000"/>
  </r>
  <r>
    <x v="17"/>
    <x v="1"/>
    <x v="21"/>
    <n v="419000"/>
  </r>
  <r>
    <x v="17"/>
    <x v="0"/>
    <x v="22"/>
    <n v="355000"/>
  </r>
  <r>
    <x v="17"/>
    <x v="1"/>
    <x v="22"/>
    <n v="257000"/>
  </r>
  <r>
    <x v="17"/>
    <x v="0"/>
    <x v="23"/>
    <n v="210000"/>
  </r>
  <r>
    <x v="17"/>
    <x v="1"/>
    <x v="23"/>
    <n v="146000"/>
  </r>
  <r>
    <x v="17"/>
    <x v="0"/>
    <x v="24"/>
    <n v="105000"/>
  </r>
  <r>
    <x v="17"/>
    <x v="1"/>
    <x v="24"/>
    <n v="64000"/>
  </r>
  <r>
    <x v="17"/>
    <x v="0"/>
    <x v="6"/>
    <n v="47000"/>
  </r>
  <r>
    <x v="17"/>
    <x v="1"/>
    <x v="6"/>
    <n v="25000"/>
  </r>
  <r>
    <x v="18"/>
    <x v="0"/>
    <x v="0"/>
    <n v="284000"/>
  </r>
  <r>
    <x v="18"/>
    <x v="1"/>
    <x v="0"/>
    <n v="293000"/>
  </r>
  <r>
    <x v="18"/>
    <x v="0"/>
    <x v="1"/>
    <n v="1283000"/>
  </r>
  <r>
    <x v="18"/>
    <x v="1"/>
    <x v="1"/>
    <n v="1301000"/>
  </r>
  <r>
    <x v="18"/>
    <x v="0"/>
    <x v="2"/>
    <n v="1808000"/>
  </r>
  <r>
    <x v="18"/>
    <x v="1"/>
    <x v="2"/>
    <n v="1820000"/>
  </r>
  <r>
    <x v="18"/>
    <x v="0"/>
    <x v="3"/>
    <n v="1852000"/>
  </r>
  <r>
    <x v="18"/>
    <x v="1"/>
    <x v="3"/>
    <n v="1850000"/>
  </r>
  <r>
    <x v="18"/>
    <x v="0"/>
    <x v="4"/>
    <n v="1761000"/>
  </r>
  <r>
    <x v="18"/>
    <x v="1"/>
    <x v="4"/>
    <n v="1582000"/>
  </r>
  <r>
    <x v="18"/>
    <x v="0"/>
    <x v="5"/>
    <n v="1682000"/>
  </r>
  <r>
    <x v="18"/>
    <x v="1"/>
    <x v="5"/>
    <n v="958000"/>
  </r>
  <r>
    <x v="18"/>
    <x v="0"/>
    <x v="13"/>
    <n v="1598000"/>
  </r>
  <r>
    <x v="18"/>
    <x v="1"/>
    <x v="13"/>
    <n v="818000"/>
  </r>
  <r>
    <x v="18"/>
    <x v="0"/>
    <x v="14"/>
    <n v="1541000"/>
  </r>
  <r>
    <x v="18"/>
    <x v="1"/>
    <x v="14"/>
    <n v="927000"/>
  </r>
  <r>
    <x v="18"/>
    <x v="0"/>
    <x v="15"/>
    <n v="1480000"/>
  </r>
  <r>
    <x v="18"/>
    <x v="1"/>
    <x v="15"/>
    <n v="1023000"/>
  </r>
  <r>
    <x v="18"/>
    <x v="0"/>
    <x v="16"/>
    <n v="1353000"/>
  </r>
  <r>
    <x v="18"/>
    <x v="1"/>
    <x v="16"/>
    <n v="1079000"/>
  </r>
  <r>
    <x v="18"/>
    <x v="0"/>
    <x v="17"/>
    <n v="1195000"/>
  </r>
  <r>
    <x v="18"/>
    <x v="1"/>
    <x v="17"/>
    <n v="1059000"/>
  </r>
  <r>
    <x v="18"/>
    <x v="0"/>
    <x v="18"/>
    <n v="995000"/>
  </r>
  <r>
    <x v="18"/>
    <x v="1"/>
    <x v="18"/>
    <n v="916000"/>
  </r>
  <r>
    <x v="18"/>
    <x v="0"/>
    <x v="19"/>
    <n v="815000"/>
  </r>
  <r>
    <x v="18"/>
    <x v="1"/>
    <x v="19"/>
    <n v="747000"/>
  </r>
  <r>
    <x v="18"/>
    <x v="0"/>
    <x v="20"/>
    <n v="657000"/>
  </r>
  <r>
    <x v="18"/>
    <x v="1"/>
    <x v="20"/>
    <n v="569000"/>
  </r>
  <r>
    <x v="18"/>
    <x v="0"/>
    <x v="21"/>
    <n v="519000"/>
  </r>
  <r>
    <x v="18"/>
    <x v="1"/>
    <x v="21"/>
    <n v="429000"/>
  </r>
  <r>
    <x v="18"/>
    <x v="0"/>
    <x v="22"/>
    <n v="361000"/>
  </r>
  <r>
    <x v="18"/>
    <x v="1"/>
    <x v="22"/>
    <n v="263000"/>
  </r>
  <r>
    <x v="18"/>
    <x v="0"/>
    <x v="23"/>
    <n v="217000"/>
  </r>
  <r>
    <x v="18"/>
    <x v="1"/>
    <x v="23"/>
    <n v="147000"/>
  </r>
  <r>
    <x v="18"/>
    <x v="0"/>
    <x v="24"/>
    <n v="107000"/>
  </r>
  <r>
    <x v="18"/>
    <x v="1"/>
    <x v="24"/>
    <n v="65000"/>
  </r>
  <r>
    <x v="18"/>
    <x v="0"/>
    <x v="6"/>
    <n v="48000"/>
  </r>
  <r>
    <x v="18"/>
    <x v="1"/>
    <x v="6"/>
    <n v="25000"/>
  </r>
  <r>
    <x v="19"/>
    <x v="0"/>
    <x v="0"/>
    <n v="421000"/>
  </r>
  <r>
    <x v="19"/>
    <x v="1"/>
    <x v="0"/>
    <n v="438000"/>
  </r>
  <r>
    <x v="19"/>
    <x v="0"/>
    <x v="1"/>
    <n v="1182000"/>
  </r>
  <r>
    <x v="19"/>
    <x v="1"/>
    <x v="1"/>
    <n v="1201000"/>
  </r>
  <r>
    <x v="19"/>
    <x v="0"/>
    <x v="2"/>
    <n v="1784000"/>
  </r>
  <r>
    <x v="19"/>
    <x v="1"/>
    <x v="2"/>
    <n v="1800000"/>
  </r>
  <r>
    <x v="19"/>
    <x v="0"/>
    <x v="3"/>
    <n v="1840000"/>
  </r>
  <r>
    <x v="19"/>
    <x v="1"/>
    <x v="3"/>
    <n v="1844000"/>
  </r>
  <r>
    <x v="19"/>
    <x v="0"/>
    <x v="4"/>
    <n v="1787000"/>
  </r>
  <r>
    <x v="19"/>
    <x v="1"/>
    <x v="4"/>
    <n v="1684000"/>
  </r>
  <r>
    <x v="19"/>
    <x v="0"/>
    <x v="5"/>
    <n v="1673000"/>
  </r>
  <r>
    <x v="19"/>
    <x v="1"/>
    <x v="5"/>
    <n v="1344000"/>
  </r>
  <r>
    <x v="19"/>
    <x v="0"/>
    <x v="13"/>
    <n v="1583000"/>
  </r>
  <r>
    <x v="19"/>
    <x v="1"/>
    <x v="13"/>
    <n v="1251000"/>
  </r>
  <r>
    <x v="19"/>
    <x v="0"/>
    <x v="14"/>
    <n v="1524000"/>
  </r>
  <r>
    <x v="19"/>
    <x v="1"/>
    <x v="14"/>
    <n v="1221000"/>
  </r>
  <r>
    <x v="19"/>
    <x v="0"/>
    <x v="15"/>
    <n v="1472000"/>
  </r>
  <r>
    <x v="19"/>
    <x v="1"/>
    <x v="15"/>
    <n v="1226000"/>
  </r>
  <r>
    <x v="19"/>
    <x v="0"/>
    <x v="16"/>
    <n v="1380000"/>
  </r>
  <r>
    <x v="19"/>
    <x v="1"/>
    <x v="16"/>
    <n v="1210000"/>
  </r>
  <r>
    <x v="19"/>
    <x v="0"/>
    <x v="17"/>
    <n v="1218000"/>
  </r>
  <r>
    <x v="19"/>
    <x v="1"/>
    <x v="17"/>
    <n v="1104000"/>
  </r>
  <r>
    <x v="19"/>
    <x v="0"/>
    <x v="18"/>
    <n v="1015000"/>
  </r>
  <r>
    <x v="19"/>
    <x v="1"/>
    <x v="18"/>
    <n v="947000"/>
  </r>
  <r>
    <x v="19"/>
    <x v="0"/>
    <x v="19"/>
    <n v="834000"/>
  </r>
  <r>
    <x v="19"/>
    <x v="1"/>
    <x v="19"/>
    <n v="774000"/>
  </r>
  <r>
    <x v="19"/>
    <x v="0"/>
    <x v="20"/>
    <n v="665000"/>
  </r>
  <r>
    <x v="19"/>
    <x v="1"/>
    <x v="20"/>
    <n v="583000"/>
  </r>
  <r>
    <x v="19"/>
    <x v="0"/>
    <x v="21"/>
    <n v="527000"/>
  </r>
  <r>
    <x v="19"/>
    <x v="1"/>
    <x v="21"/>
    <n v="437000"/>
  </r>
  <r>
    <x v="19"/>
    <x v="0"/>
    <x v="22"/>
    <n v="374000"/>
  </r>
  <r>
    <x v="19"/>
    <x v="1"/>
    <x v="22"/>
    <n v="276000"/>
  </r>
  <r>
    <x v="19"/>
    <x v="0"/>
    <x v="23"/>
    <n v="227000"/>
  </r>
  <r>
    <x v="19"/>
    <x v="1"/>
    <x v="23"/>
    <n v="153000"/>
  </r>
  <r>
    <x v="19"/>
    <x v="0"/>
    <x v="24"/>
    <n v="108000"/>
  </r>
  <r>
    <x v="19"/>
    <x v="1"/>
    <x v="24"/>
    <n v="65000"/>
  </r>
  <r>
    <x v="19"/>
    <x v="0"/>
    <x v="6"/>
    <n v="50000"/>
  </r>
  <r>
    <x v="19"/>
    <x v="1"/>
    <x v="6"/>
    <n v="25000"/>
  </r>
  <r>
    <x v="20"/>
    <x v="0"/>
    <x v="0"/>
    <n v="414000"/>
  </r>
  <r>
    <x v="20"/>
    <x v="1"/>
    <x v="0"/>
    <n v="427000"/>
  </r>
  <r>
    <x v="20"/>
    <x v="0"/>
    <x v="1"/>
    <n v="1249000"/>
  </r>
  <r>
    <x v="20"/>
    <x v="1"/>
    <x v="1"/>
    <n v="1277000"/>
  </r>
  <r>
    <x v="20"/>
    <x v="0"/>
    <x v="2"/>
    <n v="1752000"/>
  </r>
  <r>
    <x v="20"/>
    <x v="1"/>
    <x v="2"/>
    <n v="1767000"/>
  </r>
  <r>
    <x v="20"/>
    <x v="0"/>
    <x v="3"/>
    <n v="1823000"/>
  </r>
  <r>
    <x v="20"/>
    <x v="1"/>
    <x v="3"/>
    <n v="1837000"/>
  </r>
  <r>
    <x v="20"/>
    <x v="0"/>
    <x v="4"/>
    <n v="1775000"/>
  </r>
  <r>
    <x v="20"/>
    <x v="1"/>
    <x v="4"/>
    <n v="1728000"/>
  </r>
  <r>
    <x v="20"/>
    <x v="0"/>
    <x v="5"/>
    <n v="1703000"/>
  </r>
  <r>
    <x v="20"/>
    <x v="1"/>
    <x v="5"/>
    <n v="1448000"/>
  </r>
  <r>
    <x v="20"/>
    <x v="0"/>
    <x v="13"/>
    <n v="1620000"/>
  </r>
  <r>
    <x v="20"/>
    <x v="1"/>
    <x v="13"/>
    <n v="1340000"/>
  </r>
  <r>
    <x v="20"/>
    <x v="0"/>
    <x v="14"/>
    <n v="1520000"/>
  </r>
  <r>
    <x v="20"/>
    <x v="1"/>
    <x v="14"/>
    <n v="1281000"/>
  </r>
  <r>
    <x v="20"/>
    <x v="0"/>
    <x v="15"/>
    <n v="1472000"/>
  </r>
  <r>
    <x v="20"/>
    <x v="1"/>
    <x v="15"/>
    <n v="1273000"/>
  </r>
  <r>
    <x v="20"/>
    <x v="0"/>
    <x v="16"/>
    <n v="1378000"/>
  </r>
  <r>
    <x v="20"/>
    <x v="1"/>
    <x v="16"/>
    <n v="1223000"/>
  </r>
  <r>
    <x v="20"/>
    <x v="0"/>
    <x v="17"/>
    <n v="1244000"/>
  </r>
  <r>
    <x v="20"/>
    <x v="1"/>
    <x v="17"/>
    <n v="1162000"/>
  </r>
  <r>
    <x v="20"/>
    <x v="0"/>
    <x v="18"/>
    <n v="1043000"/>
  </r>
  <r>
    <x v="20"/>
    <x v="1"/>
    <x v="18"/>
    <n v="971000"/>
  </r>
  <r>
    <x v="20"/>
    <x v="0"/>
    <x v="19"/>
    <n v="849000"/>
  </r>
  <r>
    <x v="20"/>
    <x v="1"/>
    <x v="19"/>
    <n v="782000"/>
  </r>
  <r>
    <x v="20"/>
    <x v="0"/>
    <x v="20"/>
    <n v="681000"/>
  </r>
  <r>
    <x v="20"/>
    <x v="1"/>
    <x v="20"/>
    <n v="601000"/>
  </r>
  <r>
    <x v="20"/>
    <x v="0"/>
    <x v="21"/>
    <n v="537000"/>
  </r>
  <r>
    <x v="20"/>
    <x v="1"/>
    <x v="21"/>
    <n v="449000"/>
  </r>
  <r>
    <x v="20"/>
    <x v="0"/>
    <x v="22"/>
    <n v="376000"/>
  </r>
  <r>
    <x v="20"/>
    <x v="1"/>
    <x v="22"/>
    <n v="281000"/>
  </r>
  <r>
    <x v="20"/>
    <x v="0"/>
    <x v="23"/>
    <n v="234000"/>
  </r>
  <r>
    <x v="20"/>
    <x v="1"/>
    <x v="23"/>
    <n v="159000"/>
  </r>
  <r>
    <x v="20"/>
    <x v="0"/>
    <x v="25"/>
    <n v="164000"/>
  </r>
  <r>
    <x v="20"/>
    <x v="1"/>
    <x v="25"/>
    <n v="92000"/>
  </r>
  <r>
    <x v="21"/>
    <x v="0"/>
    <x v="0"/>
    <n v="380000"/>
  </r>
  <r>
    <x v="21"/>
    <x v="1"/>
    <x v="0"/>
    <n v="392000"/>
  </r>
  <r>
    <x v="21"/>
    <x v="0"/>
    <x v="1"/>
    <n v="1334000"/>
  </r>
  <r>
    <x v="21"/>
    <x v="1"/>
    <x v="1"/>
    <n v="1367000"/>
  </r>
  <r>
    <x v="21"/>
    <x v="0"/>
    <x v="2"/>
    <n v="1695000"/>
  </r>
  <r>
    <x v="21"/>
    <x v="1"/>
    <x v="2"/>
    <n v="1710000"/>
  </r>
  <r>
    <x v="21"/>
    <x v="0"/>
    <x v="3"/>
    <n v="1808000"/>
  </r>
  <r>
    <x v="21"/>
    <x v="1"/>
    <x v="3"/>
    <n v="1828000"/>
  </r>
  <r>
    <x v="21"/>
    <x v="0"/>
    <x v="4"/>
    <n v="1781000"/>
  </r>
  <r>
    <x v="21"/>
    <x v="1"/>
    <x v="4"/>
    <n v="1757000"/>
  </r>
  <r>
    <x v="21"/>
    <x v="0"/>
    <x v="5"/>
    <n v="1705000"/>
  </r>
  <r>
    <x v="21"/>
    <x v="1"/>
    <x v="5"/>
    <n v="1482000"/>
  </r>
  <r>
    <x v="21"/>
    <x v="0"/>
    <x v="13"/>
    <n v="1635000"/>
  </r>
  <r>
    <x v="21"/>
    <x v="1"/>
    <x v="13"/>
    <n v="1339000"/>
  </r>
  <r>
    <x v="21"/>
    <x v="0"/>
    <x v="14"/>
    <n v="1526000"/>
  </r>
  <r>
    <x v="21"/>
    <x v="1"/>
    <x v="14"/>
    <n v="1293000"/>
  </r>
  <r>
    <x v="21"/>
    <x v="0"/>
    <x v="15"/>
    <n v="1464000"/>
  </r>
  <r>
    <x v="21"/>
    <x v="1"/>
    <x v="15"/>
    <n v="1257000"/>
  </r>
  <r>
    <x v="21"/>
    <x v="0"/>
    <x v="16"/>
    <n v="1399000"/>
  </r>
  <r>
    <x v="21"/>
    <x v="1"/>
    <x v="16"/>
    <n v="1240000"/>
  </r>
  <r>
    <x v="21"/>
    <x v="0"/>
    <x v="17"/>
    <n v="1255000"/>
  </r>
  <r>
    <x v="21"/>
    <x v="1"/>
    <x v="17"/>
    <n v="1163000"/>
  </r>
  <r>
    <x v="21"/>
    <x v="0"/>
    <x v="18"/>
    <n v="1069000"/>
  </r>
  <r>
    <x v="21"/>
    <x v="1"/>
    <x v="18"/>
    <n v="1002000"/>
  </r>
  <r>
    <x v="21"/>
    <x v="0"/>
    <x v="19"/>
    <n v="871000"/>
  </r>
  <r>
    <x v="21"/>
    <x v="1"/>
    <x v="19"/>
    <n v="799000"/>
  </r>
  <r>
    <x v="21"/>
    <x v="0"/>
    <x v="20"/>
    <n v="694000"/>
  </r>
  <r>
    <x v="21"/>
    <x v="1"/>
    <x v="20"/>
    <n v="616000"/>
  </r>
  <r>
    <x v="21"/>
    <x v="0"/>
    <x v="21"/>
    <n v="544000"/>
  </r>
  <r>
    <x v="21"/>
    <x v="1"/>
    <x v="21"/>
    <n v="455000"/>
  </r>
  <r>
    <x v="21"/>
    <x v="0"/>
    <x v="22"/>
    <n v="391000"/>
  </r>
  <r>
    <x v="21"/>
    <x v="1"/>
    <x v="22"/>
    <n v="295000"/>
  </r>
  <r>
    <x v="21"/>
    <x v="0"/>
    <x v="23"/>
    <n v="239000"/>
  </r>
  <r>
    <x v="21"/>
    <x v="1"/>
    <x v="23"/>
    <n v="160000"/>
  </r>
  <r>
    <x v="21"/>
    <x v="0"/>
    <x v="25"/>
    <n v="166000"/>
  </r>
  <r>
    <x v="21"/>
    <x v="1"/>
    <x v="25"/>
    <n v="94000"/>
  </r>
  <r>
    <x v="22"/>
    <x v="0"/>
    <x v="0"/>
    <n v="355000"/>
  </r>
  <r>
    <x v="22"/>
    <x v="1"/>
    <x v="0"/>
    <n v="366000"/>
  </r>
  <r>
    <x v="22"/>
    <x v="0"/>
    <x v="1"/>
    <n v="1431000"/>
  </r>
  <r>
    <x v="22"/>
    <x v="1"/>
    <x v="1"/>
    <n v="1469000"/>
  </r>
  <r>
    <x v="22"/>
    <x v="0"/>
    <x v="2"/>
    <n v="1594000"/>
  </r>
  <r>
    <x v="22"/>
    <x v="1"/>
    <x v="2"/>
    <n v="1611000"/>
  </r>
  <r>
    <x v="22"/>
    <x v="0"/>
    <x v="3"/>
    <n v="1793000"/>
  </r>
  <r>
    <x v="22"/>
    <x v="1"/>
    <x v="3"/>
    <n v="1811000"/>
  </r>
  <r>
    <x v="22"/>
    <x v="0"/>
    <x v="4"/>
    <n v="1791000"/>
  </r>
  <r>
    <x v="22"/>
    <x v="1"/>
    <x v="4"/>
    <n v="1774000"/>
  </r>
  <r>
    <x v="22"/>
    <x v="0"/>
    <x v="5"/>
    <n v="1715000"/>
  </r>
  <r>
    <x v="22"/>
    <x v="1"/>
    <x v="5"/>
    <n v="1527000"/>
  </r>
  <r>
    <x v="22"/>
    <x v="0"/>
    <x v="13"/>
    <n v="1639000"/>
  </r>
  <r>
    <x v="22"/>
    <x v="1"/>
    <x v="13"/>
    <n v="1330000"/>
  </r>
  <r>
    <x v="22"/>
    <x v="0"/>
    <x v="14"/>
    <n v="1543000"/>
  </r>
  <r>
    <x v="22"/>
    <x v="1"/>
    <x v="14"/>
    <n v="1304000"/>
  </r>
  <r>
    <x v="22"/>
    <x v="0"/>
    <x v="15"/>
    <n v="1447000"/>
  </r>
  <r>
    <x v="22"/>
    <x v="1"/>
    <x v="15"/>
    <n v="1243000"/>
  </r>
  <r>
    <x v="22"/>
    <x v="0"/>
    <x v="16"/>
    <n v="1424000"/>
  </r>
  <r>
    <x v="22"/>
    <x v="1"/>
    <x v="16"/>
    <n v="1253000"/>
  </r>
  <r>
    <x v="22"/>
    <x v="0"/>
    <x v="17"/>
    <n v="1259000"/>
  </r>
  <r>
    <x v="22"/>
    <x v="1"/>
    <x v="17"/>
    <n v="1156000"/>
  </r>
  <r>
    <x v="22"/>
    <x v="0"/>
    <x v="18"/>
    <n v="1110000"/>
  </r>
  <r>
    <x v="22"/>
    <x v="1"/>
    <x v="18"/>
    <n v="1038000"/>
  </r>
  <r>
    <x v="22"/>
    <x v="0"/>
    <x v="19"/>
    <n v="880000"/>
  </r>
  <r>
    <x v="22"/>
    <x v="1"/>
    <x v="19"/>
    <n v="809000"/>
  </r>
  <r>
    <x v="22"/>
    <x v="0"/>
    <x v="20"/>
    <n v="722000"/>
  </r>
  <r>
    <x v="22"/>
    <x v="1"/>
    <x v="20"/>
    <n v="642000"/>
  </r>
  <r>
    <x v="22"/>
    <x v="0"/>
    <x v="21"/>
    <n v="552000"/>
  </r>
  <r>
    <x v="22"/>
    <x v="1"/>
    <x v="21"/>
    <n v="461000"/>
  </r>
  <r>
    <x v="22"/>
    <x v="0"/>
    <x v="22"/>
    <n v="409000"/>
  </r>
  <r>
    <x v="22"/>
    <x v="1"/>
    <x v="22"/>
    <n v="311000"/>
  </r>
  <r>
    <x v="22"/>
    <x v="0"/>
    <x v="23"/>
    <n v="247000"/>
  </r>
  <r>
    <x v="22"/>
    <x v="1"/>
    <x v="23"/>
    <n v="164000"/>
  </r>
  <r>
    <x v="22"/>
    <x v="0"/>
    <x v="25"/>
    <n v="172000"/>
  </r>
  <r>
    <x v="22"/>
    <x v="1"/>
    <x v="25"/>
    <n v="97000"/>
  </r>
  <r>
    <x v="23"/>
    <x v="0"/>
    <x v="0"/>
    <n v="345000"/>
  </r>
  <r>
    <x v="23"/>
    <x v="1"/>
    <x v="0"/>
    <n v="355000"/>
  </r>
  <r>
    <x v="23"/>
    <x v="0"/>
    <x v="1"/>
    <n v="1499000"/>
  </r>
  <r>
    <x v="23"/>
    <x v="1"/>
    <x v="1"/>
    <n v="1539000"/>
  </r>
  <r>
    <x v="23"/>
    <x v="0"/>
    <x v="2"/>
    <n v="1499000"/>
  </r>
  <r>
    <x v="23"/>
    <x v="1"/>
    <x v="2"/>
    <n v="1523000"/>
  </r>
  <r>
    <x v="23"/>
    <x v="0"/>
    <x v="3"/>
    <n v="1784000"/>
  </r>
  <r>
    <x v="23"/>
    <x v="1"/>
    <x v="3"/>
    <n v="1802000"/>
  </r>
  <r>
    <x v="23"/>
    <x v="0"/>
    <x v="4"/>
    <n v="1806000"/>
  </r>
  <r>
    <x v="23"/>
    <x v="1"/>
    <x v="4"/>
    <n v="1810000"/>
  </r>
  <r>
    <x v="23"/>
    <x v="0"/>
    <x v="5"/>
    <n v="1731000"/>
  </r>
  <r>
    <x v="23"/>
    <x v="1"/>
    <x v="5"/>
    <n v="1591000"/>
  </r>
  <r>
    <x v="23"/>
    <x v="0"/>
    <x v="13"/>
    <n v="1655000"/>
  </r>
  <r>
    <x v="23"/>
    <x v="1"/>
    <x v="13"/>
    <n v="1354000"/>
  </r>
  <r>
    <x v="23"/>
    <x v="0"/>
    <x v="14"/>
    <n v="1553000"/>
  </r>
  <r>
    <x v="23"/>
    <x v="1"/>
    <x v="14"/>
    <n v="1324000"/>
  </r>
  <r>
    <x v="23"/>
    <x v="0"/>
    <x v="15"/>
    <n v="1462000"/>
  </r>
  <r>
    <x v="23"/>
    <x v="1"/>
    <x v="15"/>
    <n v="1251000"/>
  </r>
  <r>
    <x v="23"/>
    <x v="0"/>
    <x v="16"/>
    <n v="1419000"/>
  </r>
  <r>
    <x v="23"/>
    <x v="1"/>
    <x v="16"/>
    <n v="1251000"/>
  </r>
  <r>
    <x v="23"/>
    <x v="0"/>
    <x v="17"/>
    <n v="1288000"/>
  </r>
  <r>
    <x v="23"/>
    <x v="1"/>
    <x v="17"/>
    <n v="1165000"/>
  </r>
  <r>
    <x v="23"/>
    <x v="0"/>
    <x v="18"/>
    <n v="1133000"/>
  </r>
  <r>
    <x v="23"/>
    <x v="1"/>
    <x v="18"/>
    <n v="1064000"/>
  </r>
  <r>
    <x v="23"/>
    <x v="0"/>
    <x v="19"/>
    <n v="907000"/>
  </r>
  <r>
    <x v="23"/>
    <x v="1"/>
    <x v="19"/>
    <n v="831000"/>
  </r>
  <r>
    <x v="23"/>
    <x v="0"/>
    <x v="20"/>
    <n v="737000"/>
  </r>
  <r>
    <x v="23"/>
    <x v="1"/>
    <x v="20"/>
    <n v="656000"/>
  </r>
  <r>
    <x v="23"/>
    <x v="0"/>
    <x v="21"/>
    <n v="567000"/>
  </r>
  <r>
    <x v="23"/>
    <x v="1"/>
    <x v="21"/>
    <n v="473000"/>
  </r>
  <r>
    <x v="23"/>
    <x v="0"/>
    <x v="22"/>
    <n v="412000"/>
  </r>
  <r>
    <x v="23"/>
    <x v="1"/>
    <x v="22"/>
    <n v="316000"/>
  </r>
  <r>
    <x v="23"/>
    <x v="0"/>
    <x v="23"/>
    <n v="251000"/>
  </r>
  <r>
    <x v="23"/>
    <x v="1"/>
    <x v="23"/>
    <n v="167000"/>
  </r>
  <r>
    <x v="23"/>
    <x v="0"/>
    <x v="25"/>
    <n v="176000"/>
  </r>
  <r>
    <x v="23"/>
    <x v="1"/>
    <x v="25"/>
    <n v="99000"/>
  </r>
  <r>
    <x v="24"/>
    <x v="0"/>
    <x v="0"/>
    <n v="336000"/>
  </r>
  <r>
    <x v="24"/>
    <x v="1"/>
    <x v="0"/>
    <n v="346000"/>
  </r>
  <r>
    <x v="24"/>
    <x v="0"/>
    <x v="1"/>
    <n v="1427000"/>
  </r>
  <r>
    <x v="24"/>
    <x v="1"/>
    <x v="1"/>
    <n v="1461000"/>
  </r>
  <r>
    <x v="24"/>
    <x v="0"/>
    <x v="2"/>
    <n v="1537000"/>
  </r>
  <r>
    <x v="24"/>
    <x v="1"/>
    <x v="2"/>
    <n v="1568000"/>
  </r>
  <r>
    <x v="24"/>
    <x v="0"/>
    <x v="3"/>
    <n v="1770000"/>
  </r>
  <r>
    <x v="24"/>
    <x v="1"/>
    <x v="3"/>
    <n v="1779000"/>
  </r>
  <r>
    <x v="24"/>
    <x v="0"/>
    <x v="4"/>
    <n v="1802000"/>
  </r>
  <r>
    <x v="24"/>
    <x v="1"/>
    <x v="4"/>
    <n v="1802000"/>
  </r>
  <r>
    <x v="24"/>
    <x v="0"/>
    <x v="5"/>
    <n v="1732000"/>
  </r>
  <r>
    <x v="24"/>
    <x v="1"/>
    <x v="5"/>
    <n v="1613000"/>
  </r>
  <r>
    <x v="24"/>
    <x v="0"/>
    <x v="13"/>
    <n v="1662000"/>
  </r>
  <r>
    <x v="24"/>
    <x v="1"/>
    <x v="13"/>
    <n v="1370000"/>
  </r>
  <r>
    <x v="24"/>
    <x v="0"/>
    <x v="14"/>
    <n v="1581000"/>
  </r>
  <r>
    <x v="24"/>
    <x v="1"/>
    <x v="14"/>
    <n v="1343000"/>
  </r>
  <r>
    <x v="24"/>
    <x v="0"/>
    <x v="15"/>
    <n v="1442000"/>
  </r>
  <r>
    <x v="24"/>
    <x v="1"/>
    <x v="15"/>
    <n v="1234000"/>
  </r>
  <r>
    <x v="24"/>
    <x v="0"/>
    <x v="16"/>
    <n v="1442000"/>
  </r>
  <r>
    <x v="24"/>
    <x v="1"/>
    <x v="16"/>
    <n v="1259000"/>
  </r>
  <r>
    <x v="24"/>
    <x v="0"/>
    <x v="17"/>
    <n v="1290000"/>
  </r>
  <r>
    <x v="24"/>
    <x v="1"/>
    <x v="17"/>
    <n v="1157000"/>
  </r>
  <r>
    <x v="24"/>
    <x v="0"/>
    <x v="18"/>
    <n v="1173000"/>
  </r>
  <r>
    <x v="24"/>
    <x v="1"/>
    <x v="18"/>
    <n v="1093000"/>
  </r>
  <r>
    <x v="24"/>
    <x v="0"/>
    <x v="19"/>
    <n v="908000"/>
  </r>
  <r>
    <x v="24"/>
    <x v="1"/>
    <x v="19"/>
    <n v="835000"/>
  </r>
  <r>
    <x v="24"/>
    <x v="0"/>
    <x v="20"/>
    <n v="772000"/>
  </r>
  <r>
    <x v="24"/>
    <x v="1"/>
    <x v="20"/>
    <n v="687000"/>
  </r>
  <r>
    <x v="24"/>
    <x v="0"/>
    <x v="21"/>
    <n v="572000"/>
  </r>
  <r>
    <x v="24"/>
    <x v="1"/>
    <x v="21"/>
    <n v="478000"/>
  </r>
  <r>
    <x v="24"/>
    <x v="0"/>
    <x v="22"/>
    <n v="429000"/>
  </r>
  <r>
    <x v="24"/>
    <x v="1"/>
    <x v="22"/>
    <n v="331000"/>
  </r>
  <r>
    <x v="24"/>
    <x v="0"/>
    <x v="23"/>
    <n v="250000"/>
  </r>
  <r>
    <x v="24"/>
    <x v="1"/>
    <x v="23"/>
    <n v="165000"/>
  </r>
  <r>
    <x v="24"/>
    <x v="0"/>
    <x v="25"/>
    <n v="185000"/>
  </r>
  <r>
    <x v="24"/>
    <x v="1"/>
    <x v="25"/>
    <n v="104000"/>
  </r>
  <r>
    <x v="25"/>
    <x v="0"/>
    <x v="0"/>
    <n v="328000"/>
  </r>
  <r>
    <x v="25"/>
    <x v="1"/>
    <x v="0"/>
    <n v="337000"/>
  </r>
  <r>
    <x v="25"/>
    <x v="0"/>
    <x v="1"/>
    <n v="1354000"/>
  </r>
  <r>
    <x v="25"/>
    <x v="1"/>
    <x v="1"/>
    <n v="1388000"/>
  </r>
  <r>
    <x v="25"/>
    <x v="0"/>
    <x v="2"/>
    <n v="1599000"/>
  </r>
  <r>
    <x v="25"/>
    <x v="1"/>
    <x v="2"/>
    <n v="1634000"/>
  </r>
  <r>
    <x v="25"/>
    <x v="0"/>
    <x v="3"/>
    <n v="1733000"/>
  </r>
  <r>
    <x v="25"/>
    <x v="1"/>
    <x v="3"/>
    <n v="1746000"/>
  </r>
  <r>
    <x v="25"/>
    <x v="0"/>
    <x v="4"/>
    <n v="1795000"/>
  </r>
  <r>
    <x v="25"/>
    <x v="1"/>
    <x v="4"/>
    <n v="1793000"/>
  </r>
  <r>
    <x v="25"/>
    <x v="0"/>
    <x v="5"/>
    <n v="1744000"/>
  </r>
  <r>
    <x v="25"/>
    <x v="1"/>
    <x v="5"/>
    <n v="1645000"/>
  </r>
  <r>
    <x v="25"/>
    <x v="0"/>
    <x v="13"/>
    <n v="1666000"/>
  </r>
  <r>
    <x v="25"/>
    <x v="1"/>
    <x v="13"/>
    <n v="1398000"/>
  </r>
  <r>
    <x v="25"/>
    <x v="0"/>
    <x v="14"/>
    <n v="1570000"/>
  </r>
  <r>
    <x v="25"/>
    <x v="1"/>
    <x v="14"/>
    <n v="1338000"/>
  </r>
  <r>
    <x v="25"/>
    <x v="0"/>
    <x v="15"/>
    <n v="1463000"/>
  </r>
  <r>
    <x v="25"/>
    <x v="1"/>
    <x v="15"/>
    <n v="1246000"/>
  </r>
  <r>
    <x v="25"/>
    <x v="0"/>
    <x v="16"/>
    <n v="1424000"/>
  </r>
  <r>
    <x v="25"/>
    <x v="1"/>
    <x v="16"/>
    <n v="1241000"/>
  </r>
  <r>
    <x v="25"/>
    <x v="0"/>
    <x v="17"/>
    <n v="1318000"/>
  </r>
  <r>
    <x v="25"/>
    <x v="1"/>
    <x v="17"/>
    <n v="1166000"/>
  </r>
  <r>
    <x v="25"/>
    <x v="0"/>
    <x v="18"/>
    <n v="1179000"/>
  </r>
  <r>
    <x v="25"/>
    <x v="1"/>
    <x v="18"/>
    <n v="1104000"/>
  </r>
  <r>
    <x v="25"/>
    <x v="0"/>
    <x v="19"/>
    <n v="960000"/>
  </r>
  <r>
    <x v="25"/>
    <x v="1"/>
    <x v="19"/>
    <n v="878000"/>
  </r>
  <r>
    <x v="25"/>
    <x v="0"/>
    <x v="20"/>
    <n v="768000"/>
  </r>
  <r>
    <x v="25"/>
    <x v="1"/>
    <x v="20"/>
    <n v="687000"/>
  </r>
  <r>
    <x v="25"/>
    <x v="0"/>
    <x v="21"/>
    <n v="598000"/>
  </r>
  <r>
    <x v="25"/>
    <x v="1"/>
    <x v="21"/>
    <n v="498000"/>
  </r>
  <r>
    <x v="25"/>
    <x v="0"/>
    <x v="22"/>
    <n v="441000"/>
  </r>
  <r>
    <x v="25"/>
    <x v="1"/>
    <x v="22"/>
    <n v="343000"/>
  </r>
  <r>
    <x v="25"/>
    <x v="0"/>
    <x v="23"/>
    <n v="261000"/>
  </r>
  <r>
    <x v="25"/>
    <x v="1"/>
    <x v="23"/>
    <n v="172000"/>
  </r>
  <r>
    <x v="25"/>
    <x v="0"/>
    <x v="25"/>
    <n v="191000"/>
  </r>
  <r>
    <x v="25"/>
    <x v="1"/>
    <x v="25"/>
    <n v="108000"/>
  </r>
  <r>
    <x v="26"/>
    <x v="0"/>
    <x v="0"/>
    <n v="317000"/>
  </r>
  <r>
    <x v="26"/>
    <x v="1"/>
    <x v="0"/>
    <n v="324000"/>
  </r>
  <r>
    <x v="26"/>
    <x v="0"/>
    <x v="1"/>
    <n v="1305000"/>
  </r>
  <r>
    <x v="26"/>
    <x v="1"/>
    <x v="1"/>
    <n v="1335000"/>
  </r>
  <r>
    <x v="26"/>
    <x v="0"/>
    <x v="2"/>
    <n v="1658000"/>
  </r>
  <r>
    <x v="26"/>
    <x v="1"/>
    <x v="2"/>
    <n v="1694000"/>
  </r>
  <r>
    <x v="26"/>
    <x v="0"/>
    <x v="3"/>
    <n v="1681000"/>
  </r>
  <r>
    <x v="26"/>
    <x v="1"/>
    <x v="3"/>
    <n v="1692000"/>
  </r>
  <r>
    <x v="26"/>
    <x v="0"/>
    <x v="4"/>
    <n v="1782000"/>
  </r>
  <r>
    <x v="26"/>
    <x v="1"/>
    <x v="4"/>
    <n v="1778000"/>
  </r>
  <r>
    <x v="26"/>
    <x v="0"/>
    <x v="5"/>
    <n v="1755000"/>
  </r>
  <r>
    <x v="26"/>
    <x v="1"/>
    <x v="5"/>
    <n v="1670000"/>
  </r>
  <r>
    <x v="26"/>
    <x v="0"/>
    <x v="13"/>
    <n v="1673000"/>
  </r>
  <r>
    <x v="26"/>
    <x v="1"/>
    <x v="13"/>
    <n v="1441000"/>
  </r>
  <r>
    <x v="26"/>
    <x v="0"/>
    <x v="14"/>
    <n v="1585000"/>
  </r>
  <r>
    <x v="26"/>
    <x v="1"/>
    <x v="14"/>
    <n v="1346000"/>
  </r>
  <r>
    <x v="26"/>
    <x v="0"/>
    <x v="15"/>
    <n v="1472000"/>
  </r>
  <r>
    <x v="26"/>
    <x v="1"/>
    <x v="15"/>
    <n v="1252000"/>
  </r>
  <r>
    <x v="26"/>
    <x v="0"/>
    <x v="16"/>
    <n v="1422000"/>
  </r>
  <r>
    <x v="26"/>
    <x v="1"/>
    <x v="16"/>
    <n v="1230000"/>
  </r>
  <r>
    <x v="26"/>
    <x v="0"/>
    <x v="17"/>
    <n v="1338000"/>
  </r>
  <r>
    <x v="26"/>
    <x v="1"/>
    <x v="17"/>
    <n v="1179000"/>
  </r>
  <r>
    <x v="26"/>
    <x v="0"/>
    <x v="18"/>
    <n v="1193000"/>
  </r>
  <r>
    <x v="26"/>
    <x v="1"/>
    <x v="18"/>
    <n v="1105000"/>
  </r>
  <r>
    <x v="26"/>
    <x v="0"/>
    <x v="19"/>
    <n v="983000"/>
  </r>
  <r>
    <x v="26"/>
    <x v="1"/>
    <x v="19"/>
    <n v="902000"/>
  </r>
  <r>
    <x v="26"/>
    <x v="0"/>
    <x v="20"/>
    <n v="793000"/>
  </r>
  <r>
    <x v="26"/>
    <x v="1"/>
    <x v="20"/>
    <n v="706000"/>
  </r>
  <r>
    <x v="26"/>
    <x v="0"/>
    <x v="21"/>
    <n v="613000"/>
  </r>
  <r>
    <x v="26"/>
    <x v="1"/>
    <x v="21"/>
    <n v="512000"/>
  </r>
  <r>
    <x v="26"/>
    <x v="0"/>
    <x v="22"/>
    <n v="448000"/>
  </r>
  <r>
    <x v="26"/>
    <x v="1"/>
    <x v="22"/>
    <n v="346000"/>
  </r>
  <r>
    <x v="26"/>
    <x v="0"/>
    <x v="23"/>
    <n v="271000"/>
  </r>
  <r>
    <x v="26"/>
    <x v="1"/>
    <x v="23"/>
    <n v="181000"/>
  </r>
  <r>
    <x v="26"/>
    <x v="0"/>
    <x v="25"/>
    <n v="195000"/>
  </r>
  <r>
    <x v="26"/>
    <x v="1"/>
    <x v="25"/>
    <n v="109000"/>
  </r>
  <r>
    <x v="27"/>
    <x v="0"/>
    <x v="0"/>
    <n v="307000"/>
  </r>
  <r>
    <x v="27"/>
    <x v="1"/>
    <x v="0"/>
    <n v="316000"/>
  </r>
  <r>
    <x v="27"/>
    <x v="0"/>
    <x v="1"/>
    <n v="1274000"/>
  </r>
  <r>
    <x v="27"/>
    <x v="1"/>
    <x v="1"/>
    <n v="1299000"/>
  </r>
  <r>
    <x v="27"/>
    <x v="0"/>
    <x v="2"/>
    <n v="1728000"/>
  </r>
  <r>
    <x v="27"/>
    <x v="1"/>
    <x v="2"/>
    <n v="1768000"/>
  </r>
  <r>
    <x v="27"/>
    <x v="0"/>
    <x v="3"/>
    <n v="1585000"/>
  </r>
  <r>
    <x v="27"/>
    <x v="1"/>
    <x v="3"/>
    <n v="1599000"/>
  </r>
  <r>
    <x v="27"/>
    <x v="0"/>
    <x v="4"/>
    <n v="1768000"/>
  </r>
  <r>
    <x v="27"/>
    <x v="1"/>
    <x v="4"/>
    <n v="1760000"/>
  </r>
  <r>
    <x v="27"/>
    <x v="0"/>
    <x v="5"/>
    <n v="1770000"/>
  </r>
  <r>
    <x v="27"/>
    <x v="1"/>
    <x v="5"/>
    <n v="1687000"/>
  </r>
  <r>
    <x v="27"/>
    <x v="0"/>
    <x v="13"/>
    <n v="1689000"/>
  </r>
  <r>
    <x v="27"/>
    <x v="1"/>
    <x v="13"/>
    <n v="1498000"/>
  </r>
  <r>
    <x v="27"/>
    <x v="0"/>
    <x v="14"/>
    <n v="1591000"/>
  </r>
  <r>
    <x v="27"/>
    <x v="1"/>
    <x v="14"/>
    <n v="1354000"/>
  </r>
  <r>
    <x v="27"/>
    <x v="0"/>
    <x v="15"/>
    <n v="1491000"/>
  </r>
  <r>
    <x v="27"/>
    <x v="1"/>
    <x v="15"/>
    <n v="1263000"/>
  </r>
  <r>
    <x v="27"/>
    <x v="0"/>
    <x v="16"/>
    <n v="1411000"/>
  </r>
  <r>
    <x v="27"/>
    <x v="1"/>
    <x v="16"/>
    <n v="1221000"/>
  </r>
  <r>
    <x v="27"/>
    <x v="0"/>
    <x v="17"/>
    <n v="1365000"/>
  </r>
  <r>
    <x v="27"/>
    <x v="1"/>
    <x v="17"/>
    <n v="1192000"/>
  </r>
  <r>
    <x v="27"/>
    <x v="0"/>
    <x v="18"/>
    <n v="1198000"/>
  </r>
  <r>
    <x v="27"/>
    <x v="1"/>
    <x v="18"/>
    <n v="1102000"/>
  </r>
  <r>
    <x v="27"/>
    <x v="0"/>
    <x v="19"/>
    <n v="1024000"/>
  </r>
  <r>
    <x v="27"/>
    <x v="1"/>
    <x v="19"/>
    <n v="932000"/>
  </r>
  <r>
    <x v="27"/>
    <x v="0"/>
    <x v="20"/>
    <n v="804000"/>
  </r>
  <r>
    <x v="27"/>
    <x v="1"/>
    <x v="20"/>
    <n v="717000"/>
  </r>
  <r>
    <x v="27"/>
    <x v="0"/>
    <x v="21"/>
    <n v="643000"/>
  </r>
  <r>
    <x v="27"/>
    <x v="1"/>
    <x v="21"/>
    <n v="536000"/>
  </r>
  <r>
    <x v="27"/>
    <x v="0"/>
    <x v="22"/>
    <n v="455000"/>
  </r>
  <r>
    <x v="27"/>
    <x v="1"/>
    <x v="22"/>
    <n v="349000"/>
  </r>
  <r>
    <x v="27"/>
    <x v="0"/>
    <x v="23"/>
    <n v="282000"/>
  </r>
  <r>
    <x v="27"/>
    <x v="1"/>
    <x v="23"/>
    <n v="191000"/>
  </r>
  <r>
    <x v="27"/>
    <x v="0"/>
    <x v="25"/>
    <n v="201000"/>
  </r>
  <r>
    <x v="27"/>
    <x v="1"/>
    <x v="25"/>
    <n v="113000"/>
  </r>
  <r>
    <x v="28"/>
    <x v="0"/>
    <x v="0"/>
    <n v="304000"/>
  </r>
  <r>
    <x v="28"/>
    <x v="1"/>
    <x v="0"/>
    <n v="312000"/>
  </r>
  <r>
    <x v="28"/>
    <x v="0"/>
    <x v="1"/>
    <n v="1235000"/>
  </r>
  <r>
    <x v="28"/>
    <x v="1"/>
    <x v="1"/>
    <n v="1263000"/>
  </r>
  <r>
    <x v="28"/>
    <x v="0"/>
    <x v="2"/>
    <n v="1786000"/>
  </r>
  <r>
    <x v="28"/>
    <x v="1"/>
    <x v="2"/>
    <n v="1824000"/>
  </r>
  <r>
    <x v="28"/>
    <x v="0"/>
    <x v="3"/>
    <n v="1490000"/>
  </r>
  <r>
    <x v="28"/>
    <x v="1"/>
    <x v="3"/>
    <n v="1511000"/>
  </r>
  <r>
    <x v="28"/>
    <x v="0"/>
    <x v="4"/>
    <n v="1760000"/>
  </r>
  <r>
    <x v="28"/>
    <x v="1"/>
    <x v="4"/>
    <n v="1746000"/>
  </r>
  <r>
    <x v="28"/>
    <x v="0"/>
    <x v="5"/>
    <n v="1785000"/>
  </r>
  <r>
    <x v="28"/>
    <x v="1"/>
    <x v="5"/>
    <n v="1710000"/>
  </r>
  <r>
    <x v="28"/>
    <x v="0"/>
    <x v="13"/>
    <n v="1703000"/>
  </r>
  <r>
    <x v="28"/>
    <x v="1"/>
    <x v="13"/>
    <n v="1550000"/>
  </r>
  <r>
    <x v="28"/>
    <x v="0"/>
    <x v="14"/>
    <n v="1599000"/>
  </r>
  <r>
    <x v="28"/>
    <x v="1"/>
    <x v="14"/>
    <n v="1369000"/>
  </r>
  <r>
    <x v="28"/>
    <x v="0"/>
    <x v="15"/>
    <n v="1497000"/>
  </r>
  <r>
    <x v="28"/>
    <x v="1"/>
    <x v="15"/>
    <n v="1268000"/>
  </r>
  <r>
    <x v="28"/>
    <x v="0"/>
    <x v="16"/>
    <n v="1426000"/>
  </r>
  <r>
    <x v="28"/>
    <x v="1"/>
    <x v="16"/>
    <n v="1226000"/>
  </r>
  <r>
    <x v="28"/>
    <x v="0"/>
    <x v="17"/>
    <n v="1356000"/>
  </r>
  <r>
    <x v="28"/>
    <x v="1"/>
    <x v="17"/>
    <n v="1181000"/>
  </r>
  <r>
    <x v="28"/>
    <x v="0"/>
    <x v="18"/>
    <n v="1226000"/>
  </r>
  <r>
    <x v="28"/>
    <x v="1"/>
    <x v="18"/>
    <n v="1107000"/>
  </r>
  <r>
    <x v="28"/>
    <x v="0"/>
    <x v="19"/>
    <n v="1040000"/>
  </r>
  <r>
    <x v="28"/>
    <x v="1"/>
    <x v="19"/>
    <n v="949000"/>
  </r>
  <r>
    <x v="28"/>
    <x v="0"/>
    <x v="20"/>
    <n v="831000"/>
  </r>
  <r>
    <x v="28"/>
    <x v="1"/>
    <x v="20"/>
    <n v="739000"/>
  </r>
  <r>
    <x v="28"/>
    <x v="0"/>
    <x v="21"/>
    <n v="656000"/>
  </r>
  <r>
    <x v="28"/>
    <x v="1"/>
    <x v="21"/>
    <n v="547000"/>
  </r>
  <r>
    <x v="28"/>
    <x v="0"/>
    <x v="22"/>
    <n v="466000"/>
  </r>
  <r>
    <x v="28"/>
    <x v="1"/>
    <x v="22"/>
    <n v="357000"/>
  </r>
  <r>
    <x v="28"/>
    <x v="0"/>
    <x v="23"/>
    <n v="278000"/>
  </r>
  <r>
    <x v="28"/>
    <x v="1"/>
    <x v="23"/>
    <n v="189000"/>
  </r>
  <r>
    <x v="28"/>
    <x v="0"/>
    <x v="25"/>
    <n v="201000"/>
  </r>
  <r>
    <x v="28"/>
    <x v="1"/>
    <x v="25"/>
    <n v="113000"/>
  </r>
  <r>
    <x v="29"/>
    <x v="0"/>
    <x v="0"/>
    <n v="303000"/>
  </r>
  <r>
    <x v="29"/>
    <x v="1"/>
    <x v="0"/>
    <n v="309000"/>
  </r>
  <r>
    <x v="29"/>
    <x v="0"/>
    <x v="1"/>
    <n v="1208000"/>
  </r>
  <r>
    <x v="29"/>
    <x v="1"/>
    <x v="1"/>
    <n v="1236000"/>
  </r>
  <r>
    <x v="29"/>
    <x v="0"/>
    <x v="2"/>
    <n v="1697000"/>
  </r>
  <r>
    <x v="29"/>
    <x v="1"/>
    <x v="2"/>
    <n v="1734000"/>
  </r>
  <r>
    <x v="29"/>
    <x v="0"/>
    <x v="3"/>
    <n v="1544000"/>
  </r>
  <r>
    <x v="29"/>
    <x v="1"/>
    <x v="3"/>
    <n v="1576000"/>
  </r>
  <r>
    <x v="29"/>
    <x v="0"/>
    <x v="4"/>
    <n v="1746000"/>
  </r>
  <r>
    <x v="29"/>
    <x v="1"/>
    <x v="4"/>
    <n v="1732000"/>
  </r>
  <r>
    <x v="29"/>
    <x v="0"/>
    <x v="5"/>
    <n v="1786000"/>
  </r>
  <r>
    <x v="29"/>
    <x v="1"/>
    <x v="5"/>
    <n v="1714000"/>
  </r>
  <r>
    <x v="29"/>
    <x v="0"/>
    <x v="13"/>
    <n v="1713000"/>
  </r>
  <r>
    <x v="29"/>
    <x v="1"/>
    <x v="13"/>
    <n v="1596000"/>
  </r>
  <r>
    <x v="29"/>
    <x v="0"/>
    <x v="14"/>
    <n v="1612000"/>
  </r>
  <r>
    <x v="29"/>
    <x v="1"/>
    <x v="14"/>
    <n v="1405000"/>
  </r>
  <r>
    <x v="29"/>
    <x v="0"/>
    <x v="15"/>
    <n v="1527000"/>
  </r>
  <r>
    <x v="29"/>
    <x v="1"/>
    <x v="15"/>
    <n v="1287000"/>
  </r>
  <r>
    <x v="29"/>
    <x v="0"/>
    <x v="16"/>
    <n v="1412000"/>
  </r>
  <r>
    <x v="29"/>
    <x v="1"/>
    <x v="16"/>
    <n v="1217000"/>
  </r>
  <r>
    <x v="29"/>
    <x v="0"/>
    <x v="17"/>
    <n v="1380000"/>
  </r>
  <r>
    <x v="29"/>
    <x v="1"/>
    <x v="17"/>
    <n v="1191000"/>
  </r>
  <r>
    <x v="29"/>
    <x v="0"/>
    <x v="18"/>
    <n v="1230000"/>
  </r>
  <r>
    <x v="29"/>
    <x v="1"/>
    <x v="18"/>
    <n v="1106000"/>
  </r>
  <r>
    <x v="29"/>
    <x v="0"/>
    <x v="19"/>
    <n v="1079000"/>
  </r>
  <r>
    <x v="29"/>
    <x v="1"/>
    <x v="19"/>
    <n v="974000"/>
  </r>
  <r>
    <x v="29"/>
    <x v="0"/>
    <x v="20"/>
    <n v="834000"/>
  </r>
  <r>
    <x v="29"/>
    <x v="1"/>
    <x v="20"/>
    <n v="745000"/>
  </r>
  <r>
    <x v="29"/>
    <x v="0"/>
    <x v="21"/>
    <n v="693000"/>
  </r>
  <r>
    <x v="29"/>
    <x v="1"/>
    <x v="21"/>
    <n v="578000"/>
  </r>
  <r>
    <x v="29"/>
    <x v="0"/>
    <x v="22"/>
    <n v="470000"/>
  </r>
  <r>
    <x v="29"/>
    <x v="1"/>
    <x v="22"/>
    <n v="362000"/>
  </r>
  <r>
    <x v="29"/>
    <x v="0"/>
    <x v="23"/>
    <n v="293000"/>
  </r>
  <r>
    <x v="29"/>
    <x v="1"/>
    <x v="23"/>
    <n v="199000"/>
  </r>
  <r>
    <x v="29"/>
    <x v="0"/>
    <x v="25"/>
    <n v="202000"/>
  </r>
  <r>
    <x v="29"/>
    <x v="1"/>
    <x v="25"/>
    <n v="111000"/>
  </r>
  <r>
    <x v="30"/>
    <x v="0"/>
    <x v="0"/>
    <n v="301200"/>
  </r>
  <r>
    <x v="30"/>
    <x v="1"/>
    <x v="0"/>
    <n v="310900"/>
  </r>
  <r>
    <x v="30"/>
    <x v="0"/>
    <x v="1"/>
    <n v="1187900"/>
  </r>
  <r>
    <x v="30"/>
    <x v="1"/>
    <x v="1"/>
    <n v="1211800"/>
  </r>
  <r>
    <x v="30"/>
    <x v="0"/>
    <x v="2"/>
    <n v="1633900"/>
  </r>
  <r>
    <x v="30"/>
    <x v="1"/>
    <x v="2"/>
    <n v="1664900"/>
  </r>
  <r>
    <x v="30"/>
    <x v="0"/>
    <x v="3"/>
    <n v="1600200"/>
  </r>
  <r>
    <x v="30"/>
    <x v="1"/>
    <x v="3"/>
    <n v="1634800"/>
  </r>
  <r>
    <x v="30"/>
    <x v="0"/>
    <x v="4"/>
    <n v="1712500"/>
  </r>
  <r>
    <x v="30"/>
    <x v="1"/>
    <x v="4"/>
    <n v="1697700"/>
  </r>
  <r>
    <x v="30"/>
    <x v="0"/>
    <x v="5"/>
    <n v="1787000"/>
  </r>
  <r>
    <x v="30"/>
    <x v="1"/>
    <x v="5"/>
    <n v="1706200"/>
  </r>
  <r>
    <x v="30"/>
    <x v="0"/>
    <x v="13"/>
    <n v="1733500"/>
  </r>
  <r>
    <x v="30"/>
    <x v="1"/>
    <x v="13"/>
    <n v="1643600"/>
  </r>
  <r>
    <x v="30"/>
    <x v="0"/>
    <x v="14"/>
    <n v="1620200"/>
  </r>
  <r>
    <x v="30"/>
    <x v="1"/>
    <x v="14"/>
    <n v="1445500"/>
  </r>
  <r>
    <x v="30"/>
    <x v="0"/>
    <x v="15"/>
    <n v="1519300"/>
  </r>
  <r>
    <x v="30"/>
    <x v="1"/>
    <x v="15"/>
    <n v="1278700"/>
  </r>
  <r>
    <x v="30"/>
    <x v="0"/>
    <x v="16"/>
    <n v="1439900"/>
  </r>
  <r>
    <x v="30"/>
    <x v="1"/>
    <x v="16"/>
    <n v="1234300"/>
  </r>
  <r>
    <x v="30"/>
    <x v="0"/>
    <x v="17"/>
    <n v="1364700"/>
  </r>
  <r>
    <x v="30"/>
    <x v="1"/>
    <x v="17"/>
    <n v="1171700"/>
  </r>
  <r>
    <x v="30"/>
    <x v="0"/>
    <x v="18"/>
    <n v="1261200"/>
  </r>
  <r>
    <x v="30"/>
    <x v="1"/>
    <x v="18"/>
    <n v="1116100"/>
  </r>
  <r>
    <x v="30"/>
    <x v="0"/>
    <x v="19"/>
    <n v="1084300"/>
  </r>
  <r>
    <x v="30"/>
    <x v="1"/>
    <x v="19"/>
    <n v="978700"/>
  </r>
  <r>
    <x v="30"/>
    <x v="0"/>
    <x v="20"/>
    <n v="887800"/>
  </r>
  <r>
    <x v="30"/>
    <x v="1"/>
    <x v="20"/>
    <n v="787600"/>
  </r>
  <r>
    <x v="30"/>
    <x v="0"/>
    <x v="21"/>
    <n v="690600"/>
  </r>
  <r>
    <x v="30"/>
    <x v="1"/>
    <x v="21"/>
    <n v="576000"/>
  </r>
  <r>
    <x v="30"/>
    <x v="0"/>
    <x v="22"/>
    <n v="493900"/>
  </r>
  <r>
    <x v="30"/>
    <x v="1"/>
    <x v="22"/>
    <n v="379300"/>
  </r>
  <r>
    <x v="30"/>
    <x v="0"/>
    <x v="23"/>
    <n v="299400"/>
  </r>
  <r>
    <x v="30"/>
    <x v="1"/>
    <x v="23"/>
    <n v="205900"/>
  </r>
  <r>
    <x v="30"/>
    <x v="0"/>
    <x v="25"/>
    <n v="210500"/>
  </r>
  <r>
    <x v="30"/>
    <x v="1"/>
    <x v="25"/>
    <n v="116300"/>
  </r>
  <r>
    <x v="31"/>
    <x v="0"/>
    <x v="0"/>
    <n v="292100"/>
  </r>
  <r>
    <x v="31"/>
    <x v="1"/>
    <x v="0"/>
    <n v="302600"/>
  </r>
  <r>
    <x v="31"/>
    <x v="0"/>
    <x v="1"/>
    <n v="1178200"/>
  </r>
  <r>
    <x v="31"/>
    <x v="1"/>
    <x v="1"/>
    <n v="1205200"/>
  </r>
  <r>
    <x v="31"/>
    <x v="0"/>
    <x v="2"/>
    <n v="1578400"/>
  </r>
  <r>
    <x v="31"/>
    <x v="1"/>
    <x v="2"/>
    <n v="1606800"/>
  </r>
  <r>
    <x v="31"/>
    <x v="0"/>
    <x v="3"/>
    <n v="1656200"/>
  </r>
  <r>
    <x v="31"/>
    <x v="1"/>
    <x v="3"/>
    <n v="1692000"/>
  </r>
  <r>
    <x v="31"/>
    <x v="0"/>
    <x v="4"/>
    <n v="1659800"/>
  </r>
  <r>
    <x v="31"/>
    <x v="1"/>
    <x v="4"/>
    <n v="1653200"/>
  </r>
  <r>
    <x v="31"/>
    <x v="0"/>
    <x v="5"/>
    <n v="1780200"/>
  </r>
  <r>
    <x v="31"/>
    <x v="1"/>
    <x v="5"/>
    <n v="1706900"/>
  </r>
  <r>
    <x v="31"/>
    <x v="0"/>
    <x v="13"/>
    <n v="1751800"/>
  </r>
  <r>
    <x v="31"/>
    <x v="1"/>
    <x v="13"/>
    <n v="1663400"/>
  </r>
  <r>
    <x v="31"/>
    <x v="0"/>
    <x v="14"/>
    <n v="1641400"/>
  </r>
  <r>
    <x v="31"/>
    <x v="1"/>
    <x v="14"/>
    <n v="1512200"/>
  </r>
  <r>
    <x v="31"/>
    <x v="0"/>
    <x v="15"/>
    <n v="1532100"/>
  </r>
  <r>
    <x v="31"/>
    <x v="1"/>
    <x v="15"/>
    <n v="1289200"/>
  </r>
  <r>
    <x v="31"/>
    <x v="0"/>
    <x v="16"/>
    <n v="1448100"/>
  </r>
  <r>
    <x v="31"/>
    <x v="1"/>
    <x v="16"/>
    <n v="1239100"/>
  </r>
  <r>
    <x v="31"/>
    <x v="0"/>
    <x v="17"/>
    <n v="1371700"/>
  </r>
  <r>
    <x v="31"/>
    <x v="1"/>
    <x v="17"/>
    <n v="1174500"/>
  </r>
  <r>
    <x v="31"/>
    <x v="0"/>
    <x v="18"/>
    <n v="1276700"/>
  </r>
  <r>
    <x v="31"/>
    <x v="1"/>
    <x v="18"/>
    <n v="1122200"/>
  </r>
  <r>
    <x v="31"/>
    <x v="0"/>
    <x v="19"/>
    <n v="1106500"/>
  </r>
  <r>
    <x v="31"/>
    <x v="1"/>
    <x v="19"/>
    <n v="994700"/>
  </r>
  <r>
    <x v="31"/>
    <x v="0"/>
    <x v="20"/>
    <n v="907400"/>
  </r>
  <r>
    <x v="31"/>
    <x v="1"/>
    <x v="20"/>
    <n v="806200"/>
  </r>
  <r>
    <x v="31"/>
    <x v="0"/>
    <x v="21"/>
    <n v="707100"/>
  </r>
  <r>
    <x v="31"/>
    <x v="1"/>
    <x v="21"/>
    <n v="591400"/>
  </r>
  <r>
    <x v="31"/>
    <x v="0"/>
    <x v="22"/>
    <n v="508500"/>
  </r>
  <r>
    <x v="31"/>
    <x v="1"/>
    <x v="22"/>
    <n v="389900"/>
  </r>
  <r>
    <x v="31"/>
    <x v="0"/>
    <x v="23"/>
    <n v="308900"/>
  </r>
  <r>
    <x v="31"/>
    <x v="1"/>
    <x v="23"/>
    <n v="211300"/>
  </r>
  <r>
    <x v="31"/>
    <x v="0"/>
    <x v="25"/>
    <n v="215900"/>
  </r>
  <r>
    <x v="31"/>
    <x v="1"/>
    <x v="25"/>
    <n v="119200"/>
  </r>
  <r>
    <x v="32"/>
    <x v="0"/>
    <x v="0"/>
    <n v="279900"/>
  </r>
  <r>
    <x v="32"/>
    <x v="1"/>
    <x v="0"/>
    <n v="289800"/>
  </r>
  <r>
    <x v="32"/>
    <x v="0"/>
    <x v="1"/>
    <n v="1167100"/>
  </r>
  <r>
    <x v="32"/>
    <x v="1"/>
    <x v="1"/>
    <n v="1196800"/>
  </r>
  <r>
    <x v="32"/>
    <x v="0"/>
    <x v="2"/>
    <n v="1538500"/>
  </r>
  <r>
    <x v="32"/>
    <x v="1"/>
    <x v="2"/>
    <n v="1566400"/>
  </r>
  <r>
    <x v="32"/>
    <x v="0"/>
    <x v="3"/>
    <n v="1721200"/>
  </r>
  <r>
    <x v="32"/>
    <x v="1"/>
    <x v="3"/>
    <n v="1757400"/>
  </r>
  <r>
    <x v="32"/>
    <x v="0"/>
    <x v="4"/>
    <n v="1573400"/>
  </r>
  <r>
    <x v="32"/>
    <x v="1"/>
    <x v="4"/>
    <n v="1571900"/>
  </r>
  <r>
    <x v="32"/>
    <x v="0"/>
    <x v="5"/>
    <n v="1769600"/>
  </r>
  <r>
    <x v="32"/>
    <x v="1"/>
    <x v="5"/>
    <n v="1699400"/>
  </r>
  <r>
    <x v="32"/>
    <x v="0"/>
    <x v="13"/>
    <n v="1769500"/>
  </r>
  <r>
    <x v="32"/>
    <x v="1"/>
    <x v="13"/>
    <n v="1680300"/>
  </r>
  <r>
    <x v="32"/>
    <x v="0"/>
    <x v="14"/>
    <n v="1663400"/>
  </r>
  <r>
    <x v="32"/>
    <x v="1"/>
    <x v="14"/>
    <n v="1570800"/>
  </r>
  <r>
    <x v="32"/>
    <x v="0"/>
    <x v="15"/>
    <n v="1545500"/>
  </r>
  <r>
    <x v="32"/>
    <x v="1"/>
    <x v="15"/>
    <n v="1301300"/>
  </r>
  <r>
    <x v="32"/>
    <x v="0"/>
    <x v="16"/>
    <n v="1456100"/>
  </r>
  <r>
    <x v="32"/>
    <x v="1"/>
    <x v="16"/>
    <n v="1240600"/>
  </r>
  <r>
    <x v="32"/>
    <x v="0"/>
    <x v="17"/>
    <n v="1378300"/>
  </r>
  <r>
    <x v="32"/>
    <x v="1"/>
    <x v="17"/>
    <n v="1178300"/>
  </r>
  <r>
    <x v="32"/>
    <x v="0"/>
    <x v="18"/>
    <n v="1288100"/>
  </r>
  <r>
    <x v="32"/>
    <x v="1"/>
    <x v="18"/>
    <n v="1124000"/>
  </r>
  <r>
    <x v="32"/>
    <x v="0"/>
    <x v="19"/>
    <n v="1128600"/>
  </r>
  <r>
    <x v="32"/>
    <x v="1"/>
    <x v="19"/>
    <n v="1008700"/>
  </r>
  <r>
    <x v="32"/>
    <x v="0"/>
    <x v="20"/>
    <n v="927900"/>
  </r>
  <r>
    <x v="32"/>
    <x v="1"/>
    <x v="20"/>
    <n v="824300"/>
  </r>
  <r>
    <x v="32"/>
    <x v="0"/>
    <x v="21"/>
    <n v="725500"/>
  </r>
  <r>
    <x v="32"/>
    <x v="1"/>
    <x v="21"/>
    <n v="608200"/>
  </r>
  <r>
    <x v="32"/>
    <x v="0"/>
    <x v="22"/>
    <n v="521700"/>
  </r>
  <r>
    <x v="32"/>
    <x v="1"/>
    <x v="22"/>
    <n v="400200"/>
  </r>
  <r>
    <x v="32"/>
    <x v="0"/>
    <x v="23"/>
    <n v="318200"/>
  </r>
  <r>
    <x v="32"/>
    <x v="1"/>
    <x v="23"/>
    <n v="216100"/>
  </r>
  <r>
    <x v="32"/>
    <x v="0"/>
    <x v="25"/>
    <n v="220500"/>
  </r>
  <r>
    <x v="32"/>
    <x v="1"/>
    <x v="25"/>
    <n v="122000"/>
  </r>
  <r>
    <x v="33"/>
    <x v="0"/>
    <x v="0"/>
    <n v="272300"/>
  </r>
  <r>
    <x v="33"/>
    <x v="1"/>
    <x v="0"/>
    <n v="282200"/>
  </r>
  <r>
    <x v="33"/>
    <x v="0"/>
    <x v="1"/>
    <n v="1143100"/>
  </r>
  <r>
    <x v="33"/>
    <x v="1"/>
    <x v="1"/>
    <n v="1174300"/>
  </r>
  <r>
    <x v="33"/>
    <x v="0"/>
    <x v="2"/>
    <n v="1505500"/>
  </r>
  <r>
    <x v="33"/>
    <x v="1"/>
    <x v="2"/>
    <n v="1532700"/>
  </r>
  <r>
    <x v="33"/>
    <x v="0"/>
    <x v="3"/>
    <n v="1779300"/>
  </r>
  <r>
    <x v="33"/>
    <x v="1"/>
    <x v="3"/>
    <n v="1812200"/>
  </r>
  <r>
    <x v="33"/>
    <x v="0"/>
    <x v="4"/>
    <n v="1482500"/>
  </r>
  <r>
    <x v="33"/>
    <x v="1"/>
    <x v="4"/>
    <n v="1487300"/>
  </r>
  <r>
    <x v="33"/>
    <x v="0"/>
    <x v="5"/>
    <n v="1763300"/>
  </r>
  <r>
    <x v="33"/>
    <x v="1"/>
    <x v="5"/>
    <n v="1694200"/>
  </r>
  <r>
    <x v="33"/>
    <x v="0"/>
    <x v="13"/>
    <n v="1780700"/>
  </r>
  <r>
    <x v="33"/>
    <x v="1"/>
    <x v="13"/>
    <n v="1693800"/>
  </r>
  <r>
    <x v="33"/>
    <x v="0"/>
    <x v="14"/>
    <n v="1684600"/>
  </r>
  <r>
    <x v="33"/>
    <x v="1"/>
    <x v="14"/>
    <n v="1615200"/>
  </r>
  <r>
    <x v="33"/>
    <x v="0"/>
    <x v="15"/>
    <n v="1559900"/>
  </r>
  <r>
    <x v="33"/>
    <x v="1"/>
    <x v="15"/>
    <n v="1324500"/>
  </r>
  <r>
    <x v="33"/>
    <x v="0"/>
    <x v="16"/>
    <n v="1464400"/>
  </r>
  <r>
    <x v="33"/>
    <x v="1"/>
    <x v="16"/>
    <n v="1240700"/>
  </r>
  <r>
    <x v="33"/>
    <x v="0"/>
    <x v="17"/>
    <n v="1385200"/>
  </r>
  <r>
    <x v="33"/>
    <x v="1"/>
    <x v="17"/>
    <n v="1184600"/>
  </r>
  <r>
    <x v="33"/>
    <x v="0"/>
    <x v="18"/>
    <n v="1297000"/>
  </r>
  <r>
    <x v="33"/>
    <x v="1"/>
    <x v="18"/>
    <n v="1122400"/>
  </r>
  <r>
    <x v="33"/>
    <x v="0"/>
    <x v="19"/>
    <n v="1149900"/>
  </r>
  <r>
    <x v="33"/>
    <x v="1"/>
    <x v="19"/>
    <n v="1019800"/>
  </r>
  <r>
    <x v="33"/>
    <x v="0"/>
    <x v="20"/>
    <n v="948500"/>
  </r>
  <r>
    <x v="33"/>
    <x v="1"/>
    <x v="20"/>
    <n v="840700"/>
  </r>
  <r>
    <x v="33"/>
    <x v="0"/>
    <x v="21"/>
    <n v="744400"/>
  </r>
  <r>
    <x v="33"/>
    <x v="1"/>
    <x v="21"/>
    <n v="625900"/>
  </r>
  <r>
    <x v="33"/>
    <x v="0"/>
    <x v="22"/>
    <n v="536000"/>
  </r>
  <r>
    <x v="33"/>
    <x v="1"/>
    <x v="22"/>
    <n v="411000"/>
  </r>
  <r>
    <x v="33"/>
    <x v="0"/>
    <x v="23"/>
    <n v="328700"/>
  </r>
  <r>
    <x v="33"/>
    <x v="1"/>
    <x v="23"/>
    <n v="223600"/>
  </r>
  <r>
    <x v="33"/>
    <x v="0"/>
    <x v="25"/>
    <n v="229700"/>
  </r>
  <r>
    <x v="33"/>
    <x v="1"/>
    <x v="25"/>
    <n v="126900"/>
  </r>
  <r>
    <x v="34"/>
    <x v="0"/>
    <x v="0"/>
    <n v="276900"/>
  </r>
  <r>
    <x v="34"/>
    <x v="1"/>
    <x v="0"/>
    <n v="289400"/>
  </r>
  <r>
    <x v="34"/>
    <x v="0"/>
    <x v="1"/>
    <n v="1116600"/>
  </r>
  <r>
    <x v="34"/>
    <x v="1"/>
    <x v="1"/>
    <n v="1149600"/>
  </r>
  <r>
    <x v="34"/>
    <x v="0"/>
    <x v="2"/>
    <n v="1482300"/>
  </r>
  <r>
    <x v="34"/>
    <x v="1"/>
    <x v="2"/>
    <n v="1508500"/>
  </r>
  <r>
    <x v="34"/>
    <x v="0"/>
    <x v="3"/>
    <n v="1692200"/>
  </r>
  <r>
    <x v="34"/>
    <x v="1"/>
    <x v="3"/>
    <n v="1719700"/>
  </r>
  <r>
    <x v="34"/>
    <x v="0"/>
    <x v="4"/>
    <n v="1538700"/>
  </r>
  <r>
    <x v="34"/>
    <x v="1"/>
    <x v="4"/>
    <n v="1550100"/>
  </r>
  <r>
    <x v="34"/>
    <x v="0"/>
    <x v="5"/>
    <n v="1754200"/>
  </r>
  <r>
    <x v="34"/>
    <x v="1"/>
    <x v="5"/>
    <n v="1690100"/>
  </r>
  <r>
    <x v="34"/>
    <x v="0"/>
    <x v="13"/>
    <n v="1784200"/>
  </r>
  <r>
    <x v="34"/>
    <x v="1"/>
    <x v="13"/>
    <n v="1704500"/>
  </r>
  <r>
    <x v="34"/>
    <x v="0"/>
    <x v="14"/>
    <n v="1705800"/>
  </r>
  <r>
    <x v="34"/>
    <x v="1"/>
    <x v="14"/>
    <n v="1641100"/>
  </r>
  <r>
    <x v="34"/>
    <x v="0"/>
    <x v="15"/>
    <n v="1577000"/>
  </r>
  <r>
    <x v="34"/>
    <x v="1"/>
    <x v="15"/>
    <n v="1368800"/>
  </r>
  <r>
    <x v="34"/>
    <x v="0"/>
    <x v="16"/>
    <n v="1475600"/>
  </r>
  <r>
    <x v="34"/>
    <x v="1"/>
    <x v="16"/>
    <n v="1243100"/>
  </r>
  <r>
    <x v="34"/>
    <x v="0"/>
    <x v="17"/>
    <n v="1395000"/>
  </r>
  <r>
    <x v="34"/>
    <x v="1"/>
    <x v="17"/>
    <n v="1193800"/>
  </r>
  <r>
    <x v="34"/>
    <x v="0"/>
    <x v="18"/>
    <n v="1306400"/>
  </r>
  <r>
    <x v="34"/>
    <x v="1"/>
    <x v="18"/>
    <n v="1121900"/>
  </r>
  <r>
    <x v="34"/>
    <x v="0"/>
    <x v="19"/>
    <n v="1171900"/>
  </r>
  <r>
    <x v="34"/>
    <x v="1"/>
    <x v="19"/>
    <n v="1030600"/>
  </r>
  <r>
    <x v="34"/>
    <x v="0"/>
    <x v="20"/>
    <n v="971700"/>
  </r>
  <r>
    <x v="34"/>
    <x v="1"/>
    <x v="20"/>
    <n v="857100"/>
  </r>
  <r>
    <x v="34"/>
    <x v="0"/>
    <x v="21"/>
    <n v="764100"/>
  </r>
  <r>
    <x v="34"/>
    <x v="1"/>
    <x v="21"/>
    <n v="644900"/>
  </r>
  <r>
    <x v="34"/>
    <x v="0"/>
    <x v="22"/>
    <n v="552600"/>
  </r>
  <r>
    <x v="34"/>
    <x v="1"/>
    <x v="22"/>
    <n v="423700"/>
  </r>
  <r>
    <x v="34"/>
    <x v="0"/>
    <x v="23"/>
    <n v="339500"/>
  </r>
  <r>
    <x v="34"/>
    <x v="1"/>
    <x v="23"/>
    <n v="230800"/>
  </r>
  <r>
    <x v="34"/>
    <x v="0"/>
    <x v="25"/>
    <n v="240300"/>
  </r>
  <r>
    <x v="34"/>
    <x v="1"/>
    <x v="25"/>
    <n v="132300"/>
  </r>
  <r>
    <x v="35"/>
    <x v="0"/>
    <x v="0"/>
    <n v="280700"/>
  </r>
  <r>
    <x v="35"/>
    <x v="1"/>
    <x v="0"/>
    <n v="292000"/>
  </r>
  <r>
    <x v="35"/>
    <x v="0"/>
    <x v="1"/>
    <n v="1093900"/>
  </r>
  <r>
    <x v="35"/>
    <x v="1"/>
    <x v="1"/>
    <n v="1131500"/>
  </r>
  <r>
    <x v="35"/>
    <x v="0"/>
    <x v="2"/>
    <n v="1463800"/>
  </r>
  <r>
    <x v="35"/>
    <x v="1"/>
    <x v="2"/>
    <n v="1492200"/>
  </r>
  <r>
    <x v="35"/>
    <x v="0"/>
    <x v="3"/>
    <n v="1628300"/>
  </r>
  <r>
    <x v="35"/>
    <x v="1"/>
    <x v="3"/>
    <n v="1653100"/>
  </r>
  <r>
    <x v="35"/>
    <x v="0"/>
    <x v="4"/>
    <n v="1603000"/>
  </r>
  <r>
    <x v="35"/>
    <x v="1"/>
    <x v="4"/>
    <n v="1615600"/>
  </r>
  <r>
    <x v="35"/>
    <x v="0"/>
    <x v="5"/>
    <n v="1719600"/>
  </r>
  <r>
    <x v="35"/>
    <x v="1"/>
    <x v="5"/>
    <n v="1660600"/>
  </r>
  <r>
    <x v="35"/>
    <x v="0"/>
    <x v="13"/>
    <n v="1787000"/>
  </r>
  <r>
    <x v="35"/>
    <x v="1"/>
    <x v="13"/>
    <n v="1706800"/>
  </r>
  <r>
    <x v="35"/>
    <x v="0"/>
    <x v="14"/>
    <n v="1724300"/>
  </r>
  <r>
    <x v="35"/>
    <x v="1"/>
    <x v="14"/>
    <n v="1652100"/>
  </r>
  <r>
    <x v="35"/>
    <x v="0"/>
    <x v="15"/>
    <n v="1598100"/>
  </r>
  <r>
    <x v="35"/>
    <x v="1"/>
    <x v="15"/>
    <n v="1423200"/>
  </r>
  <r>
    <x v="35"/>
    <x v="0"/>
    <x v="16"/>
    <n v="1490800"/>
  </r>
  <r>
    <x v="35"/>
    <x v="1"/>
    <x v="16"/>
    <n v="1249700"/>
  </r>
  <r>
    <x v="35"/>
    <x v="0"/>
    <x v="17"/>
    <n v="1406200"/>
  </r>
  <r>
    <x v="35"/>
    <x v="1"/>
    <x v="17"/>
    <n v="1204900"/>
  </r>
  <r>
    <x v="35"/>
    <x v="0"/>
    <x v="18"/>
    <n v="1315100"/>
  </r>
  <r>
    <x v="35"/>
    <x v="1"/>
    <x v="18"/>
    <n v="1125400"/>
  </r>
  <r>
    <x v="35"/>
    <x v="0"/>
    <x v="19"/>
    <n v="1191400"/>
  </r>
  <r>
    <x v="35"/>
    <x v="1"/>
    <x v="19"/>
    <n v="1041700"/>
  </r>
  <r>
    <x v="35"/>
    <x v="0"/>
    <x v="20"/>
    <n v="993800"/>
  </r>
  <r>
    <x v="35"/>
    <x v="1"/>
    <x v="20"/>
    <n v="872900"/>
  </r>
  <r>
    <x v="35"/>
    <x v="0"/>
    <x v="21"/>
    <n v="784900"/>
  </r>
  <r>
    <x v="35"/>
    <x v="1"/>
    <x v="21"/>
    <n v="663700"/>
  </r>
  <r>
    <x v="35"/>
    <x v="0"/>
    <x v="22"/>
    <n v="568800"/>
  </r>
  <r>
    <x v="35"/>
    <x v="1"/>
    <x v="22"/>
    <n v="434700"/>
  </r>
  <r>
    <x v="35"/>
    <x v="0"/>
    <x v="23"/>
    <n v="350600"/>
  </r>
  <r>
    <x v="35"/>
    <x v="1"/>
    <x v="23"/>
    <n v="236100"/>
  </r>
  <r>
    <x v="35"/>
    <x v="0"/>
    <x v="25"/>
    <n v="247700"/>
  </r>
  <r>
    <x v="35"/>
    <x v="1"/>
    <x v="25"/>
    <n v="135400"/>
  </r>
  <r>
    <x v="36"/>
    <x v="0"/>
    <x v="0"/>
    <n v="283900"/>
  </r>
  <r>
    <x v="36"/>
    <x v="1"/>
    <x v="0"/>
    <n v="296300"/>
  </r>
  <r>
    <x v="36"/>
    <x v="0"/>
    <x v="1"/>
    <n v="1085200"/>
  </r>
  <r>
    <x v="36"/>
    <x v="1"/>
    <x v="1"/>
    <n v="1124100"/>
  </r>
  <r>
    <x v="36"/>
    <x v="0"/>
    <x v="2"/>
    <n v="1445400"/>
  </r>
  <r>
    <x v="36"/>
    <x v="1"/>
    <x v="2"/>
    <n v="1477200"/>
  </r>
  <r>
    <x v="36"/>
    <x v="0"/>
    <x v="3"/>
    <n v="1575000"/>
  </r>
  <r>
    <x v="36"/>
    <x v="1"/>
    <x v="3"/>
    <n v="1596300"/>
  </r>
  <r>
    <x v="36"/>
    <x v="0"/>
    <x v="4"/>
    <n v="1662100"/>
  </r>
  <r>
    <x v="36"/>
    <x v="1"/>
    <x v="4"/>
    <n v="1677200"/>
  </r>
  <r>
    <x v="36"/>
    <x v="0"/>
    <x v="5"/>
    <n v="1670600"/>
  </r>
  <r>
    <x v="36"/>
    <x v="1"/>
    <x v="5"/>
    <n v="1630500"/>
  </r>
  <r>
    <x v="36"/>
    <x v="0"/>
    <x v="13"/>
    <n v="1778600"/>
  </r>
  <r>
    <x v="36"/>
    <x v="1"/>
    <x v="13"/>
    <n v="1709300"/>
  </r>
  <r>
    <x v="36"/>
    <x v="0"/>
    <x v="14"/>
    <n v="1738800"/>
  </r>
  <r>
    <x v="36"/>
    <x v="1"/>
    <x v="14"/>
    <n v="1669000"/>
  </r>
  <r>
    <x v="36"/>
    <x v="0"/>
    <x v="15"/>
    <n v="1616500"/>
  </r>
  <r>
    <x v="36"/>
    <x v="1"/>
    <x v="15"/>
    <n v="1482600"/>
  </r>
  <r>
    <x v="36"/>
    <x v="0"/>
    <x v="16"/>
    <n v="1504100"/>
  </r>
  <r>
    <x v="36"/>
    <x v="1"/>
    <x v="16"/>
    <n v="1259600"/>
  </r>
  <r>
    <x v="36"/>
    <x v="0"/>
    <x v="17"/>
    <n v="1416200"/>
  </r>
  <r>
    <x v="36"/>
    <x v="1"/>
    <x v="17"/>
    <n v="1213100"/>
  </r>
  <r>
    <x v="36"/>
    <x v="0"/>
    <x v="18"/>
    <n v="1322500"/>
  </r>
  <r>
    <x v="36"/>
    <x v="1"/>
    <x v="18"/>
    <n v="1129500"/>
  </r>
  <r>
    <x v="36"/>
    <x v="0"/>
    <x v="19"/>
    <n v="1207500"/>
  </r>
  <r>
    <x v="36"/>
    <x v="1"/>
    <x v="19"/>
    <n v="1046800"/>
  </r>
  <r>
    <x v="36"/>
    <x v="0"/>
    <x v="20"/>
    <n v="1014900"/>
  </r>
  <r>
    <x v="36"/>
    <x v="1"/>
    <x v="20"/>
    <n v="885800"/>
  </r>
  <r>
    <x v="36"/>
    <x v="0"/>
    <x v="21"/>
    <n v="805700"/>
  </r>
  <r>
    <x v="36"/>
    <x v="1"/>
    <x v="21"/>
    <n v="680900"/>
  </r>
  <r>
    <x v="36"/>
    <x v="0"/>
    <x v="22"/>
    <n v="584100"/>
  </r>
  <r>
    <x v="36"/>
    <x v="1"/>
    <x v="22"/>
    <n v="446300"/>
  </r>
  <r>
    <x v="36"/>
    <x v="0"/>
    <x v="23"/>
    <n v="360500"/>
  </r>
  <r>
    <x v="36"/>
    <x v="1"/>
    <x v="23"/>
    <n v="242700"/>
  </r>
  <r>
    <x v="36"/>
    <x v="0"/>
    <x v="25"/>
    <n v="254400"/>
  </r>
  <r>
    <x v="36"/>
    <x v="1"/>
    <x v="25"/>
    <n v="137800"/>
  </r>
  <r>
    <x v="37"/>
    <x v="0"/>
    <x v="0"/>
    <n v="290100"/>
  </r>
  <r>
    <x v="37"/>
    <x v="1"/>
    <x v="0"/>
    <n v="302800"/>
  </r>
  <r>
    <x v="37"/>
    <x v="0"/>
    <x v="1"/>
    <n v="1090400"/>
  </r>
  <r>
    <x v="37"/>
    <x v="1"/>
    <x v="1"/>
    <n v="1130900"/>
  </r>
  <r>
    <x v="37"/>
    <x v="0"/>
    <x v="2"/>
    <n v="1425000"/>
  </r>
  <r>
    <x v="37"/>
    <x v="1"/>
    <x v="2"/>
    <n v="1455200"/>
  </r>
  <r>
    <x v="37"/>
    <x v="0"/>
    <x v="3"/>
    <n v="1537700"/>
  </r>
  <r>
    <x v="37"/>
    <x v="1"/>
    <x v="3"/>
    <n v="1555800"/>
  </r>
  <r>
    <x v="37"/>
    <x v="0"/>
    <x v="4"/>
    <n v="1730900"/>
  </r>
  <r>
    <x v="37"/>
    <x v="1"/>
    <x v="4"/>
    <n v="1741800"/>
  </r>
  <r>
    <x v="37"/>
    <x v="0"/>
    <x v="5"/>
    <n v="1588400"/>
  </r>
  <r>
    <x v="37"/>
    <x v="1"/>
    <x v="5"/>
    <n v="1560700"/>
  </r>
  <r>
    <x v="37"/>
    <x v="0"/>
    <x v="13"/>
    <n v="1766000"/>
  </r>
  <r>
    <x v="37"/>
    <x v="1"/>
    <x v="13"/>
    <n v="1703200"/>
  </r>
  <r>
    <x v="37"/>
    <x v="0"/>
    <x v="14"/>
    <n v="1752500"/>
  </r>
  <r>
    <x v="37"/>
    <x v="1"/>
    <x v="14"/>
    <n v="1683300"/>
  </r>
  <r>
    <x v="37"/>
    <x v="0"/>
    <x v="15"/>
    <n v="1635100"/>
  </r>
  <r>
    <x v="37"/>
    <x v="1"/>
    <x v="15"/>
    <n v="1535500"/>
  </r>
  <r>
    <x v="37"/>
    <x v="0"/>
    <x v="16"/>
    <n v="1520100"/>
  </r>
  <r>
    <x v="37"/>
    <x v="1"/>
    <x v="16"/>
    <n v="1272500"/>
  </r>
  <r>
    <x v="37"/>
    <x v="0"/>
    <x v="17"/>
    <n v="1428000"/>
  </r>
  <r>
    <x v="37"/>
    <x v="1"/>
    <x v="17"/>
    <n v="1217600"/>
  </r>
  <r>
    <x v="37"/>
    <x v="0"/>
    <x v="18"/>
    <n v="1331700"/>
  </r>
  <r>
    <x v="37"/>
    <x v="1"/>
    <x v="18"/>
    <n v="1135100"/>
  </r>
  <r>
    <x v="37"/>
    <x v="0"/>
    <x v="19"/>
    <n v="1220600"/>
  </r>
  <r>
    <x v="37"/>
    <x v="1"/>
    <x v="19"/>
    <n v="1048600"/>
  </r>
  <r>
    <x v="37"/>
    <x v="0"/>
    <x v="20"/>
    <n v="1038200"/>
  </r>
  <r>
    <x v="37"/>
    <x v="1"/>
    <x v="20"/>
    <n v="898300"/>
  </r>
  <r>
    <x v="37"/>
    <x v="0"/>
    <x v="21"/>
    <n v="828500"/>
  </r>
  <r>
    <x v="37"/>
    <x v="1"/>
    <x v="21"/>
    <n v="697500"/>
  </r>
  <r>
    <x v="37"/>
    <x v="0"/>
    <x v="22"/>
    <n v="602600"/>
  </r>
  <r>
    <x v="37"/>
    <x v="1"/>
    <x v="22"/>
    <n v="461200"/>
  </r>
  <r>
    <x v="37"/>
    <x v="0"/>
    <x v="23"/>
    <n v="371300"/>
  </r>
  <r>
    <x v="37"/>
    <x v="1"/>
    <x v="23"/>
    <n v="248900"/>
  </r>
  <r>
    <x v="37"/>
    <x v="0"/>
    <x v="25"/>
    <n v="265900"/>
  </r>
  <r>
    <x v="37"/>
    <x v="1"/>
    <x v="25"/>
    <n v="143100"/>
  </r>
  <r>
    <x v="38"/>
    <x v="0"/>
    <x v="0"/>
    <n v="291700"/>
  </r>
  <r>
    <x v="38"/>
    <x v="1"/>
    <x v="0"/>
    <n v="304200"/>
  </r>
  <r>
    <x v="38"/>
    <x v="0"/>
    <x v="1"/>
    <n v="1112100"/>
  </r>
  <r>
    <x v="38"/>
    <x v="1"/>
    <x v="1"/>
    <n v="1155900"/>
  </r>
  <r>
    <x v="38"/>
    <x v="0"/>
    <x v="2"/>
    <n v="1397400"/>
  </r>
  <r>
    <x v="38"/>
    <x v="1"/>
    <x v="2"/>
    <n v="1430600"/>
  </r>
  <r>
    <x v="38"/>
    <x v="0"/>
    <x v="3"/>
    <n v="1508600"/>
  </r>
  <r>
    <x v="38"/>
    <x v="1"/>
    <x v="3"/>
    <n v="1525400"/>
  </r>
  <r>
    <x v="38"/>
    <x v="0"/>
    <x v="4"/>
    <n v="1795900"/>
  </r>
  <r>
    <x v="38"/>
    <x v="1"/>
    <x v="4"/>
    <n v="1755300"/>
  </r>
  <r>
    <x v="38"/>
    <x v="0"/>
    <x v="5"/>
    <n v="1505400"/>
  </r>
  <r>
    <x v="38"/>
    <x v="1"/>
    <x v="5"/>
    <n v="1399500"/>
  </r>
  <r>
    <x v="38"/>
    <x v="0"/>
    <x v="13"/>
    <n v="1763500"/>
  </r>
  <r>
    <x v="38"/>
    <x v="1"/>
    <x v="13"/>
    <n v="1658600"/>
  </r>
  <r>
    <x v="38"/>
    <x v="0"/>
    <x v="14"/>
    <n v="1764900"/>
  </r>
  <r>
    <x v="38"/>
    <x v="1"/>
    <x v="14"/>
    <n v="1670800"/>
  </r>
  <r>
    <x v="38"/>
    <x v="0"/>
    <x v="15"/>
    <n v="1658800"/>
  </r>
  <r>
    <x v="38"/>
    <x v="1"/>
    <x v="15"/>
    <n v="1566300"/>
  </r>
  <r>
    <x v="38"/>
    <x v="0"/>
    <x v="16"/>
    <n v="1541500"/>
  </r>
  <r>
    <x v="38"/>
    <x v="1"/>
    <x v="16"/>
    <n v="1292800"/>
  </r>
  <r>
    <x v="38"/>
    <x v="0"/>
    <x v="17"/>
    <n v="1443500"/>
  </r>
  <r>
    <x v="38"/>
    <x v="1"/>
    <x v="17"/>
    <n v="1220100"/>
  </r>
  <r>
    <x v="38"/>
    <x v="0"/>
    <x v="18"/>
    <n v="1344500"/>
  </r>
  <r>
    <x v="38"/>
    <x v="1"/>
    <x v="18"/>
    <n v="1147200"/>
  </r>
  <r>
    <x v="38"/>
    <x v="0"/>
    <x v="19"/>
    <n v="1233300"/>
  </r>
  <r>
    <x v="38"/>
    <x v="1"/>
    <x v="19"/>
    <n v="1049600"/>
  </r>
  <r>
    <x v="38"/>
    <x v="0"/>
    <x v="20"/>
    <n v="1063700"/>
  </r>
  <r>
    <x v="38"/>
    <x v="1"/>
    <x v="20"/>
    <n v="913000"/>
  </r>
  <r>
    <x v="38"/>
    <x v="0"/>
    <x v="21"/>
    <n v="854000"/>
  </r>
  <r>
    <x v="38"/>
    <x v="1"/>
    <x v="21"/>
    <n v="715400"/>
  </r>
  <r>
    <x v="38"/>
    <x v="0"/>
    <x v="22"/>
    <n v="623100"/>
  </r>
  <r>
    <x v="38"/>
    <x v="1"/>
    <x v="22"/>
    <n v="479000"/>
  </r>
  <r>
    <x v="38"/>
    <x v="0"/>
    <x v="23"/>
    <n v="381100"/>
  </r>
  <r>
    <x v="38"/>
    <x v="1"/>
    <x v="23"/>
    <n v="255100"/>
  </r>
  <r>
    <x v="38"/>
    <x v="0"/>
    <x v="25"/>
    <n v="275500"/>
  </r>
  <r>
    <x v="38"/>
    <x v="1"/>
    <x v="25"/>
    <n v="148700"/>
  </r>
  <r>
    <x v="39"/>
    <x v="0"/>
    <x v="0"/>
    <n v="284000"/>
  </r>
  <r>
    <x v="39"/>
    <x v="1"/>
    <x v="0"/>
    <n v="297000"/>
  </r>
  <r>
    <x v="39"/>
    <x v="0"/>
    <x v="1"/>
    <n v="1128000"/>
  </r>
  <r>
    <x v="39"/>
    <x v="1"/>
    <x v="1"/>
    <n v="1172000"/>
  </r>
  <r>
    <x v="39"/>
    <x v="0"/>
    <x v="2"/>
    <n v="1380000"/>
  </r>
  <r>
    <x v="39"/>
    <x v="1"/>
    <x v="2"/>
    <n v="1417000"/>
  </r>
  <r>
    <x v="39"/>
    <x v="0"/>
    <x v="3"/>
    <n v="1488000"/>
  </r>
  <r>
    <x v="39"/>
    <x v="1"/>
    <x v="3"/>
    <n v="1506000"/>
  </r>
  <r>
    <x v="39"/>
    <x v="0"/>
    <x v="4"/>
    <n v="1712000"/>
  </r>
  <r>
    <x v="39"/>
    <x v="1"/>
    <x v="4"/>
    <n v="1588000"/>
  </r>
  <r>
    <x v="39"/>
    <x v="0"/>
    <x v="5"/>
    <n v="1566000"/>
  </r>
  <r>
    <x v="39"/>
    <x v="1"/>
    <x v="5"/>
    <n v="763000"/>
  </r>
  <r>
    <x v="39"/>
    <x v="0"/>
    <x v="13"/>
    <n v="1762000"/>
  </r>
  <r>
    <x v="39"/>
    <x v="1"/>
    <x v="13"/>
    <n v="1280000"/>
  </r>
  <r>
    <x v="39"/>
    <x v="0"/>
    <x v="14"/>
    <n v="1773000"/>
  </r>
  <r>
    <x v="39"/>
    <x v="1"/>
    <x v="14"/>
    <n v="1501000"/>
  </r>
  <r>
    <x v="39"/>
    <x v="0"/>
    <x v="15"/>
    <n v="1684000"/>
  </r>
  <r>
    <x v="39"/>
    <x v="1"/>
    <x v="15"/>
    <n v="1497000"/>
  </r>
  <r>
    <x v="39"/>
    <x v="0"/>
    <x v="16"/>
    <n v="1558000"/>
  </r>
  <r>
    <x v="39"/>
    <x v="1"/>
    <x v="16"/>
    <n v="1288000"/>
  </r>
  <r>
    <x v="39"/>
    <x v="0"/>
    <x v="17"/>
    <n v="1455000"/>
  </r>
  <r>
    <x v="39"/>
    <x v="1"/>
    <x v="17"/>
    <n v="1193000"/>
  </r>
  <r>
    <x v="39"/>
    <x v="0"/>
    <x v="18"/>
    <n v="1356000"/>
  </r>
  <r>
    <x v="39"/>
    <x v="1"/>
    <x v="18"/>
    <n v="1147000"/>
  </r>
  <r>
    <x v="39"/>
    <x v="0"/>
    <x v="19"/>
    <n v="1244000"/>
  </r>
  <r>
    <x v="39"/>
    <x v="1"/>
    <x v="19"/>
    <n v="1052000"/>
  </r>
  <r>
    <x v="39"/>
    <x v="0"/>
    <x v="20"/>
    <n v="1085000"/>
  </r>
  <r>
    <x v="39"/>
    <x v="1"/>
    <x v="20"/>
    <n v="922000"/>
  </r>
  <r>
    <x v="39"/>
    <x v="0"/>
    <x v="21"/>
    <n v="869000"/>
  </r>
  <r>
    <x v="39"/>
    <x v="1"/>
    <x v="21"/>
    <n v="724000"/>
  </r>
  <r>
    <x v="39"/>
    <x v="0"/>
    <x v="22"/>
    <n v="631000"/>
  </r>
  <r>
    <x v="39"/>
    <x v="1"/>
    <x v="22"/>
    <n v="487000"/>
  </r>
  <r>
    <x v="39"/>
    <x v="0"/>
    <x v="23"/>
    <n v="390000"/>
  </r>
  <r>
    <x v="39"/>
    <x v="1"/>
    <x v="23"/>
    <n v="259000"/>
  </r>
  <r>
    <x v="39"/>
    <x v="0"/>
    <x v="24"/>
    <n v="194000"/>
  </r>
  <r>
    <x v="39"/>
    <x v="1"/>
    <x v="24"/>
    <n v="110000"/>
  </r>
  <r>
    <x v="39"/>
    <x v="0"/>
    <x v="6"/>
    <n v="87000"/>
  </r>
  <r>
    <x v="39"/>
    <x v="1"/>
    <x v="6"/>
    <n v="40000"/>
  </r>
  <r>
    <x v="40"/>
    <x v="0"/>
    <x v="0"/>
    <n v="268000"/>
  </r>
  <r>
    <x v="40"/>
    <x v="1"/>
    <x v="0"/>
    <n v="280000"/>
  </r>
  <r>
    <x v="40"/>
    <x v="0"/>
    <x v="1"/>
    <n v="1125000"/>
  </r>
  <r>
    <x v="40"/>
    <x v="1"/>
    <x v="1"/>
    <n v="1169000"/>
  </r>
  <r>
    <x v="40"/>
    <x v="0"/>
    <x v="2"/>
    <n v="1358000"/>
  </r>
  <r>
    <x v="40"/>
    <x v="1"/>
    <x v="2"/>
    <n v="1399000"/>
  </r>
  <r>
    <x v="40"/>
    <x v="0"/>
    <x v="3"/>
    <n v="1461000"/>
  </r>
  <r>
    <x v="40"/>
    <x v="1"/>
    <x v="3"/>
    <n v="1482000"/>
  </r>
  <r>
    <x v="40"/>
    <x v="0"/>
    <x v="4"/>
    <n v="1617000"/>
  </r>
  <r>
    <x v="40"/>
    <x v="1"/>
    <x v="4"/>
    <n v="1444000"/>
  </r>
  <r>
    <x v="40"/>
    <x v="0"/>
    <x v="5"/>
    <n v="1574000"/>
  </r>
  <r>
    <x v="40"/>
    <x v="1"/>
    <x v="5"/>
    <n v="580000"/>
  </r>
  <r>
    <x v="40"/>
    <x v="0"/>
    <x v="13"/>
    <n v="1704000"/>
  </r>
  <r>
    <x v="40"/>
    <x v="1"/>
    <x v="13"/>
    <n v="879000"/>
  </r>
  <r>
    <x v="40"/>
    <x v="0"/>
    <x v="14"/>
    <n v="1760000"/>
  </r>
  <r>
    <x v="40"/>
    <x v="1"/>
    <x v="14"/>
    <n v="1241000"/>
  </r>
  <r>
    <x v="40"/>
    <x v="0"/>
    <x v="15"/>
    <n v="1691000"/>
  </r>
  <r>
    <x v="40"/>
    <x v="1"/>
    <x v="15"/>
    <n v="1431000"/>
  </r>
  <r>
    <x v="40"/>
    <x v="0"/>
    <x v="16"/>
    <n v="1567000"/>
  </r>
  <r>
    <x v="40"/>
    <x v="1"/>
    <x v="16"/>
    <n v="1333000"/>
  </r>
  <r>
    <x v="40"/>
    <x v="0"/>
    <x v="17"/>
    <n v="1462000"/>
  </r>
  <r>
    <x v="40"/>
    <x v="1"/>
    <x v="17"/>
    <n v="1202000"/>
  </r>
  <r>
    <x v="40"/>
    <x v="0"/>
    <x v="18"/>
    <n v="1362000"/>
  </r>
  <r>
    <x v="40"/>
    <x v="1"/>
    <x v="18"/>
    <n v="1161000"/>
  </r>
  <r>
    <x v="40"/>
    <x v="0"/>
    <x v="19"/>
    <n v="1251000"/>
  </r>
  <r>
    <x v="40"/>
    <x v="1"/>
    <x v="19"/>
    <n v="1052000"/>
  </r>
  <r>
    <x v="40"/>
    <x v="0"/>
    <x v="20"/>
    <n v="1103000"/>
  </r>
  <r>
    <x v="40"/>
    <x v="1"/>
    <x v="20"/>
    <n v="924000"/>
  </r>
  <r>
    <x v="40"/>
    <x v="0"/>
    <x v="21"/>
    <n v="882000"/>
  </r>
  <r>
    <x v="40"/>
    <x v="1"/>
    <x v="21"/>
    <n v="728000"/>
  </r>
  <r>
    <x v="40"/>
    <x v="0"/>
    <x v="22"/>
    <n v="641000"/>
  </r>
  <r>
    <x v="40"/>
    <x v="1"/>
    <x v="22"/>
    <n v="500000"/>
  </r>
  <r>
    <x v="40"/>
    <x v="0"/>
    <x v="23"/>
    <n v="401000"/>
  </r>
  <r>
    <x v="40"/>
    <x v="1"/>
    <x v="23"/>
    <n v="268000"/>
  </r>
  <r>
    <x v="40"/>
    <x v="0"/>
    <x v="24"/>
    <n v="199000"/>
  </r>
  <r>
    <x v="40"/>
    <x v="1"/>
    <x v="24"/>
    <n v="113000"/>
  </r>
  <r>
    <x v="40"/>
    <x v="0"/>
    <x v="6"/>
    <n v="89000"/>
  </r>
  <r>
    <x v="40"/>
    <x v="1"/>
    <x v="6"/>
    <n v="42000"/>
  </r>
  <r>
    <x v="41"/>
    <x v="0"/>
    <x v="0"/>
    <n v="288000"/>
  </r>
  <r>
    <x v="41"/>
    <x v="1"/>
    <x v="0"/>
    <n v="302000"/>
  </r>
  <r>
    <x v="41"/>
    <x v="0"/>
    <x v="1"/>
    <n v="1112000"/>
  </r>
  <r>
    <x v="41"/>
    <x v="1"/>
    <x v="1"/>
    <n v="1158000"/>
  </r>
  <r>
    <x v="41"/>
    <x v="0"/>
    <x v="2"/>
    <n v="1355000"/>
  </r>
  <r>
    <x v="41"/>
    <x v="1"/>
    <x v="2"/>
    <n v="1398000"/>
  </r>
  <r>
    <x v="41"/>
    <x v="0"/>
    <x v="3"/>
    <n v="1446000"/>
  </r>
  <r>
    <x v="41"/>
    <x v="1"/>
    <x v="3"/>
    <n v="1467000"/>
  </r>
  <r>
    <x v="41"/>
    <x v="0"/>
    <x v="4"/>
    <n v="1517000"/>
  </r>
  <r>
    <x v="41"/>
    <x v="1"/>
    <x v="4"/>
    <n v="1350000"/>
  </r>
  <r>
    <x v="41"/>
    <x v="0"/>
    <x v="5"/>
    <n v="1531000"/>
  </r>
  <r>
    <x v="41"/>
    <x v="1"/>
    <x v="5"/>
    <n v="542000"/>
  </r>
  <r>
    <x v="41"/>
    <x v="0"/>
    <x v="13"/>
    <n v="1633000"/>
  </r>
  <r>
    <x v="41"/>
    <x v="1"/>
    <x v="13"/>
    <n v="781000"/>
  </r>
  <r>
    <x v="41"/>
    <x v="0"/>
    <x v="14"/>
    <n v="1747000"/>
  </r>
  <r>
    <x v="41"/>
    <x v="1"/>
    <x v="14"/>
    <n v="1100000"/>
  </r>
  <r>
    <x v="41"/>
    <x v="0"/>
    <x v="15"/>
    <n v="1709000"/>
  </r>
  <r>
    <x v="41"/>
    <x v="1"/>
    <x v="15"/>
    <n v="1319000"/>
  </r>
  <r>
    <x v="41"/>
    <x v="0"/>
    <x v="16"/>
    <n v="1585000"/>
  </r>
  <r>
    <x v="41"/>
    <x v="1"/>
    <x v="16"/>
    <n v="1332000"/>
  </r>
  <r>
    <x v="41"/>
    <x v="0"/>
    <x v="17"/>
    <n v="1475000"/>
  </r>
  <r>
    <x v="41"/>
    <x v="1"/>
    <x v="17"/>
    <n v="1206000"/>
  </r>
  <r>
    <x v="41"/>
    <x v="0"/>
    <x v="18"/>
    <n v="1373000"/>
  </r>
  <r>
    <x v="41"/>
    <x v="1"/>
    <x v="18"/>
    <n v="1158000"/>
  </r>
  <r>
    <x v="41"/>
    <x v="0"/>
    <x v="19"/>
    <n v="1262000"/>
  </r>
  <r>
    <x v="41"/>
    <x v="1"/>
    <x v="19"/>
    <n v="1056000"/>
  </r>
  <r>
    <x v="41"/>
    <x v="0"/>
    <x v="20"/>
    <n v="1124000"/>
  </r>
  <r>
    <x v="41"/>
    <x v="1"/>
    <x v="20"/>
    <n v="932000"/>
  </r>
  <r>
    <x v="41"/>
    <x v="0"/>
    <x v="21"/>
    <n v="903000"/>
  </r>
  <r>
    <x v="41"/>
    <x v="1"/>
    <x v="21"/>
    <n v="741000"/>
  </r>
  <r>
    <x v="41"/>
    <x v="0"/>
    <x v="22"/>
    <n v="662000"/>
  </r>
  <r>
    <x v="41"/>
    <x v="1"/>
    <x v="22"/>
    <n v="517000"/>
  </r>
  <r>
    <x v="41"/>
    <x v="0"/>
    <x v="23"/>
    <n v="416000"/>
  </r>
  <r>
    <x v="41"/>
    <x v="1"/>
    <x v="23"/>
    <n v="279000"/>
  </r>
  <r>
    <x v="41"/>
    <x v="0"/>
    <x v="24"/>
    <n v="208000"/>
  </r>
  <r>
    <x v="41"/>
    <x v="1"/>
    <x v="24"/>
    <n v="119000"/>
  </r>
  <r>
    <x v="41"/>
    <x v="0"/>
    <x v="6"/>
    <n v="95000"/>
  </r>
  <r>
    <x v="41"/>
    <x v="1"/>
    <x v="6"/>
    <n v="45000"/>
  </r>
  <r>
    <x v="42"/>
    <x v="0"/>
    <x v="0"/>
    <n v="318000"/>
  </r>
  <r>
    <x v="42"/>
    <x v="1"/>
    <x v="0"/>
    <n v="334000"/>
  </r>
  <r>
    <x v="42"/>
    <x v="0"/>
    <x v="1"/>
    <n v="1112000"/>
  </r>
  <r>
    <x v="42"/>
    <x v="1"/>
    <x v="1"/>
    <n v="1157000"/>
  </r>
  <r>
    <x v="42"/>
    <x v="0"/>
    <x v="2"/>
    <n v="1370000"/>
  </r>
  <r>
    <x v="42"/>
    <x v="1"/>
    <x v="2"/>
    <n v="1417000"/>
  </r>
  <r>
    <x v="42"/>
    <x v="0"/>
    <x v="3"/>
    <n v="1425000"/>
  </r>
  <r>
    <x v="42"/>
    <x v="1"/>
    <x v="3"/>
    <n v="1450000"/>
  </r>
  <r>
    <x v="42"/>
    <x v="0"/>
    <x v="4"/>
    <n v="1472000"/>
  </r>
  <r>
    <x v="42"/>
    <x v="1"/>
    <x v="4"/>
    <n v="1195000"/>
  </r>
  <r>
    <x v="42"/>
    <x v="0"/>
    <x v="5"/>
    <n v="1516000"/>
  </r>
  <r>
    <x v="42"/>
    <x v="1"/>
    <x v="5"/>
    <n v="491000"/>
  </r>
  <r>
    <x v="42"/>
    <x v="0"/>
    <x v="13"/>
    <n v="1540000"/>
  </r>
  <r>
    <x v="42"/>
    <x v="1"/>
    <x v="13"/>
    <n v="645000"/>
  </r>
  <r>
    <x v="42"/>
    <x v="0"/>
    <x v="14"/>
    <n v="1738000"/>
  </r>
  <r>
    <x v="42"/>
    <x v="1"/>
    <x v="14"/>
    <n v="966000"/>
  </r>
  <r>
    <x v="42"/>
    <x v="0"/>
    <x v="15"/>
    <n v="1726000"/>
  </r>
  <r>
    <x v="42"/>
    <x v="1"/>
    <x v="15"/>
    <n v="1229000"/>
  </r>
  <r>
    <x v="42"/>
    <x v="0"/>
    <x v="16"/>
    <n v="1605000"/>
  </r>
  <r>
    <x v="42"/>
    <x v="1"/>
    <x v="16"/>
    <n v="1341000"/>
  </r>
  <r>
    <x v="42"/>
    <x v="0"/>
    <x v="17"/>
    <n v="1490000"/>
  </r>
  <r>
    <x v="42"/>
    <x v="1"/>
    <x v="17"/>
    <n v="1203000"/>
  </r>
  <r>
    <x v="42"/>
    <x v="0"/>
    <x v="18"/>
    <n v="1386000"/>
  </r>
  <r>
    <x v="42"/>
    <x v="1"/>
    <x v="18"/>
    <n v="1154000"/>
  </r>
  <r>
    <x v="42"/>
    <x v="0"/>
    <x v="19"/>
    <n v="1276000"/>
  </r>
  <r>
    <x v="42"/>
    <x v="1"/>
    <x v="19"/>
    <n v="1058000"/>
  </r>
  <r>
    <x v="42"/>
    <x v="0"/>
    <x v="20"/>
    <n v="1140000"/>
  </r>
  <r>
    <x v="42"/>
    <x v="1"/>
    <x v="20"/>
    <n v="933000"/>
  </r>
  <r>
    <x v="42"/>
    <x v="0"/>
    <x v="21"/>
    <n v="928000"/>
  </r>
  <r>
    <x v="42"/>
    <x v="1"/>
    <x v="21"/>
    <n v="755000"/>
  </r>
  <r>
    <x v="42"/>
    <x v="0"/>
    <x v="22"/>
    <n v="684000"/>
  </r>
  <r>
    <x v="42"/>
    <x v="1"/>
    <x v="22"/>
    <n v="534000"/>
  </r>
  <r>
    <x v="42"/>
    <x v="0"/>
    <x v="23"/>
    <n v="434000"/>
  </r>
  <r>
    <x v="42"/>
    <x v="1"/>
    <x v="23"/>
    <n v="295000"/>
  </r>
  <r>
    <x v="42"/>
    <x v="0"/>
    <x v="24"/>
    <n v="219000"/>
  </r>
  <r>
    <x v="42"/>
    <x v="1"/>
    <x v="24"/>
    <n v="126000"/>
  </r>
  <r>
    <x v="42"/>
    <x v="0"/>
    <x v="6"/>
    <n v="105000"/>
  </r>
  <r>
    <x v="42"/>
    <x v="1"/>
    <x v="6"/>
    <n v="51000"/>
  </r>
  <r>
    <x v="43"/>
    <x v="0"/>
    <x v="0"/>
    <n v="336000"/>
  </r>
  <r>
    <x v="43"/>
    <x v="1"/>
    <x v="0"/>
    <n v="353000"/>
  </r>
  <r>
    <x v="43"/>
    <x v="0"/>
    <x v="1"/>
    <n v="1140000"/>
  </r>
  <r>
    <x v="43"/>
    <x v="1"/>
    <x v="1"/>
    <n v="1189000"/>
  </r>
  <r>
    <x v="43"/>
    <x v="0"/>
    <x v="2"/>
    <n v="1390000"/>
  </r>
  <r>
    <x v="43"/>
    <x v="1"/>
    <x v="2"/>
    <n v="1438000"/>
  </r>
  <r>
    <x v="43"/>
    <x v="0"/>
    <x v="3"/>
    <n v="1398000"/>
  </r>
  <r>
    <x v="43"/>
    <x v="1"/>
    <x v="3"/>
    <n v="1427000"/>
  </r>
  <r>
    <x v="43"/>
    <x v="0"/>
    <x v="4"/>
    <n v="1460000"/>
  </r>
  <r>
    <x v="43"/>
    <x v="1"/>
    <x v="4"/>
    <n v="1157000"/>
  </r>
  <r>
    <x v="43"/>
    <x v="0"/>
    <x v="5"/>
    <n v="1559000"/>
  </r>
  <r>
    <x v="43"/>
    <x v="1"/>
    <x v="5"/>
    <n v="513000"/>
  </r>
  <r>
    <x v="43"/>
    <x v="0"/>
    <x v="13"/>
    <n v="1439000"/>
  </r>
  <r>
    <x v="43"/>
    <x v="1"/>
    <x v="13"/>
    <n v="518000"/>
  </r>
  <r>
    <x v="43"/>
    <x v="0"/>
    <x v="14"/>
    <n v="1731000"/>
  </r>
  <r>
    <x v="43"/>
    <x v="1"/>
    <x v="14"/>
    <n v="896000"/>
  </r>
  <r>
    <x v="43"/>
    <x v="0"/>
    <x v="15"/>
    <n v="1738000"/>
  </r>
  <r>
    <x v="43"/>
    <x v="1"/>
    <x v="15"/>
    <n v="1181000"/>
  </r>
  <r>
    <x v="43"/>
    <x v="0"/>
    <x v="16"/>
    <n v="1628000"/>
  </r>
  <r>
    <x v="43"/>
    <x v="1"/>
    <x v="16"/>
    <n v="1350000"/>
  </r>
  <r>
    <x v="43"/>
    <x v="0"/>
    <x v="17"/>
    <n v="1505000"/>
  </r>
  <r>
    <x v="43"/>
    <x v="1"/>
    <x v="17"/>
    <n v="1215000"/>
  </r>
  <r>
    <x v="43"/>
    <x v="0"/>
    <x v="18"/>
    <n v="1397000"/>
  </r>
  <r>
    <x v="43"/>
    <x v="1"/>
    <x v="18"/>
    <n v="1153000"/>
  </r>
  <r>
    <x v="43"/>
    <x v="0"/>
    <x v="19"/>
    <n v="1286000"/>
  </r>
  <r>
    <x v="43"/>
    <x v="1"/>
    <x v="19"/>
    <n v="1061000"/>
  </r>
  <r>
    <x v="43"/>
    <x v="0"/>
    <x v="20"/>
    <n v="1152000"/>
  </r>
  <r>
    <x v="43"/>
    <x v="1"/>
    <x v="20"/>
    <n v="932000"/>
  </r>
  <r>
    <x v="43"/>
    <x v="0"/>
    <x v="21"/>
    <n v="947000"/>
  </r>
  <r>
    <x v="43"/>
    <x v="1"/>
    <x v="21"/>
    <n v="763000"/>
  </r>
  <r>
    <x v="43"/>
    <x v="0"/>
    <x v="22"/>
    <n v="702000"/>
  </r>
  <r>
    <x v="43"/>
    <x v="1"/>
    <x v="22"/>
    <n v="546000"/>
  </r>
  <r>
    <x v="43"/>
    <x v="0"/>
    <x v="23"/>
    <n v="449000"/>
  </r>
  <r>
    <x v="43"/>
    <x v="1"/>
    <x v="23"/>
    <n v="308000"/>
  </r>
  <r>
    <x v="43"/>
    <x v="0"/>
    <x v="24"/>
    <n v="226000"/>
  </r>
  <r>
    <x v="43"/>
    <x v="1"/>
    <x v="24"/>
    <n v="132000"/>
  </r>
  <r>
    <x v="43"/>
    <x v="0"/>
    <x v="6"/>
    <n v="114000"/>
  </r>
  <r>
    <x v="43"/>
    <x v="1"/>
    <x v="6"/>
    <n v="56000"/>
  </r>
  <r>
    <x v="44"/>
    <x v="0"/>
    <x v="0"/>
    <n v="334000"/>
  </r>
  <r>
    <x v="44"/>
    <x v="1"/>
    <x v="0"/>
    <n v="354000"/>
  </r>
  <r>
    <x v="44"/>
    <x v="0"/>
    <x v="1"/>
    <n v="1193000"/>
  </r>
  <r>
    <x v="44"/>
    <x v="1"/>
    <x v="1"/>
    <n v="1246000"/>
  </r>
  <r>
    <x v="44"/>
    <x v="0"/>
    <x v="2"/>
    <n v="1397000"/>
  </r>
  <r>
    <x v="44"/>
    <x v="1"/>
    <x v="2"/>
    <n v="1446000"/>
  </r>
  <r>
    <x v="44"/>
    <x v="0"/>
    <x v="3"/>
    <n v="1375000"/>
  </r>
  <r>
    <x v="44"/>
    <x v="1"/>
    <x v="3"/>
    <n v="1410000"/>
  </r>
  <r>
    <x v="44"/>
    <x v="0"/>
    <x v="4"/>
    <n v="1443000"/>
  </r>
  <r>
    <x v="44"/>
    <x v="1"/>
    <x v="4"/>
    <n v="1145000"/>
  </r>
  <r>
    <x v="44"/>
    <x v="0"/>
    <x v="5"/>
    <n v="1483000"/>
  </r>
  <r>
    <x v="44"/>
    <x v="1"/>
    <x v="5"/>
    <n v="478000"/>
  </r>
  <r>
    <x v="44"/>
    <x v="0"/>
    <x v="13"/>
    <n v="1474000"/>
  </r>
  <r>
    <x v="44"/>
    <x v="1"/>
    <x v="13"/>
    <n v="535000"/>
  </r>
  <r>
    <x v="44"/>
    <x v="0"/>
    <x v="14"/>
    <n v="1721000"/>
  </r>
  <r>
    <x v="44"/>
    <x v="1"/>
    <x v="14"/>
    <n v="857000"/>
  </r>
  <r>
    <x v="44"/>
    <x v="0"/>
    <x v="15"/>
    <n v="1742000"/>
  </r>
  <r>
    <x v="44"/>
    <x v="1"/>
    <x v="15"/>
    <n v="1135000"/>
  </r>
  <r>
    <x v="44"/>
    <x v="0"/>
    <x v="16"/>
    <n v="1650000"/>
  </r>
  <r>
    <x v="44"/>
    <x v="1"/>
    <x v="16"/>
    <n v="1323000"/>
  </r>
  <r>
    <x v="44"/>
    <x v="0"/>
    <x v="17"/>
    <n v="1521000"/>
  </r>
  <r>
    <x v="44"/>
    <x v="1"/>
    <x v="17"/>
    <n v="1263000"/>
  </r>
  <r>
    <x v="44"/>
    <x v="0"/>
    <x v="18"/>
    <n v="1409000"/>
  </r>
  <r>
    <x v="44"/>
    <x v="1"/>
    <x v="18"/>
    <n v="1154000"/>
  </r>
  <r>
    <x v="44"/>
    <x v="0"/>
    <x v="19"/>
    <n v="1298000"/>
  </r>
  <r>
    <x v="44"/>
    <x v="1"/>
    <x v="19"/>
    <n v="1074000"/>
  </r>
  <r>
    <x v="44"/>
    <x v="0"/>
    <x v="20"/>
    <n v="1163000"/>
  </r>
  <r>
    <x v="44"/>
    <x v="1"/>
    <x v="20"/>
    <n v="934000"/>
  </r>
  <r>
    <x v="44"/>
    <x v="0"/>
    <x v="21"/>
    <n v="972000"/>
  </r>
  <r>
    <x v="44"/>
    <x v="1"/>
    <x v="21"/>
    <n v="771000"/>
  </r>
  <r>
    <x v="44"/>
    <x v="0"/>
    <x v="22"/>
    <n v="720000"/>
  </r>
  <r>
    <x v="44"/>
    <x v="1"/>
    <x v="22"/>
    <n v="557000"/>
  </r>
  <r>
    <x v="44"/>
    <x v="0"/>
    <x v="23"/>
    <n v="462000"/>
  </r>
  <r>
    <x v="44"/>
    <x v="1"/>
    <x v="23"/>
    <n v="321000"/>
  </r>
  <r>
    <x v="44"/>
    <x v="0"/>
    <x v="24"/>
    <n v="238000"/>
  </r>
  <r>
    <x v="44"/>
    <x v="1"/>
    <x v="24"/>
    <n v="138000"/>
  </r>
  <r>
    <x v="44"/>
    <x v="0"/>
    <x v="6"/>
    <n v="121000"/>
  </r>
  <r>
    <x v="44"/>
    <x v="1"/>
    <x v="6"/>
    <n v="59000"/>
  </r>
  <r>
    <x v="45"/>
    <x v="0"/>
    <x v="0"/>
    <n v="341000"/>
  </r>
  <r>
    <x v="45"/>
    <x v="1"/>
    <x v="0"/>
    <n v="360000"/>
  </r>
  <r>
    <x v="45"/>
    <x v="0"/>
    <x v="1"/>
    <n v="1251000"/>
  </r>
  <r>
    <x v="45"/>
    <x v="1"/>
    <x v="1"/>
    <n v="1311000"/>
  </r>
  <r>
    <x v="45"/>
    <x v="0"/>
    <x v="2"/>
    <n v="1387000"/>
  </r>
  <r>
    <x v="45"/>
    <x v="1"/>
    <x v="2"/>
    <n v="1435000"/>
  </r>
  <r>
    <x v="45"/>
    <x v="0"/>
    <x v="3"/>
    <n v="1336000"/>
  </r>
  <r>
    <x v="45"/>
    <x v="1"/>
    <x v="3"/>
    <n v="1371000"/>
  </r>
  <r>
    <x v="45"/>
    <x v="0"/>
    <x v="4"/>
    <n v="1462000"/>
  </r>
  <r>
    <x v="45"/>
    <x v="1"/>
    <x v="4"/>
    <n v="1184000"/>
  </r>
  <r>
    <x v="45"/>
    <x v="0"/>
    <x v="5"/>
    <n v="1560000"/>
  </r>
  <r>
    <x v="45"/>
    <x v="1"/>
    <x v="5"/>
    <n v="762000"/>
  </r>
  <r>
    <x v="45"/>
    <x v="0"/>
    <x v="13"/>
    <n v="1593000"/>
  </r>
  <r>
    <x v="45"/>
    <x v="1"/>
    <x v="13"/>
    <n v="1215000"/>
  </r>
  <r>
    <x v="45"/>
    <x v="0"/>
    <x v="14"/>
    <n v="1712000"/>
  </r>
  <r>
    <x v="45"/>
    <x v="1"/>
    <x v="14"/>
    <n v="1457000"/>
  </r>
  <r>
    <x v="45"/>
    <x v="0"/>
    <x v="15"/>
    <n v="1750000"/>
  </r>
  <r>
    <x v="45"/>
    <x v="1"/>
    <x v="15"/>
    <n v="1592000"/>
  </r>
  <r>
    <x v="45"/>
    <x v="0"/>
    <x v="16"/>
    <n v="1653000"/>
  </r>
  <r>
    <x v="45"/>
    <x v="1"/>
    <x v="16"/>
    <n v="1550000"/>
  </r>
  <r>
    <x v="45"/>
    <x v="0"/>
    <x v="17"/>
    <n v="1544000"/>
  </r>
  <r>
    <x v="45"/>
    <x v="1"/>
    <x v="17"/>
    <n v="1334000"/>
  </r>
  <r>
    <x v="45"/>
    <x v="0"/>
    <x v="18"/>
    <n v="1403000"/>
  </r>
  <r>
    <x v="45"/>
    <x v="1"/>
    <x v="18"/>
    <n v="1168000"/>
  </r>
  <r>
    <x v="45"/>
    <x v="0"/>
    <x v="19"/>
    <n v="1276000"/>
  </r>
  <r>
    <x v="45"/>
    <x v="1"/>
    <x v="19"/>
    <n v="1064000"/>
  </r>
  <r>
    <x v="45"/>
    <x v="0"/>
    <x v="20"/>
    <n v="1151000"/>
  </r>
  <r>
    <x v="45"/>
    <x v="1"/>
    <x v="20"/>
    <n v="928000"/>
  </r>
  <r>
    <x v="45"/>
    <x v="0"/>
    <x v="21"/>
    <n v="977000"/>
  </r>
  <r>
    <x v="45"/>
    <x v="1"/>
    <x v="21"/>
    <n v="774000"/>
  </r>
  <r>
    <x v="45"/>
    <x v="0"/>
    <x v="22"/>
    <n v="742000"/>
  </r>
  <r>
    <x v="45"/>
    <x v="1"/>
    <x v="22"/>
    <n v="575000"/>
  </r>
  <r>
    <x v="45"/>
    <x v="0"/>
    <x v="23"/>
    <n v="472000"/>
  </r>
  <r>
    <x v="45"/>
    <x v="1"/>
    <x v="23"/>
    <n v="331000"/>
  </r>
  <r>
    <x v="45"/>
    <x v="0"/>
    <x v="24"/>
    <n v="246000"/>
  </r>
  <r>
    <x v="45"/>
    <x v="1"/>
    <x v="24"/>
    <n v="147000"/>
  </r>
  <r>
    <x v="45"/>
    <x v="0"/>
    <x v="6"/>
    <n v="123000"/>
  </r>
  <r>
    <x v="45"/>
    <x v="1"/>
    <x v="6"/>
    <n v="58000"/>
  </r>
  <r>
    <x v="46"/>
    <x v="0"/>
    <x v="0"/>
    <n v="425000"/>
  </r>
  <r>
    <x v="46"/>
    <x v="1"/>
    <x v="0"/>
    <n v="447000"/>
  </r>
  <r>
    <x v="46"/>
    <x v="0"/>
    <x v="1"/>
    <n v="1291000"/>
  </r>
  <r>
    <x v="46"/>
    <x v="1"/>
    <x v="1"/>
    <n v="1359000"/>
  </r>
  <r>
    <x v="46"/>
    <x v="0"/>
    <x v="2"/>
    <n v="1392000"/>
  </r>
  <r>
    <x v="46"/>
    <x v="1"/>
    <x v="2"/>
    <n v="1444000"/>
  </r>
  <r>
    <x v="46"/>
    <x v="0"/>
    <x v="3"/>
    <n v="1354000"/>
  </r>
  <r>
    <x v="46"/>
    <x v="1"/>
    <x v="3"/>
    <n v="1399000"/>
  </r>
  <r>
    <x v="46"/>
    <x v="0"/>
    <x v="4"/>
    <n v="1424000"/>
  </r>
  <r>
    <x v="46"/>
    <x v="1"/>
    <x v="4"/>
    <n v="1098000"/>
  </r>
  <r>
    <x v="46"/>
    <x v="0"/>
    <x v="5"/>
    <n v="1531000"/>
  </r>
  <r>
    <x v="46"/>
    <x v="1"/>
    <x v="5"/>
    <n v="1075000"/>
  </r>
  <r>
    <x v="46"/>
    <x v="0"/>
    <x v="13"/>
    <n v="1653000"/>
  </r>
  <r>
    <x v="46"/>
    <x v="1"/>
    <x v="13"/>
    <n v="1488000"/>
  </r>
  <r>
    <x v="46"/>
    <x v="0"/>
    <x v="14"/>
    <n v="1658000"/>
  </r>
  <r>
    <x v="46"/>
    <x v="1"/>
    <x v="14"/>
    <n v="1557000"/>
  </r>
  <r>
    <x v="46"/>
    <x v="0"/>
    <x v="15"/>
    <n v="1741000"/>
  </r>
  <r>
    <x v="46"/>
    <x v="1"/>
    <x v="15"/>
    <n v="1661000"/>
  </r>
  <r>
    <x v="46"/>
    <x v="0"/>
    <x v="16"/>
    <n v="1669000"/>
  </r>
  <r>
    <x v="46"/>
    <x v="1"/>
    <x v="16"/>
    <n v="1598000"/>
  </r>
  <r>
    <x v="46"/>
    <x v="0"/>
    <x v="17"/>
    <n v="1561000"/>
  </r>
  <r>
    <x v="46"/>
    <x v="1"/>
    <x v="17"/>
    <n v="1401000"/>
  </r>
  <r>
    <x v="46"/>
    <x v="0"/>
    <x v="18"/>
    <n v="1413000"/>
  </r>
  <r>
    <x v="46"/>
    <x v="1"/>
    <x v="18"/>
    <n v="1179000"/>
  </r>
  <r>
    <x v="46"/>
    <x v="0"/>
    <x v="19"/>
    <n v="1286000"/>
  </r>
  <r>
    <x v="46"/>
    <x v="1"/>
    <x v="19"/>
    <n v="1071000"/>
  </r>
  <r>
    <x v="46"/>
    <x v="0"/>
    <x v="20"/>
    <n v="1158000"/>
  </r>
  <r>
    <x v="46"/>
    <x v="1"/>
    <x v="20"/>
    <n v="930000"/>
  </r>
  <r>
    <x v="46"/>
    <x v="0"/>
    <x v="21"/>
    <n v="996000"/>
  </r>
  <r>
    <x v="46"/>
    <x v="1"/>
    <x v="21"/>
    <n v="779000"/>
  </r>
  <r>
    <x v="46"/>
    <x v="0"/>
    <x v="22"/>
    <n v="759000"/>
  </r>
  <r>
    <x v="46"/>
    <x v="1"/>
    <x v="22"/>
    <n v="580000"/>
  </r>
  <r>
    <x v="46"/>
    <x v="0"/>
    <x v="23"/>
    <n v="486000"/>
  </r>
  <r>
    <x v="46"/>
    <x v="1"/>
    <x v="23"/>
    <n v="340000"/>
  </r>
  <r>
    <x v="46"/>
    <x v="0"/>
    <x v="24"/>
    <n v="252000"/>
  </r>
  <r>
    <x v="46"/>
    <x v="1"/>
    <x v="24"/>
    <n v="149000"/>
  </r>
  <r>
    <x v="46"/>
    <x v="0"/>
    <x v="6"/>
    <n v="125000"/>
  </r>
  <r>
    <x v="46"/>
    <x v="1"/>
    <x v="6"/>
    <n v="57000"/>
  </r>
  <r>
    <x v="47"/>
    <x v="0"/>
    <x v="0"/>
    <n v="383000"/>
  </r>
  <r>
    <x v="47"/>
    <x v="1"/>
    <x v="0"/>
    <n v="402000"/>
  </r>
  <r>
    <x v="47"/>
    <x v="0"/>
    <x v="1"/>
    <n v="1397000"/>
  </r>
  <r>
    <x v="47"/>
    <x v="1"/>
    <x v="1"/>
    <n v="1470000"/>
  </r>
  <r>
    <x v="47"/>
    <x v="0"/>
    <x v="2"/>
    <n v="1416000"/>
  </r>
  <r>
    <x v="47"/>
    <x v="1"/>
    <x v="2"/>
    <n v="1473000"/>
  </r>
  <r>
    <x v="47"/>
    <x v="0"/>
    <x v="3"/>
    <n v="1368000"/>
  </r>
  <r>
    <x v="47"/>
    <x v="1"/>
    <x v="3"/>
    <n v="1415000"/>
  </r>
  <r>
    <x v="47"/>
    <x v="0"/>
    <x v="4"/>
    <n v="1410000"/>
  </r>
  <r>
    <x v="47"/>
    <x v="1"/>
    <x v="4"/>
    <n v="1143000"/>
  </r>
  <r>
    <x v="47"/>
    <x v="0"/>
    <x v="5"/>
    <n v="1522000"/>
  </r>
  <r>
    <x v="47"/>
    <x v="1"/>
    <x v="5"/>
    <n v="1374000"/>
  </r>
  <r>
    <x v="47"/>
    <x v="0"/>
    <x v="13"/>
    <n v="1717000"/>
  </r>
  <r>
    <x v="47"/>
    <x v="1"/>
    <x v="13"/>
    <n v="1636000"/>
  </r>
  <r>
    <x v="47"/>
    <x v="0"/>
    <x v="14"/>
    <n v="1572000"/>
  </r>
  <r>
    <x v="47"/>
    <x v="1"/>
    <x v="14"/>
    <n v="1512000"/>
  </r>
  <r>
    <x v="47"/>
    <x v="0"/>
    <x v="15"/>
    <n v="1733000"/>
  </r>
  <r>
    <x v="47"/>
    <x v="1"/>
    <x v="15"/>
    <n v="1676000"/>
  </r>
  <r>
    <x v="47"/>
    <x v="0"/>
    <x v="16"/>
    <n v="1686000"/>
  </r>
  <r>
    <x v="47"/>
    <x v="1"/>
    <x v="16"/>
    <n v="1637000"/>
  </r>
  <r>
    <x v="47"/>
    <x v="0"/>
    <x v="17"/>
    <n v="1581000"/>
  </r>
  <r>
    <x v="47"/>
    <x v="1"/>
    <x v="17"/>
    <n v="1452000"/>
  </r>
  <r>
    <x v="47"/>
    <x v="0"/>
    <x v="18"/>
    <n v="1429000"/>
  </r>
  <r>
    <x v="47"/>
    <x v="1"/>
    <x v="18"/>
    <n v="1213000"/>
  </r>
  <r>
    <x v="47"/>
    <x v="0"/>
    <x v="19"/>
    <n v="1302000"/>
  </r>
  <r>
    <x v="47"/>
    <x v="1"/>
    <x v="19"/>
    <n v="1081000"/>
  </r>
  <r>
    <x v="47"/>
    <x v="0"/>
    <x v="20"/>
    <n v="1168000"/>
  </r>
  <r>
    <x v="47"/>
    <x v="1"/>
    <x v="20"/>
    <n v="939000"/>
  </r>
  <r>
    <x v="47"/>
    <x v="0"/>
    <x v="21"/>
    <n v="1009000"/>
  </r>
  <r>
    <x v="47"/>
    <x v="1"/>
    <x v="21"/>
    <n v="783000"/>
  </r>
  <r>
    <x v="47"/>
    <x v="0"/>
    <x v="22"/>
    <n v="781000"/>
  </r>
  <r>
    <x v="47"/>
    <x v="1"/>
    <x v="22"/>
    <n v="589000"/>
  </r>
  <r>
    <x v="47"/>
    <x v="0"/>
    <x v="23"/>
    <n v="506000"/>
  </r>
  <r>
    <x v="47"/>
    <x v="1"/>
    <x v="23"/>
    <n v="355000"/>
  </r>
  <r>
    <x v="47"/>
    <x v="0"/>
    <x v="24"/>
    <n v="265000"/>
  </r>
  <r>
    <x v="47"/>
    <x v="1"/>
    <x v="24"/>
    <n v="158000"/>
  </r>
  <r>
    <x v="47"/>
    <x v="0"/>
    <x v="6"/>
    <n v="135000"/>
  </r>
  <r>
    <x v="47"/>
    <x v="1"/>
    <x v="6"/>
    <n v="62000"/>
  </r>
  <r>
    <x v="48"/>
    <x v="0"/>
    <x v="0"/>
    <n v="356000"/>
  </r>
  <r>
    <x v="48"/>
    <x v="1"/>
    <x v="0"/>
    <n v="375000"/>
  </r>
  <r>
    <x v="48"/>
    <x v="0"/>
    <x v="1"/>
    <n v="1447000"/>
  </r>
  <r>
    <x v="48"/>
    <x v="1"/>
    <x v="1"/>
    <n v="1523000"/>
  </r>
  <r>
    <x v="48"/>
    <x v="0"/>
    <x v="2"/>
    <n v="1457000"/>
  </r>
  <r>
    <x v="48"/>
    <x v="1"/>
    <x v="2"/>
    <n v="1519000"/>
  </r>
  <r>
    <x v="48"/>
    <x v="0"/>
    <x v="3"/>
    <n v="1387000"/>
  </r>
  <r>
    <x v="48"/>
    <x v="1"/>
    <x v="3"/>
    <n v="1433000"/>
  </r>
  <r>
    <x v="48"/>
    <x v="0"/>
    <x v="4"/>
    <n v="1397000"/>
  </r>
  <r>
    <x v="48"/>
    <x v="1"/>
    <x v="4"/>
    <n v="1137000"/>
  </r>
  <r>
    <x v="48"/>
    <x v="0"/>
    <x v="5"/>
    <n v="1507000"/>
  </r>
  <r>
    <x v="48"/>
    <x v="1"/>
    <x v="5"/>
    <n v="1389000"/>
  </r>
  <r>
    <x v="48"/>
    <x v="0"/>
    <x v="13"/>
    <n v="1770000"/>
  </r>
  <r>
    <x v="48"/>
    <x v="1"/>
    <x v="13"/>
    <n v="1702000"/>
  </r>
  <r>
    <x v="48"/>
    <x v="0"/>
    <x v="14"/>
    <n v="1483000"/>
  </r>
  <r>
    <x v="48"/>
    <x v="1"/>
    <x v="14"/>
    <n v="1433000"/>
  </r>
  <r>
    <x v="48"/>
    <x v="0"/>
    <x v="15"/>
    <n v="1727000"/>
  </r>
  <r>
    <x v="48"/>
    <x v="1"/>
    <x v="15"/>
    <n v="1675000"/>
  </r>
  <r>
    <x v="48"/>
    <x v="0"/>
    <x v="16"/>
    <n v="1700000"/>
  </r>
  <r>
    <x v="48"/>
    <x v="1"/>
    <x v="16"/>
    <n v="1661000"/>
  </r>
  <r>
    <x v="48"/>
    <x v="0"/>
    <x v="17"/>
    <n v="1596000"/>
  </r>
  <r>
    <x v="48"/>
    <x v="1"/>
    <x v="17"/>
    <n v="1488000"/>
  </r>
  <r>
    <x v="48"/>
    <x v="0"/>
    <x v="18"/>
    <n v="1455000"/>
  </r>
  <r>
    <x v="48"/>
    <x v="1"/>
    <x v="18"/>
    <n v="1251000"/>
  </r>
  <r>
    <x v="48"/>
    <x v="0"/>
    <x v="19"/>
    <n v="1311000"/>
  </r>
  <r>
    <x v="48"/>
    <x v="1"/>
    <x v="19"/>
    <n v="1082000"/>
  </r>
  <r>
    <x v="48"/>
    <x v="0"/>
    <x v="20"/>
    <n v="1179000"/>
  </r>
  <r>
    <x v="48"/>
    <x v="1"/>
    <x v="20"/>
    <n v="944000"/>
  </r>
  <r>
    <x v="48"/>
    <x v="0"/>
    <x v="21"/>
    <n v="1020000"/>
  </r>
  <r>
    <x v="48"/>
    <x v="1"/>
    <x v="21"/>
    <n v="783000"/>
  </r>
  <r>
    <x v="48"/>
    <x v="0"/>
    <x v="22"/>
    <n v="796000"/>
  </r>
  <r>
    <x v="48"/>
    <x v="1"/>
    <x v="22"/>
    <n v="593000"/>
  </r>
  <r>
    <x v="48"/>
    <x v="0"/>
    <x v="23"/>
    <n v="520000"/>
  </r>
  <r>
    <x v="48"/>
    <x v="1"/>
    <x v="23"/>
    <n v="364000"/>
  </r>
  <r>
    <x v="48"/>
    <x v="0"/>
    <x v="24"/>
    <n v="272000"/>
  </r>
  <r>
    <x v="48"/>
    <x v="1"/>
    <x v="24"/>
    <n v="163000"/>
  </r>
  <r>
    <x v="48"/>
    <x v="0"/>
    <x v="6"/>
    <n v="140000"/>
  </r>
  <r>
    <x v="48"/>
    <x v="1"/>
    <x v="6"/>
    <n v="65000"/>
  </r>
  <r>
    <x v="49"/>
    <x v="0"/>
    <x v="0"/>
    <n v="341000"/>
  </r>
  <r>
    <x v="49"/>
    <x v="1"/>
    <x v="0"/>
    <n v="357000"/>
  </r>
  <r>
    <x v="49"/>
    <x v="0"/>
    <x v="1"/>
    <n v="1477000"/>
  </r>
  <r>
    <x v="49"/>
    <x v="1"/>
    <x v="1"/>
    <n v="1550000"/>
  </r>
  <r>
    <x v="49"/>
    <x v="0"/>
    <x v="2"/>
    <n v="1501000"/>
  </r>
  <r>
    <x v="49"/>
    <x v="1"/>
    <x v="2"/>
    <n v="1569000"/>
  </r>
  <r>
    <x v="49"/>
    <x v="0"/>
    <x v="3"/>
    <n v="1393000"/>
  </r>
  <r>
    <x v="49"/>
    <x v="1"/>
    <x v="3"/>
    <n v="1442000"/>
  </r>
  <r>
    <x v="49"/>
    <x v="0"/>
    <x v="4"/>
    <n v="1390000"/>
  </r>
  <r>
    <x v="49"/>
    <x v="1"/>
    <x v="4"/>
    <n v="1346000"/>
  </r>
  <r>
    <x v="49"/>
    <x v="0"/>
    <x v="5"/>
    <n v="1509000"/>
  </r>
  <r>
    <x v="49"/>
    <x v="1"/>
    <x v="5"/>
    <n v="1486000"/>
  </r>
  <r>
    <x v="49"/>
    <x v="0"/>
    <x v="13"/>
    <n v="1681000"/>
  </r>
  <r>
    <x v="49"/>
    <x v="1"/>
    <x v="13"/>
    <n v="1673000"/>
  </r>
  <r>
    <x v="49"/>
    <x v="0"/>
    <x v="14"/>
    <n v="1539000"/>
  </r>
  <r>
    <x v="49"/>
    <x v="1"/>
    <x v="14"/>
    <n v="1515000"/>
  </r>
  <r>
    <x v="49"/>
    <x v="0"/>
    <x v="15"/>
    <n v="1721000"/>
  </r>
  <r>
    <x v="49"/>
    <x v="1"/>
    <x v="15"/>
    <n v="1693000"/>
  </r>
  <r>
    <x v="49"/>
    <x v="0"/>
    <x v="16"/>
    <n v="1710000"/>
  </r>
  <r>
    <x v="49"/>
    <x v="1"/>
    <x v="16"/>
    <n v="1688000"/>
  </r>
  <r>
    <x v="49"/>
    <x v="0"/>
    <x v="17"/>
    <n v="1607000"/>
  </r>
  <r>
    <x v="49"/>
    <x v="1"/>
    <x v="17"/>
    <n v="1529000"/>
  </r>
  <r>
    <x v="49"/>
    <x v="0"/>
    <x v="18"/>
    <n v="1481000"/>
  </r>
  <r>
    <x v="49"/>
    <x v="1"/>
    <x v="18"/>
    <n v="1293000"/>
  </r>
  <r>
    <x v="49"/>
    <x v="0"/>
    <x v="19"/>
    <n v="1324000"/>
  </r>
  <r>
    <x v="49"/>
    <x v="1"/>
    <x v="19"/>
    <n v="1088000"/>
  </r>
  <r>
    <x v="49"/>
    <x v="0"/>
    <x v="20"/>
    <n v="1189000"/>
  </r>
  <r>
    <x v="49"/>
    <x v="1"/>
    <x v="20"/>
    <n v="950000"/>
  </r>
  <r>
    <x v="49"/>
    <x v="0"/>
    <x v="21"/>
    <n v="1029000"/>
  </r>
  <r>
    <x v="49"/>
    <x v="1"/>
    <x v="21"/>
    <n v="784000"/>
  </r>
  <r>
    <x v="49"/>
    <x v="0"/>
    <x v="22"/>
    <n v="812000"/>
  </r>
  <r>
    <x v="49"/>
    <x v="1"/>
    <x v="22"/>
    <n v="596000"/>
  </r>
  <r>
    <x v="49"/>
    <x v="0"/>
    <x v="23"/>
    <n v="534000"/>
  </r>
  <r>
    <x v="49"/>
    <x v="1"/>
    <x v="23"/>
    <n v="373000"/>
  </r>
  <r>
    <x v="49"/>
    <x v="0"/>
    <x v="24"/>
    <n v="278000"/>
  </r>
  <r>
    <x v="49"/>
    <x v="1"/>
    <x v="24"/>
    <n v="169000"/>
  </r>
  <r>
    <x v="49"/>
    <x v="0"/>
    <x v="6"/>
    <n v="145000"/>
  </r>
  <r>
    <x v="49"/>
    <x v="1"/>
    <x v="6"/>
    <n v="68000"/>
  </r>
  <r>
    <x v="50"/>
    <x v="0"/>
    <x v="0"/>
    <n v="327000"/>
  </r>
  <r>
    <x v="50"/>
    <x v="1"/>
    <x v="0"/>
    <n v="345000"/>
  </r>
  <r>
    <x v="50"/>
    <x v="0"/>
    <x v="1"/>
    <n v="1492000"/>
  </r>
  <r>
    <x v="50"/>
    <x v="1"/>
    <x v="1"/>
    <n v="1565000"/>
  </r>
  <r>
    <x v="50"/>
    <x v="0"/>
    <x v="2"/>
    <n v="1568000"/>
  </r>
  <r>
    <x v="50"/>
    <x v="1"/>
    <x v="2"/>
    <n v="1642000"/>
  </r>
  <r>
    <x v="50"/>
    <x v="0"/>
    <x v="3"/>
    <n v="1377000"/>
  </r>
  <r>
    <x v="50"/>
    <x v="1"/>
    <x v="3"/>
    <n v="1422000"/>
  </r>
  <r>
    <x v="50"/>
    <x v="0"/>
    <x v="4"/>
    <n v="1370000"/>
  </r>
  <r>
    <x v="50"/>
    <x v="1"/>
    <x v="4"/>
    <n v="1333000"/>
  </r>
  <r>
    <x v="50"/>
    <x v="0"/>
    <x v="5"/>
    <n v="1487000"/>
  </r>
  <r>
    <x v="50"/>
    <x v="1"/>
    <x v="5"/>
    <n v="1417000"/>
  </r>
  <r>
    <x v="50"/>
    <x v="0"/>
    <x v="13"/>
    <n v="1640000"/>
  </r>
  <r>
    <x v="50"/>
    <x v="1"/>
    <x v="13"/>
    <n v="1615000"/>
  </r>
  <r>
    <x v="50"/>
    <x v="0"/>
    <x v="14"/>
    <n v="1579000"/>
  </r>
  <r>
    <x v="50"/>
    <x v="1"/>
    <x v="14"/>
    <n v="1533000"/>
  </r>
  <r>
    <x v="50"/>
    <x v="0"/>
    <x v="15"/>
    <n v="1681000"/>
  </r>
  <r>
    <x v="50"/>
    <x v="1"/>
    <x v="15"/>
    <n v="1623000"/>
  </r>
  <r>
    <x v="50"/>
    <x v="0"/>
    <x v="16"/>
    <n v="1704000"/>
  </r>
  <r>
    <x v="50"/>
    <x v="1"/>
    <x v="16"/>
    <n v="1662000"/>
  </r>
  <r>
    <x v="50"/>
    <x v="0"/>
    <x v="17"/>
    <n v="1637000"/>
  </r>
  <r>
    <x v="50"/>
    <x v="1"/>
    <x v="17"/>
    <n v="1565000"/>
  </r>
  <r>
    <x v="50"/>
    <x v="0"/>
    <x v="18"/>
    <n v="1492000"/>
  </r>
  <r>
    <x v="50"/>
    <x v="1"/>
    <x v="18"/>
    <n v="1313000"/>
  </r>
  <r>
    <x v="50"/>
    <x v="0"/>
    <x v="19"/>
    <n v="1344000"/>
  </r>
  <r>
    <x v="50"/>
    <x v="1"/>
    <x v="19"/>
    <n v="1089000"/>
  </r>
  <r>
    <x v="50"/>
    <x v="0"/>
    <x v="20"/>
    <n v="1209000"/>
  </r>
  <r>
    <x v="50"/>
    <x v="1"/>
    <x v="20"/>
    <n v="944000"/>
  </r>
  <r>
    <x v="50"/>
    <x v="0"/>
    <x v="21"/>
    <n v="1051000"/>
  </r>
  <r>
    <x v="50"/>
    <x v="1"/>
    <x v="21"/>
    <n v="780000"/>
  </r>
  <r>
    <x v="50"/>
    <x v="0"/>
    <x v="22"/>
    <n v="836000"/>
  </r>
  <r>
    <x v="50"/>
    <x v="1"/>
    <x v="22"/>
    <n v="592000"/>
  </r>
  <r>
    <x v="50"/>
    <x v="0"/>
    <x v="23"/>
    <n v="554000"/>
  </r>
  <r>
    <x v="50"/>
    <x v="1"/>
    <x v="23"/>
    <n v="374000"/>
  </r>
  <r>
    <x v="50"/>
    <x v="0"/>
    <x v="24"/>
    <n v="283000"/>
  </r>
  <r>
    <x v="50"/>
    <x v="1"/>
    <x v="24"/>
    <n v="169000"/>
  </r>
  <r>
    <x v="50"/>
    <x v="0"/>
    <x v="6"/>
    <n v="140000"/>
  </r>
  <r>
    <x v="50"/>
    <x v="1"/>
    <x v="6"/>
    <n v="61000"/>
  </r>
  <r>
    <x v="51"/>
    <x v="0"/>
    <x v="0"/>
    <n v="320000"/>
  </r>
  <r>
    <x v="51"/>
    <x v="1"/>
    <x v="0"/>
    <n v="335000"/>
  </r>
  <r>
    <x v="51"/>
    <x v="0"/>
    <x v="1"/>
    <n v="1391000"/>
  </r>
  <r>
    <x v="51"/>
    <x v="1"/>
    <x v="1"/>
    <n v="1459000"/>
  </r>
  <r>
    <x v="51"/>
    <x v="0"/>
    <x v="2"/>
    <n v="1705000"/>
  </r>
  <r>
    <x v="51"/>
    <x v="1"/>
    <x v="2"/>
    <n v="1787000"/>
  </r>
  <r>
    <x v="51"/>
    <x v="0"/>
    <x v="3"/>
    <n v="1380000"/>
  </r>
  <r>
    <x v="51"/>
    <x v="1"/>
    <x v="3"/>
    <n v="1429000"/>
  </r>
  <r>
    <x v="51"/>
    <x v="0"/>
    <x v="4"/>
    <n v="1368000"/>
  </r>
  <r>
    <x v="51"/>
    <x v="1"/>
    <x v="4"/>
    <n v="1331000"/>
  </r>
  <r>
    <x v="51"/>
    <x v="0"/>
    <x v="5"/>
    <n v="1470000"/>
  </r>
  <r>
    <x v="51"/>
    <x v="1"/>
    <x v="5"/>
    <n v="1388000"/>
  </r>
  <r>
    <x v="51"/>
    <x v="0"/>
    <x v="13"/>
    <n v="1590000"/>
  </r>
  <r>
    <x v="51"/>
    <x v="1"/>
    <x v="13"/>
    <n v="1570000"/>
  </r>
  <r>
    <x v="51"/>
    <x v="0"/>
    <x v="14"/>
    <n v="1630000"/>
  </r>
  <r>
    <x v="51"/>
    <x v="1"/>
    <x v="14"/>
    <n v="1588000"/>
  </r>
  <r>
    <x v="51"/>
    <x v="0"/>
    <x v="15"/>
    <n v="1632000"/>
  </r>
  <r>
    <x v="51"/>
    <x v="1"/>
    <x v="15"/>
    <n v="1574000"/>
  </r>
  <r>
    <x v="51"/>
    <x v="0"/>
    <x v="16"/>
    <n v="1697000"/>
  </r>
  <r>
    <x v="51"/>
    <x v="1"/>
    <x v="16"/>
    <n v="1654000"/>
  </r>
  <r>
    <x v="51"/>
    <x v="0"/>
    <x v="17"/>
    <n v="1648000"/>
  </r>
  <r>
    <x v="51"/>
    <x v="1"/>
    <x v="17"/>
    <n v="1587000"/>
  </r>
  <r>
    <x v="51"/>
    <x v="0"/>
    <x v="18"/>
    <n v="1512000"/>
  </r>
  <r>
    <x v="51"/>
    <x v="1"/>
    <x v="18"/>
    <n v="1361000"/>
  </r>
  <r>
    <x v="51"/>
    <x v="0"/>
    <x v="19"/>
    <n v="1358000"/>
  </r>
  <r>
    <x v="51"/>
    <x v="1"/>
    <x v="19"/>
    <n v="1101000"/>
  </r>
  <r>
    <x v="51"/>
    <x v="0"/>
    <x v="20"/>
    <n v="1219000"/>
  </r>
  <r>
    <x v="51"/>
    <x v="1"/>
    <x v="20"/>
    <n v="949000"/>
  </r>
  <r>
    <x v="51"/>
    <x v="0"/>
    <x v="21"/>
    <n v="1060000"/>
  </r>
  <r>
    <x v="51"/>
    <x v="1"/>
    <x v="21"/>
    <n v="782000"/>
  </r>
  <r>
    <x v="51"/>
    <x v="0"/>
    <x v="22"/>
    <n v="850000"/>
  </r>
  <r>
    <x v="51"/>
    <x v="1"/>
    <x v="22"/>
    <n v="595000"/>
  </r>
  <r>
    <x v="51"/>
    <x v="0"/>
    <x v="23"/>
    <n v="573000"/>
  </r>
  <r>
    <x v="51"/>
    <x v="1"/>
    <x v="23"/>
    <n v="380000"/>
  </r>
  <r>
    <x v="51"/>
    <x v="0"/>
    <x v="24"/>
    <n v="294000"/>
  </r>
  <r>
    <x v="51"/>
    <x v="1"/>
    <x v="24"/>
    <n v="175000"/>
  </r>
  <r>
    <x v="51"/>
    <x v="0"/>
    <x v="6"/>
    <n v="148000"/>
  </r>
  <r>
    <x v="51"/>
    <x v="1"/>
    <x v="6"/>
    <n v="65000"/>
  </r>
  <r>
    <x v="52"/>
    <x v="0"/>
    <x v="0"/>
    <n v="324000"/>
  </r>
  <r>
    <x v="52"/>
    <x v="1"/>
    <x v="0"/>
    <n v="342000"/>
  </r>
  <r>
    <x v="52"/>
    <x v="0"/>
    <x v="1"/>
    <n v="1327000"/>
  </r>
  <r>
    <x v="52"/>
    <x v="1"/>
    <x v="1"/>
    <n v="1392000"/>
  </r>
  <r>
    <x v="52"/>
    <x v="0"/>
    <x v="2"/>
    <n v="1772000"/>
  </r>
  <r>
    <x v="52"/>
    <x v="1"/>
    <x v="2"/>
    <n v="1856000"/>
  </r>
  <r>
    <x v="52"/>
    <x v="0"/>
    <x v="3"/>
    <n v="1404000"/>
  </r>
  <r>
    <x v="52"/>
    <x v="1"/>
    <x v="3"/>
    <n v="1459000"/>
  </r>
  <r>
    <x v="52"/>
    <x v="0"/>
    <x v="4"/>
    <n v="1381000"/>
  </r>
  <r>
    <x v="52"/>
    <x v="1"/>
    <x v="4"/>
    <n v="1339000"/>
  </r>
  <r>
    <x v="52"/>
    <x v="0"/>
    <x v="5"/>
    <n v="1446000"/>
  </r>
  <r>
    <x v="52"/>
    <x v="1"/>
    <x v="5"/>
    <n v="1394000"/>
  </r>
  <r>
    <x v="52"/>
    <x v="0"/>
    <x v="13"/>
    <n v="1553000"/>
  </r>
  <r>
    <x v="52"/>
    <x v="1"/>
    <x v="13"/>
    <n v="1544000"/>
  </r>
  <r>
    <x v="52"/>
    <x v="0"/>
    <x v="14"/>
    <n v="1692000"/>
  </r>
  <r>
    <x v="52"/>
    <x v="1"/>
    <x v="14"/>
    <n v="1657000"/>
  </r>
  <r>
    <x v="52"/>
    <x v="0"/>
    <x v="15"/>
    <n v="1548000"/>
  </r>
  <r>
    <x v="52"/>
    <x v="1"/>
    <x v="15"/>
    <n v="1490000"/>
  </r>
  <r>
    <x v="52"/>
    <x v="0"/>
    <x v="16"/>
    <n v="1689000"/>
  </r>
  <r>
    <x v="52"/>
    <x v="1"/>
    <x v="16"/>
    <n v="1645000"/>
  </r>
  <r>
    <x v="52"/>
    <x v="0"/>
    <x v="17"/>
    <n v="1661000"/>
  </r>
  <r>
    <x v="52"/>
    <x v="1"/>
    <x v="17"/>
    <n v="1604000"/>
  </r>
  <r>
    <x v="52"/>
    <x v="0"/>
    <x v="18"/>
    <n v="1533000"/>
  </r>
  <r>
    <x v="52"/>
    <x v="1"/>
    <x v="18"/>
    <n v="1408000"/>
  </r>
  <r>
    <x v="52"/>
    <x v="0"/>
    <x v="19"/>
    <n v="1375000"/>
  </r>
  <r>
    <x v="52"/>
    <x v="1"/>
    <x v="19"/>
    <n v="1118000"/>
  </r>
  <r>
    <x v="52"/>
    <x v="0"/>
    <x v="20"/>
    <n v="1228000"/>
  </r>
  <r>
    <x v="52"/>
    <x v="1"/>
    <x v="20"/>
    <n v="953000"/>
  </r>
  <r>
    <x v="52"/>
    <x v="0"/>
    <x v="21"/>
    <n v="1068000"/>
  </r>
  <r>
    <x v="52"/>
    <x v="1"/>
    <x v="21"/>
    <n v="782000"/>
  </r>
  <r>
    <x v="52"/>
    <x v="0"/>
    <x v="22"/>
    <n v="859000"/>
  </r>
  <r>
    <x v="52"/>
    <x v="1"/>
    <x v="22"/>
    <n v="594000"/>
  </r>
  <r>
    <x v="52"/>
    <x v="0"/>
    <x v="23"/>
    <n v="587000"/>
  </r>
  <r>
    <x v="52"/>
    <x v="1"/>
    <x v="23"/>
    <n v="382000"/>
  </r>
  <r>
    <x v="52"/>
    <x v="0"/>
    <x v="24"/>
    <n v="304000"/>
  </r>
  <r>
    <x v="52"/>
    <x v="1"/>
    <x v="24"/>
    <n v="179000"/>
  </r>
  <r>
    <x v="52"/>
    <x v="0"/>
    <x v="6"/>
    <n v="152000"/>
  </r>
  <r>
    <x v="52"/>
    <x v="1"/>
    <x v="6"/>
    <n v="68000"/>
  </r>
  <r>
    <x v="53"/>
    <x v="0"/>
    <x v="0"/>
    <n v="327000"/>
  </r>
  <r>
    <x v="53"/>
    <x v="1"/>
    <x v="0"/>
    <n v="343000"/>
  </r>
  <r>
    <x v="53"/>
    <x v="0"/>
    <x v="1"/>
    <n v="1296000"/>
  </r>
  <r>
    <x v="53"/>
    <x v="1"/>
    <x v="1"/>
    <n v="1360000"/>
  </r>
  <r>
    <x v="53"/>
    <x v="0"/>
    <x v="2"/>
    <n v="1793000"/>
  </r>
  <r>
    <x v="53"/>
    <x v="1"/>
    <x v="2"/>
    <n v="1880000"/>
  </r>
  <r>
    <x v="53"/>
    <x v="0"/>
    <x v="3"/>
    <n v="1447000"/>
  </r>
  <r>
    <x v="53"/>
    <x v="1"/>
    <x v="3"/>
    <n v="1509000"/>
  </r>
  <r>
    <x v="53"/>
    <x v="0"/>
    <x v="4"/>
    <n v="1399000"/>
  </r>
  <r>
    <x v="53"/>
    <x v="1"/>
    <x v="4"/>
    <n v="1346000"/>
  </r>
  <r>
    <x v="53"/>
    <x v="0"/>
    <x v="5"/>
    <n v="1421000"/>
  </r>
  <r>
    <x v="53"/>
    <x v="1"/>
    <x v="5"/>
    <n v="1370000"/>
  </r>
  <r>
    <x v="53"/>
    <x v="0"/>
    <x v="13"/>
    <n v="1520000"/>
  </r>
  <r>
    <x v="53"/>
    <x v="1"/>
    <x v="13"/>
    <n v="1516000"/>
  </r>
  <r>
    <x v="53"/>
    <x v="0"/>
    <x v="14"/>
    <n v="1756000"/>
  </r>
  <r>
    <x v="53"/>
    <x v="1"/>
    <x v="14"/>
    <n v="1728000"/>
  </r>
  <r>
    <x v="53"/>
    <x v="0"/>
    <x v="15"/>
    <n v="1451000"/>
  </r>
  <r>
    <x v="53"/>
    <x v="1"/>
    <x v="15"/>
    <n v="1403000"/>
  </r>
  <r>
    <x v="53"/>
    <x v="0"/>
    <x v="16"/>
    <n v="1689000"/>
  </r>
  <r>
    <x v="53"/>
    <x v="1"/>
    <x v="16"/>
    <n v="1639000"/>
  </r>
  <r>
    <x v="53"/>
    <x v="0"/>
    <x v="17"/>
    <n v="1667000"/>
  </r>
  <r>
    <x v="53"/>
    <x v="1"/>
    <x v="17"/>
    <n v="1616000"/>
  </r>
  <r>
    <x v="53"/>
    <x v="0"/>
    <x v="18"/>
    <n v="1555000"/>
  </r>
  <r>
    <x v="53"/>
    <x v="1"/>
    <x v="18"/>
    <n v="1447000"/>
  </r>
  <r>
    <x v="53"/>
    <x v="0"/>
    <x v="19"/>
    <n v="1393000"/>
  </r>
  <r>
    <x v="53"/>
    <x v="1"/>
    <x v="19"/>
    <n v="1146000"/>
  </r>
  <r>
    <x v="53"/>
    <x v="0"/>
    <x v="20"/>
    <n v="1240000"/>
  </r>
  <r>
    <x v="53"/>
    <x v="1"/>
    <x v="20"/>
    <n v="960000"/>
  </r>
  <r>
    <x v="53"/>
    <x v="0"/>
    <x v="21"/>
    <n v="1076000"/>
  </r>
  <r>
    <x v="53"/>
    <x v="1"/>
    <x v="21"/>
    <n v="784000"/>
  </r>
  <r>
    <x v="53"/>
    <x v="0"/>
    <x v="22"/>
    <n v="872000"/>
  </r>
  <r>
    <x v="53"/>
    <x v="1"/>
    <x v="22"/>
    <n v="596000"/>
  </r>
  <r>
    <x v="53"/>
    <x v="0"/>
    <x v="23"/>
    <n v="605000"/>
  </r>
  <r>
    <x v="53"/>
    <x v="1"/>
    <x v="23"/>
    <n v="386000"/>
  </r>
  <r>
    <x v="53"/>
    <x v="0"/>
    <x v="24"/>
    <n v="318000"/>
  </r>
  <r>
    <x v="53"/>
    <x v="1"/>
    <x v="24"/>
    <n v="185000"/>
  </r>
  <r>
    <x v="53"/>
    <x v="0"/>
    <x v="6"/>
    <n v="161000"/>
  </r>
  <r>
    <x v="53"/>
    <x v="1"/>
    <x v="6"/>
    <n v="74000"/>
  </r>
  <r>
    <x v="54"/>
    <x v="0"/>
    <x v="0"/>
    <n v="318000"/>
  </r>
  <r>
    <x v="54"/>
    <x v="1"/>
    <x v="0"/>
    <n v="335000"/>
  </r>
  <r>
    <x v="54"/>
    <x v="0"/>
    <x v="1"/>
    <n v="1283000"/>
  </r>
  <r>
    <x v="54"/>
    <x v="1"/>
    <x v="1"/>
    <n v="1347000"/>
  </r>
  <r>
    <x v="54"/>
    <x v="0"/>
    <x v="2"/>
    <n v="1803000"/>
  </r>
  <r>
    <x v="54"/>
    <x v="1"/>
    <x v="2"/>
    <n v="1887000"/>
  </r>
  <r>
    <x v="54"/>
    <x v="0"/>
    <x v="3"/>
    <n v="1493000"/>
  </r>
  <r>
    <x v="54"/>
    <x v="1"/>
    <x v="3"/>
    <n v="1560000"/>
  </r>
  <r>
    <x v="54"/>
    <x v="0"/>
    <x v="4"/>
    <n v="1399000"/>
  </r>
  <r>
    <x v="54"/>
    <x v="1"/>
    <x v="4"/>
    <n v="1375000"/>
  </r>
  <r>
    <x v="54"/>
    <x v="0"/>
    <x v="5"/>
    <n v="1405000"/>
  </r>
  <r>
    <x v="54"/>
    <x v="1"/>
    <x v="5"/>
    <n v="1362000"/>
  </r>
  <r>
    <x v="54"/>
    <x v="0"/>
    <x v="13"/>
    <n v="1497000"/>
  </r>
  <r>
    <x v="54"/>
    <x v="1"/>
    <x v="13"/>
    <n v="1490000"/>
  </r>
  <r>
    <x v="54"/>
    <x v="0"/>
    <x v="14"/>
    <n v="1679000"/>
  </r>
  <r>
    <x v="54"/>
    <x v="1"/>
    <x v="14"/>
    <n v="1657000"/>
  </r>
  <r>
    <x v="54"/>
    <x v="0"/>
    <x v="15"/>
    <n v="1503000"/>
  </r>
  <r>
    <x v="54"/>
    <x v="1"/>
    <x v="15"/>
    <n v="1460000"/>
  </r>
  <r>
    <x v="54"/>
    <x v="0"/>
    <x v="16"/>
    <n v="1685000"/>
  </r>
  <r>
    <x v="54"/>
    <x v="1"/>
    <x v="16"/>
    <n v="1632000"/>
  </r>
  <r>
    <x v="54"/>
    <x v="0"/>
    <x v="17"/>
    <n v="1668000"/>
  </r>
  <r>
    <x v="54"/>
    <x v="1"/>
    <x v="17"/>
    <n v="1625000"/>
  </r>
  <r>
    <x v="54"/>
    <x v="0"/>
    <x v="18"/>
    <n v="1575000"/>
  </r>
  <r>
    <x v="54"/>
    <x v="1"/>
    <x v="18"/>
    <n v="1477000"/>
  </r>
  <r>
    <x v="54"/>
    <x v="0"/>
    <x v="19"/>
    <n v="1416000"/>
  </r>
  <r>
    <x v="54"/>
    <x v="1"/>
    <x v="19"/>
    <n v="1183000"/>
  </r>
  <r>
    <x v="54"/>
    <x v="0"/>
    <x v="20"/>
    <n v="1253000"/>
  </r>
  <r>
    <x v="54"/>
    <x v="1"/>
    <x v="20"/>
    <n v="966000"/>
  </r>
  <r>
    <x v="54"/>
    <x v="0"/>
    <x v="21"/>
    <n v="1082000"/>
  </r>
  <r>
    <x v="54"/>
    <x v="1"/>
    <x v="21"/>
    <n v="785000"/>
  </r>
  <r>
    <x v="54"/>
    <x v="0"/>
    <x v="22"/>
    <n v="880000"/>
  </r>
  <r>
    <x v="54"/>
    <x v="1"/>
    <x v="22"/>
    <n v="596000"/>
  </r>
  <r>
    <x v="54"/>
    <x v="0"/>
    <x v="23"/>
    <n v="617000"/>
  </r>
  <r>
    <x v="54"/>
    <x v="1"/>
    <x v="23"/>
    <n v="385000"/>
  </r>
  <r>
    <x v="54"/>
    <x v="0"/>
    <x v="24"/>
    <n v="329000"/>
  </r>
  <r>
    <x v="54"/>
    <x v="1"/>
    <x v="24"/>
    <n v="189000"/>
  </r>
  <r>
    <x v="54"/>
    <x v="0"/>
    <x v="6"/>
    <n v="167000"/>
  </r>
  <r>
    <x v="54"/>
    <x v="1"/>
    <x v="6"/>
    <n v="78000"/>
  </r>
  <r>
    <x v="55"/>
    <x v="0"/>
    <x v="0"/>
    <n v="329000"/>
  </r>
  <r>
    <x v="55"/>
    <x v="1"/>
    <x v="0"/>
    <n v="348000"/>
  </r>
  <r>
    <x v="55"/>
    <x v="0"/>
    <x v="1"/>
    <n v="1275000"/>
  </r>
  <r>
    <x v="55"/>
    <x v="1"/>
    <x v="1"/>
    <n v="1339000"/>
  </r>
  <r>
    <x v="55"/>
    <x v="0"/>
    <x v="2"/>
    <n v="1799000"/>
  </r>
  <r>
    <x v="55"/>
    <x v="1"/>
    <x v="2"/>
    <n v="1883000"/>
  </r>
  <r>
    <x v="55"/>
    <x v="0"/>
    <x v="3"/>
    <n v="1559000"/>
  </r>
  <r>
    <x v="55"/>
    <x v="1"/>
    <x v="3"/>
    <n v="1633000"/>
  </r>
  <r>
    <x v="55"/>
    <x v="0"/>
    <x v="4"/>
    <n v="1389000"/>
  </r>
  <r>
    <x v="55"/>
    <x v="1"/>
    <x v="4"/>
    <n v="1366000"/>
  </r>
  <r>
    <x v="55"/>
    <x v="0"/>
    <x v="5"/>
    <n v="1389000"/>
  </r>
  <r>
    <x v="55"/>
    <x v="1"/>
    <x v="5"/>
    <n v="1366000"/>
  </r>
  <r>
    <x v="55"/>
    <x v="0"/>
    <x v="13"/>
    <n v="1479000"/>
  </r>
  <r>
    <x v="55"/>
    <x v="1"/>
    <x v="13"/>
    <n v="1482000"/>
  </r>
  <r>
    <x v="55"/>
    <x v="0"/>
    <x v="14"/>
    <n v="1621000"/>
  </r>
  <r>
    <x v="55"/>
    <x v="1"/>
    <x v="14"/>
    <n v="1607000"/>
  </r>
  <r>
    <x v="55"/>
    <x v="0"/>
    <x v="15"/>
    <n v="1561000"/>
  </r>
  <r>
    <x v="55"/>
    <x v="1"/>
    <x v="15"/>
    <n v="1516000"/>
  </r>
  <r>
    <x v="55"/>
    <x v="0"/>
    <x v="16"/>
    <n v="1655000"/>
  </r>
  <r>
    <x v="55"/>
    <x v="1"/>
    <x v="16"/>
    <n v="1603000"/>
  </r>
  <r>
    <x v="55"/>
    <x v="0"/>
    <x v="17"/>
    <n v="1670000"/>
  </r>
  <r>
    <x v="55"/>
    <x v="1"/>
    <x v="17"/>
    <n v="1626000"/>
  </r>
  <r>
    <x v="55"/>
    <x v="0"/>
    <x v="18"/>
    <n v="1593000"/>
  </r>
  <r>
    <x v="55"/>
    <x v="1"/>
    <x v="18"/>
    <n v="1503000"/>
  </r>
  <r>
    <x v="55"/>
    <x v="0"/>
    <x v="19"/>
    <n v="1436000"/>
  </r>
  <r>
    <x v="55"/>
    <x v="1"/>
    <x v="19"/>
    <n v="1225000"/>
  </r>
  <r>
    <x v="55"/>
    <x v="0"/>
    <x v="20"/>
    <n v="1267000"/>
  </r>
  <r>
    <x v="55"/>
    <x v="1"/>
    <x v="20"/>
    <n v="975000"/>
  </r>
  <r>
    <x v="55"/>
    <x v="0"/>
    <x v="21"/>
    <n v="1093000"/>
  </r>
  <r>
    <x v="55"/>
    <x v="1"/>
    <x v="21"/>
    <n v="790000"/>
  </r>
  <r>
    <x v="55"/>
    <x v="0"/>
    <x v="22"/>
    <n v="889000"/>
  </r>
  <r>
    <x v="55"/>
    <x v="1"/>
    <x v="22"/>
    <n v="596000"/>
  </r>
  <r>
    <x v="55"/>
    <x v="0"/>
    <x v="23"/>
    <n v="631000"/>
  </r>
  <r>
    <x v="55"/>
    <x v="1"/>
    <x v="23"/>
    <n v="386000"/>
  </r>
  <r>
    <x v="55"/>
    <x v="0"/>
    <x v="24"/>
    <n v="342000"/>
  </r>
  <r>
    <x v="55"/>
    <x v="1"/>
    <x v="24"/>
    <n v="193000"/>
  </r>
  <r>
    <x v="55"/>
    <x v="0"/>
    <x v="6"/>
    <n v="173000"/>
  </r>
  <r>
    <x v="55"/>
    <x v="1"/>
    <x v="6"/>
    <n v="80000"/>
  </r>
  <r>
    <x v="56"/>
    <x v="0"/>
    <x v="0"/>
    <n v="339000"/>
  </r>
  <r>
    <x v="56"/>
    <x v="1"/>
    <x v="0"/>
    <n v="357000"/>
  </r>
  <r>
    <x v="56"/>
    <x v="0"/>
    <x v="1"/>
    <n v="1282000"/>
  </r>
  <r>
    <x v="56"/>
    <x v="1"/>
    <x v="1"/>
    <n v="1350000"/>
  </r>
  <r>
    <x v="56"/>
    <x v="0"/>
    <x v="2"/>
    <n v="1691000"/>
  </r>
  <r>
    <x v="56"/>
    <x v="1"/>
    <x v="2"/>
    <n v="1769000"/>
  </r>
  <r>
    <x v="56"/>
    <x v="0"/>
    <x v="3"/>
    <n v="1696000"/>
  </r>
  <r>
    <x v="56"/>
    <x v="1"/>
    <x v="3"/>
    <n v="1777000"/>
  </r>
  <r>
    <x v="56"/>
    <x v="0"/>
    <x v="4"/>
    <n v="1389000"/>
  </r>
  <r>
    <x v="56"/>
    <x v="1"/>
    <x v="4"/>
    <n v="1396000"/>
  </r>
  <r>
    <x v="56"/>
    <x v="0"/>
    <x v="5"/>
    <n v="1386000"/>
  </r>
  <r>
    <x v="56"/>
    <x v="1"/>
    <x v="5"/>
    <n v="1361000"/>
  </r>
  <r>
    <x v="56"/>
    <x v="0"/>
    <x v="13"/>
    <n v="1465000"/>
  </r>
  <r>
    <x v="56"/>
    <x v="1"/>
    <x v="13"/>
    <n v="1472000"/>
  </r>
  <r>
    <x v="56"/>
    <x v="0"/>
    <x v="14"/>
    <n v="1573000"/>
  </r>
  <r>
    <x v="56"/>
    <x v="1"/>
    <x v="14"/>
    <n v="1564000"/>
  </r>
  <r>
    <x v="56"/>
    <x v="0"/>
    <x v="15"/>
    <n v="1615000"/>
  </r>
  <r>
    <x v="56"/>
    <x v="1"/>
    <x v="15"/>
    <n v="1570000"/>
  </r>
  <r>
    <x v="56"/>
    <x v="0"/>
    <x v="16"/>
    <n v="1612000"/>
  </r>
  <r>
    <x v="56"/>
    <x v="1"/>
    <x v="16"/>
    <n v="1554000"/>
  </r>
  <r>
    <x v="56"/>
    <x v="0"/>
    <x v="17"/>
    <n v="1666000"/>
  </r>
  <r>
    <x v="56"/>
    <x v="1"/>
    <x v="17"/>
    <n v="1623000"/>
  </r>
  <r>
    <x v="56"/>
    <x v="0"/>
    <x v="18"/>
    <n v="1607000"/>
  </r>
  <r>
    <x v="56"/>
    <x v="1"/>
    <x v="18"/>
    <n v="1524000"/>
  </r>
  <r>
    <x v="56"/>
    <x v="0"/>
    <x v="19"/>
    <n v="1457000"/>
  </r>
  <r>
    <x v="56"/>
    <x v="1"/>
    <x v="19"/>
    <n v="1271000"/>
  </r>
  <r>
    <x v="56"/>
    <x v="0"/>
    <x v="20"/>
    <n v="1285000"/>
  </r>
  <r>
    <x v="56"/>
    <x v="1"/>
    <x v="20"/>
    <n v="990000"/>
  </r>
  <r>
    <x v="56"/>
    <x v="0"/>
    <x v="21"/>
    <n v="1107000"/>
  </r>
  <r>
    <x v="56"/>
    <x v="1"/>
    <x v="21"/>
    <n v="797000"/>
  </r>
  <r>
    <x v="56"/>
    <x v="0"/>
    <x v="22"/>
    <n v="902000"/>
  </r>
  <r>
    <x v="56"/>
    <x v="1"/>
    <x v="22"/>
    <n v="599000"/>
  </r>
  <r>
    <x v="56"/>
    <x v="0"/>
    <x v="23"/>
    <n v="646000"/>
  </r>
  <r>
    <x v="56"/>
    <x v="1"/>
    <x v="23"/>
    <n v="391000"/>
  </r>
  <r>
    <x v="56"/>
    <x v="0"/>
    <x v="24"/>
    <n v="357000"/>
  </r>
  <r>
    <x v="56"/>
    <x v="1"/>
    <x v="24"/>
    <n v="197000"/>
  </r>
  <r>
    <x v="56"/>
    <x v="0"/>
    <x v="6"/>
    <n v="184000"/>
  </r>
  <r>
    <x v="56"/>
    <x v="1"/>
    <x v="6"/>
    <n v="86000"/>
  </r>
  <r>
    <x v="57"/>
    <x v="0"/>
    <x v="0"/>
    <n v="351000"/>
  </r>
  <r>
    <x v="57"/>
    <x v="1"/>
    <x v="0"/>
    <n v="370000"/>
  </r>
  <r>
    <x v="57"/>
    <x v="0"/>
    <x v="1"/>
    <n v="1297000"/>
  </r>
  <r>
    <x v="57"/>
    <x v="1"/>
    <x v="1"/>
    <n v="1365000"/>
  </r>
  <r>
    <x v="57"/>
    <x v="0"/>
    <x v="2"/>
    <n v="1632000"/>
  </r>
  <r>
    <x v="57"/>
    <x v="1"/>
    <x v="2"/>
    <n v="1710000"/>
  </r>
  <r>
    <x v="57"/>
    <x v="0"/>
    <x v="3"/>
    <n v="1763000"/>
  </r>
  <r>
    <x v="57"/>
    <x v="1"/>
    <x v="3"/>
    <n v="1845000"/>
  </r>
  <r>
    <x v="57"/>
    <x v="0"/>
    <x v="4"/>
    <n v="1412000"/>
  </r>
  <r>
    <x v="57"/>
    <x v="1"/>
    <x v="4"/>
    <n v="1428000"/>
  </r>
  <r>
    <x v="57"/>
    <x v="0"/>
    <x v="5"/>
    <n v="1402000"/>
  </r>
  <r>
    <x v="57"/>
    <x v="1"/>
    <x v="5"/>
    <n v="1380000"/>
  </r>
  <r>
    <x v="57"/>
    <x v="0"/>
    <x v="13"/>
    <n v="1449000"/>
  </r>
  <r>
    <x v="57"/>
    <x v="1"/>
    <x v="13"/>
    <n v="1452000"/>
  </r>
  <r>
    <x v="57"/>
    <x v="0"/>
    <x v="14"/>
    <n v="1541000"/>
  </r>
  <r>
    <x v="57"/>
    <x v="1"/>
    <x v="14"/>
    <n v="1533000"/>
  </r>
  <r>
    <x v="57"/>
    <x v="0"/>
    <x v="15"/>
    <n v="1681000"/>
  </r>
  <r>
    <x v="57"/>
    <x v="1"/>
    <x v="15"/>
    <n v="1636000"/>
  </r>
  <r>
    <x v="57"/>
    <x v="0"/>
    <x v="16"/>
    <n v="1531000"/>
  </r>
  <r>
    <x v="57"/>
    <x v="1"/>
    <x v="16"/>
    <n v="1474000"/>
  </r>
  <r>
    <x v="57"/>
    <x v="0"/>
    <x v="17"/>
    <n v="1662000"/>
  </r>
  <r>
    <x v="57"/>
    <x v="1"/>
    <x v="17"/>
    <n v="1618000"/>
  </r>
  <r>
    <x v="57"/>
    <x v="0"/>
    <x v="18"/>
    <n v="1622000"/>
  </r>
  <r>
    <x v="57"/>
    <x v="1"/>
    <x v="18"/>
    <n v="1543000"/>
  </r>
  <r>
    <x v="57"/>
    <x v="0"/>
    <x v="19"/>
    <n v="1479000"/>
  </r>
  <r>
    <x v="57"/>
    <x v="1"/>
    <x v="19"/>
    <n v="1314000"/>
  </r>
  <r>
    <x v="57"/>
    <x v="0"/>
    <x v="20"/>
    <n v="1304000"/>
  </r>
  <r>
    <x v="57"/>
    <x v="1"/>
    <x v="20"/>
    <n v="1004000"/>
  </r>
  <r>
    <x v="57"/>
    <x v="0"/>
    <x v="21"/>
    <n v="1118000"/>
  </r>
  <r>
    <x v="57"/>
    <x v="1"/>
    <x v="21"/>
    <n v="800000"/>
  </r>
  <r>
    <x v="57"/>
    <x v="0"/>
    <x v="22"/>
    <n v="910000"/>
  </r>
  <r>
    <x v="57"/>
    <x v="1"/>
    <x v="22"/>
    <n v="596000"/>
  </r>
  <r>
    <x v="57"/>
    <x v="0"/>
    <x v="23"/>
    <n v="655000"/>
  </r>
  <r>
    <x v="57"/>
    <x v="1"/>
    <x v="23"/>
    <n v="392000"/>
  </r>
  <r>
    <x v="57"/>
    <x v="0"/>
    <x v="24"/>
    <n v="368000"/>
  </r>
  <r>
    <x v="57"/>
    <x v="1"/>
    <x v="24"/>
    <n v="196000"/>
  </r>
  <r>
    <x v="57"/>
    <x v="0"/>
    <x v="6"/>
    <n v="188000"/>
  </r>
  <r>
    <x v="57"/>
    <x v="1"/>
    <x v="6"/>
    <n v="88000"/>
  </r>
  <r>
    <x v="58"/>
    <x v="0"/>
    <x v="0"/>
    <n v="358000"/>
  </r>
  <r>
    <x v="58"/>
    <x v="1"/>
    <x v="0"/>
    <n v="378000"/>
  </r>
  <r>
    <x v="58"/>
    <x v="0"/>
    <x v="1"/>
    <n v="1323000"/>
  </r>
  <r>
    <x v="58"/>
    <x v="1"/>
    <x v="1"/>
    <n v="1393000"/>
  </r>
  <r>
    <x v="58"/>
    <x v="0"/>
    <x v="2"/>
    <n v="1603000"/>
  </r>
  <r>
    <x v="58"/>
    <x v="1"/>
    <x v="2"/>
    <n v="1679000"/>
  </r>
  <r>
    <x v="58"/>
    <x v="0"/>
    <x v="3"/>
    <n v="1785000"/>
  </r>
  <r>
    <x v="58"/>
    <x v="1"/>
    <x v="3"/>
    <n v="1869000"/>
  </r>
  <r>
    <x v="58"/>
    <x v="0"/>
    <x v="4"/>
    <n v="1457000"/>
  </r>
  <r>
    <x v="58"/>
    <x v="1"/>
    <x v="4"/>
    <n v="1496000"/>
  </r>
  <r>
    <x v="58"/>
    <x v="0"/>
    <x v="5"/>
    <n v="1429000"/>
  </r>
  <r>
    <x v="58"/>
    <x v="1"/>
    <x v="5"/>
    <n v="1399000"/>
  </r>
  <r>
    <x v="58"/>
    <x v="0"/>
    <x v="13"/>
    <n v="1426000"/>
  </r>
  <r>
    <x v="58"/>
    <x v="1"/>
    <x v="13"/>
    <n v="1435000"/>
  </r>
  <r>
    <x v="58"/>
    <x v="0"/>
    <x v="14"/>
    <n v="1515000"/>
  </r>
  <r>
    <x v="58"/>
    <x v="1"/>
    <x v="14"/>
    <n v="1508000"/>
  </r>
  <r>
    <x v="58"/>
    <x v="0"/>
    <x v="15"/>
    <n v="1752000"/>
  </r>
  <r>
    <x v="58"/>
    <x v="1"/>
    <x v="15"/>
    <n v="1705000"/>
  </r>
  <r>
    <x v="58"/>
    <x v="0"/>
    <x v="16"/>
    <n v="1443000"/>
  </r>
  <r>
    <x v="58"/>
    <x v="1"/>
    <x v="16"/>
    <n v="1390000"/>
  </r>
  <r>
    <x v="58"/>
    <x v="0"/>
    <x v="17"/>
    <n v="1665000"/>
  </r>
  <r>
    <x v="58"/>
    <x v="1"/>
    <x v="17"/>
    <n v="1617000"/>
  </r>
  <r>
    <x v="58"/>
    <x v="0"/>
    <x v="18"/>
    <n v="1630000"/>
  </r>
  <r>
    <x v="58"/>
    <x v="1"/>
    <x v="18"/>
    <n v="1554000"/>
  </r>
  <r>
    <x v="58"/>
    <x v="0"/>
    <x v="19"/>
    <n v="1503000"/>
  </r>
  <r>
    <x v="58"/>
    <x v="1"/>
    <x v="19"/>
    <n v="1354000"/>
  </r>
  <r>
    <x v="58"/>
    <x v="0"/>
    <x v="20"/>
    <n v="1323000"/>
  </r>
  <r>
    <x v="58"/>
    <x v="1"/>
    <x v="20"/>
    <n v="1028000"/>
  </r>
  <r>
    <x v="58"/>
    <x v="0"/>
    <x v="21"/>
    <n v="1133000"/>
  </r>
  <r>
    <x v="58"/>
    <x v="1"/>
    <x v="21"/>
    <n v="805000"/>
  </r>
  <r>
    <x v="58"/>
    <x v="0"/>
    <x v="22"/>
    <n v="919000"/>
  </r>
  <r>
    <x v="58"/>
    <x v="1"/>
    <x v="22"/>
    <n v="596000"/>
  </r>
  <r>
    <x v="58"/>
    <x v="0"/>
    <x v="23"/>
    <n v="664000"/>
  </r>
  <r>
    <x v="58"/>
    <x v="1"/>
    <x v="23"/>
    <n v="392000"/>
  </r>
  <r>
    <x v="58"/>
    <x v="0"/>
    <x v="24"/>
    <n v="380000"/>
  </r>
  <r>
    <x v="58"/>
    <x v="1"/>
    <x v="24"/>
    <n v="197000"/>
  </r>
  <r>
    <x v="58"/>
    <x v="0"/>
    <x v="6"/>
    <n v="193000"/>
  </r>
  <r>
    <x v="58"/>
    <x v="1"/>
    <x v="6"/>
    <n v="90000"/>
  </r>
  <r>
    <x v="59"/>
    <x v="0"/>
    <x v="0"/>
    <n v="362000"/>
  </r>
  <r>
    <x v="59"/>
    <x v="1"/>
    <x v="0"/>
    <n v="383000"/>
  </r>
  <r>
    <x v="59"/>
    <x v="0"/>
    <x v="1"/>
    <n v="1364000"/>
  </r>
  <r>
    <x v="59"/>
    <x v="1"/>
    <x v="1"/>
    <n v="1438000"/>
  </r>
  <r>
    <x v="59"/>
    <x v="0"/>
    <x v="2"/>
    <n v="1588000"/>
  </r>
  <r>
    <x v="59"/>
    <x v="1"/>
    <x v="2"/>
    <n v="1666000"/>
  </r>
  <r>
    <x v="59"/>
    <x v="0"/>
    <x v="3"/>
    <n v="1800000"/>
  </r>
  <r>
    <x v="59"/>
    <x v="1"/>
    <x v="3"/>
    <n v="1884000"/>
  </r>
  <r>
    <x v="59"/>
    <x v="0"/>
    <x v="4"/>
    <n v="1517000"/>
  </r>
  <r>
    <x v="59"/>
    <x v="1"/>
    <x v="4"/>
    <n v="1561000"/>
  </r>
  <r>
    <x v="59"/>
    <x v="0"/>
    <x v="5"/>
    <n v="1450000"/>
  </r>
  <r>
    <x v="59"/>
    <x v="1"/>
    <x v="5"/>
    <n v="1424000"/>
  </r>
  <r>
    <x v="59"/>
    <x v="0"/>
    <x v="13"/>
    <n v="1413000"/>
  </r>
  <r>
    <x v="59"/>
    <x v="1"/>
    <x v="13"/>
    <n v="1439000"/>
  </r>
  <r>
    <x v="59"/>
    <x v="0"/>
    <x v="14"/>
    <n v="1494000"/>
  </r>
  <r>
    <x v="59"/>
    <x v="1"/>
    <x v="14"/>
    <n v="1491000"/>
  </r>
  <r>
    <x v="59"/>
    <x v="0"/>
    <x v="15"/>
    <n v="1673000"/>
  </r>
  <r>
    <x v="59"/>
    <x v="1"/>
    <x v="15"/>
    <n v="1644000"/>
  </r>
  <r>
    <x v="59"/>
    <x v="0"/>
    <x v="16"/>
    <n v="1498000"/>
  </r>
  <r>
    <x v="59"/>
    <x v="1"/>
    <x v="16"/>
    <n v="1450000"/>
  </r>
  <r>
    <x v="59"/>
    <x v="0"/>
    <x v="17"/>
    <n v="1665000"/>
  </r>
  <r>
    <x v="59"/>
    <x v="1"/>
    <x v="17"/>
    <n v="1605000"/>
  </r>
  <r>
    <x v="59"/>
    <x v="0"/>
    <x v="18"/>
    <n v="1636000"/>
  </r>
  <r>
    <x v="59"/>
    <x v="1"/>
    <x v="18"/>
    <n v="1561000"/>
  </r>
  <r>
    <x v="59"/>
    <x v="0"/>
    <x v="19"/>
    <n v="1520000"/>
  </r>
  <r>
    <x v="59"/>
    <x v="1"/>
    <x v="19"/>
    <n v="1387000"/>
  </r>
  <r>
    <x v="59"/>
    <x v="0"/>
    <x v="20"/>
    <n v="1342000"/>
  </r>
  <r>
    <x v="59"/>
    <x v="1"/>
    <x v="20"/>
    <n v="1066000"/>
  </r>
  <r>
    <x v="59"/>
    <x v="0"/>
    <x v="21"/>
    <n v="1147000"/>
  </r>
  <r>
    <x v="59"/>
    <x v="1"/>
    <x v="21"/>
    <n v="809000"/>
  </r>
  <r>
    <x v="59"/>
    <x v="0"/>
    <x v="22"/>
    <n v="935000"/>
  </r>
  <r>
    <x v="59"/>
    <x v="1"/>
    <x v="22"/>
    <n v="600000"/>
  </r>
  <r>
    <x v="59"/>
    <x v="0"/>
    <x v="23"/>
    <n v="672000"/>
  </r>
  <r>
    <x v="59"/>
    <x v="1"/>
    <x v="23"/>
    <n v="392000"/>
  </r>
  <r>
    <x v="59"/>
    <x v="0"/>
    <x v="24"/>
    <n v="394000"/>
  </r>
  <r>
    <x v="59"/>
    <x v="1"/>
    <x v="24"/>
    <n v="203000"/>
  </r>
  <r>
    <x v="59"/>
    <x v="0"/>
    <x v="6"/>
    <n v="208000"/>
  </r>
  <r>
    <x v="59"/>
    <x v="1"/>
    <x v="6"/>
    <n v="94000"/>
  </r>
  <r>
    <x v="60"/>
    <x v="0"/>
    <x v="0"/>
    <n v="380400"/>
  </r>
  <r>
    <x v="60"/>
    <x v="1"/>
    <x v="0"/>
    <n v="402400"/>
  </r>
  <r>
    <x v="60"/>
    <x v="0"/>
    <x v="1"/>
    <n v="1397800"/>
  </r>
  <r>
    <x v="60"/>
    <x v="1"/>
    <x v="1"/>
    <n v="1475500"/>
  </r>
  <r>
    <x v="60"/>
    <x v="0"/>
    <x v="2"/>
    <n v="1592100"/>
  </r>
  <r>
    <x v="60"/>
    <x v="1"/>
    <x v="2"/>
    <n v="1672400"/>
  </r>
  <r>
    <x v="60"/>
    <x v="0"/>
    <x v="3"/>
    <n v="1799000"/>
  </r>
  <r>
    <x v="60"/>
    <x v="1"/>
    <x v="3"/>
    <n v="1886800"/>
  </r>
  <r>
    <x v="60"/>
    <x v="0"/>
    <x v="4"/>
    <n v="1602800"/>
  </r>
  <r>
    <x v="60"/>
    <x v="1"/>
    <x v="4"/>
    <n v="1647200"/>
  </r>
  <r>
    <x v="60"/>
    <x v="0"/>
    <x v="5"/>
    <n v="1447500"/>
  </r>
  <r>
    <x v="60"/>
    <x v="1"/>
    <x v="5"/>
    <n v="1433000"/>
  </r>
  <r>
    <x v="60"/>
    <x v="0"/>
    <x v="13"/>
    <n v="1404700"/>
  </r>
  <r>
    <x v="60"/>
    <x v="1"/>
    <x v="13"/>
    <n v="1445900"/>
  </r>
  <r>
    <x v="60"/>
    <x v="0"/>
    <x v="14"/>
    <n v="1477600"/>
  </r>
  <r>
    <x v="60"/>
    <x v="1"/>
    <x v="14"/>
    <n v="1497000"/>
  </r>
  <r>
    <x v="60"/>
    <x v="0"/>
    <x v="15"/>
    <n v="1610300"/>
  </r>
  <r>
    <x v="60"/>
    <x v="1"/>
    <x v="15"/>
    <n v="1604800"/>
  </r>
  <r>
    <x v="60"/>
    <x v="0"/>
    <x v="16"/>
    <n v="1555900"/>
  </r>
  <r>
    <x v="60"/>
    <x v="1"/>
    <x v="16"/>
    <n v="1521800"/>
  </r>
  <r>
    <x v="60"/>
    <x v="0"/>
    <x v="17"/>
    <n v="1642600"/>
  </r>
  <r>
    <x v="60"/>
    <x v="1"/>
    <x v="17"/>
    <n v="1571100"/>
  </r>
  <r>
    <x v="60"/>
    <x v="0"/>
    <x v="18"/>
    <n v="1640100"/>
  </r>
  <r>
    <x v="60"/>
    <x v="1"/>
    <x v="18"/>
    <n v="1559800"/>
  </r>
  <r>
    <x v="60"/>
    <x v="0"/>
    <x v="19"/>
    <n v="1537300"/>
  </r>
  <r>
    <x v="60"/>
    <x v="1"/>
    <x v="19"/>
    <n v="1415400"/>
  </r>
  <r>
    <x v="60"/>
    <x v="0"/>
    <x v="20"/>
    <n v="1356000"/>
  </r>
  <r>
    <x v="60"/>
    <x v="1"/>
    <x v="20"/>
    <n v="1106000"/>
  </r>
  <r>
    <x v="60"/>
    <x v="0"/>
    <x v="21"/>
    <n v="1161000"/>
  </r>
  <r>
    <x v="60"/>
    <x v="1"/>
    <x v="21"/>
    <n v="820100"/>
  </r>
  <r>
    <x v="60"/>
    <x v="0"/>
    <x v="22"/>
    <n v="943600"/>
  </r>
  <r>
    <x v="60"/>
    <x v="1"/>
    <x v="22"/>
    <n v="600600"/>
  </r>
  <r>
    <x v="60"/>
    <x v="0"/>
    <x v="23"/>
    <n v="681000"/>
  </r>
  <r>
    <x v="60"/>
    <x v="1"/>
    <x v="23"/>
    <n v="389900"/>
  </r>
  <r>
    <x v="60"/>
    <x v="0"/>
    <x v="24"/>
    <n v="402100"/>
  </r>
  <r>
    <x v="60"/>
    <x v="1"/>
    <x v="24"/>
    <n v="205100"/>
  </r>
  <r>
    <x v="60"/>
    <x v="0"/>
    <x v="6"/>
    <n v="217400"/>
  </r>
  <r>
    <x v="60"/>
    <x v="1"/>
    <x v="6"/>
    <n v="92200"/>
  </r>
  <r>
    <x v="61"/>
    <x v="0"/>
    <x v="0"/>
    <n v="397000"/>
  </r>
  <r>
    <x v="61"/>
    <x v="1"/>
    <x v="0"/>
    <n v="416900"/>
  </r>
  <r>
    <x v="61"/>
    <x v="0"/>
    <x v="1"/>
    <n v="1445500"/>
  </r>
  <r>
    <x v="61"/>
    <x v="1"/>
    <x v="1"/>
    <n v="1529000"/>
  </r>
  <r>
    <x v="61"/>
    <x v="0"/>
    <x v="2"/>
    <n v="1612800"/>
  </r>
  <r>
    <x v="61"/>
    <x v="1"/>
    <x v="2"/>
    <n v="1707200"/>
  </r>
  <r>
    <x v="61"/>
    <x v="0"/>
    <x v="3"/>
    <n v="1711800"/>
  </r>
  <r>
    <x v="61"/>
    <x v="1"/>
    <x v="3"/>
    <n v="1797600"/>
  </r>
  <r>
    <x v="61"/>
    <x v="0"/>
    <x v="4"/>
    <n v="1719500"/>
  </r>
  <r>
    <x v="61"/>
    <x v="1"/>
    <x v="4"/>
    <n v="1787200"/>
  </r>
  <r>
    <x v="61"/>
    <x v="0"/>
    <x v="5"/>
    <n v="1459300"/>
  </r>
  <r>
    <x v="61"/>
    <x v="1"/>
    <x v="5"/>
    <n v="1456400"/>
  </r>
  <r>
    <x v="61"/>
    <x v="0"/>
    <x v="13"/>
    <n v="1411700"/>
  </r>
  <r>
    <x v="61"/>
    <x v="1"/>
    <x v="13"/>
    <n v="1463000"/>
  </r>
  <r>
    <x v="61"/>
    <x v="0"/>
    <x v="14"/>
    <n v="1473600"/>
  </r>
  <r>
    <x v="61"/>
    <x v="1"/>
    <x v="14"/>
    <n v="1504100"/>
  </r>
  <r>
    <x v="61"/>
    <x v="0"/>
    <x v="15"/>
    <n v="1569600"/>
  </r>
  <r>
    <x v="61"/>
    <x v="1"/>
    <x v="15"/>
    <n v="1572800"/>
  </r>
  <r>
    <x v="61"/>
    <x v="0"/>
    <x v="16"/>
    <n v="1607300"/>
  </r>
  <r>
    <x v="61"/>
    <x v="1"/>
    <x v="16"/>
    <n v="1586400"/>
  </r>
  <r>
    <x v="61"/>
    <x v="0"/>
    <x v="17"/>
    <n v="1596300"/>
  </r>
  <r>
    <x v="61"/>
    <x v="1"/>
    <x v="17"/>
    <n v="1536300"/>
  </r>
  <r>
    <x v="61"/>
    <x v="0"/>
    <x v="18"/>
    <n v="1640300"/>
  </r>
  <r>
    <x v="61"/>
    <x v="1"/>
    <x v="18"/>
    <n v="1562100"/>
  </r>
  <r>
    <x v="61"/>
    <x v="0"/>
    <x v="19"/>
    <n v="1553500"/>
  </r>
  <r>
    <x v="61"/>
    <x v="1"/>
    <x v="19"/>
    <n v="1435300"/>
  </r>
  <r>
    <x v="61"/>
    <x v="0"/>
    <x v="20"/>
    <n v="1376300"/>
  </r>
  <r>
    <x v="61"/>
    <x v="1"/>
    <x v="20"/>
    <n v="1150900"/>
  </r>
  <r>
    <x v="61"/>
    <x v="0"/>
    <x v="21"/>
    <n v="1173100"/>
  </r>
  <r>
    <x v="61"/>
    <x v="1"/>
    <x v="21"/>
    <n v="829800"/>
  </r>
  <r>
    <x v="61"/>
    <x v="0"/>
    <x v="22"/>
    <n v="951900"/>
  </r>
  <r>
    <x v="61"/>
    <x v="1"/>
    <x v="22"/>
    <n v="606700"/>
  </r>
  <r>
    <x v="61"/>
    <x v="0"/>
    <x v="23"/>
    <n v="695300"/>
  </r>
  <r>
    <x v="61"/>
    <x v="1"/>
    <x v="23"/>
    <n v="391300"/>
  </r>
  <r>
    <x v="61"/>
    <x v="0"/>
    <x v="24"/>
    <n v="406500"/>
  </r>
  <r>
    <x v="61"/>
    <x v="1"/>
    <x v="24"/>
    <n v="204100"/>
  </r>
  <r>
    <x v="61"/>
    <x v="0"/>
    <x v="6"/>
    <n v="224700"/>
  </r>
  <r>
    <x v="61"/>
    <x v="1"/>
    <x v="6"/>
    <n v="94300"/>
  </r>
  <r>
    <x v="62"/>
    <x v="0"/>
    <x v="0"/>
    <n v="405300"/>
  </r>
  <r>
    <x v="62"/>
    <x v="1"/>
    <x v="0"/>
    <n v="423300"/>
  </r>
  <r>
    <x v="62"/>
    <x v="0"/>
    <x v="1"/>
    <n v="1495300"/>
  </r>
  <r>
    <x v="62"/>
    <x v="1"/>
    <x v="1"/>
    <n v="1577400"/>
  </r>
  <r>
    <x v="62"/>
    <x v="0"/>
    <x v="2"/>
    <n v="1642300"/>
  </r>
  <r>
    <x v="62"/>
    <x v="1"/>
    <x v="2"/>
    <n v="1747600"/>
  </r>
  <r>
    <x v="62"/>
    <x v="0"/>
    <x v="3"/>
    <n v="1650500"/>
  </r>
  <r>
    <x v="62"/>
    <x v="1"/>
    <x v="3"/>
    <n v="1734300"/>
  </r>
  <r>
    <x v="62"/>
    <x v="0"/>
    <x v="4"/>
    <n v="1785700"/>
  </r>
  <r>
    <x v="62"/>
    <x v="1"/>
    <x v="4"/>
    <n v="1857600"/>
  </r>
  <r>
    <x v="62"/>
    <x v="0"/>
    <x v="5"/>
    <n v="1485900"/>
  </r>
  <r>
    <x v="62"/>
    <x v="1"/>
    <x v="5"/>
    <n v="1482700"/>
  </r>
  <r>
    <x v="62"/>
    <x v="0"/>
    <x v="13"/>
    <n v="1426800"/>
  </r>
  <r>
    <x v="62"/>
    <x v="1"/>
    <x v="13"/>
    <n v="1470200"/>
  </r>
  <r>
    <x v="62"/>
    <x v="0"/>
    <x v="14"/>
    <n v="1455300"/>
  </r>
  <r>
    <x v="62"/>
    <x v="1"/>
    <x v="14"/>
    <n v="1489400"/>
  </r>
  <r>
    <x v="62"/>
    <x v="0"/>
    <x v="15"/>
    <n v="1538600"/>
  </r>
  <r>
    <x v="62"/>
    <x v="1"/>
    <x v="15"/>
    <n v="1544800"/>
  </r>
  <r>
    <x v="62"/>
    <x v="0"/>
    <x v="16"/>
    <n v="1671200"/>
  </r>
  <r>
    <x v="62"/>
    <x v="1"/>
    <x v="16"/>
    <n v="1646600"/>
  </r>
  <r>
    <x v="62"/>
    <x v="0"/>
    <x v="17"/>
    <n v="1512900"/>
  </r>
  <r>
    <x v="62"/>
    <x v="1"/>
    <x v="17"/>
    <n v="1459300"/>
  </r>
  <r>
    <x v="62"/>
    <x v="0"/>
    <x v="18"/>
    <n v="1638900"/>
  </r>
  <r>
    <x v="62"/>
    <x v="1"/>
    <x v="18"/>
    <n v="1561600"/>
  </r>
  <r>
    <x v="62"/>
    <x v="0"/>
    <x v="19"/>
    <n v="1571100"/>
  </r>
  <r>
    <x v="62"/>
    <x v="1"/>
    <x v="19"/>
    <n v="1453400"/>
  </r>
  <r>
    <x v="62"/>
    <x v="0"/>
    <x v="20"/>
    <n v="1407400"/>
  </r>
  <r>
    <x v="62"/>
    <x v="1"/>
    <x v="20"/>
    <n v="1196800"/>
  </r>
  <r>
    <x v="62"/>
    <x v="0"/>
    <x v="21"/>
    <n v="1185700"/>
  </r>
  <r>
    <x v="62"/>
    <x v="1"/>
    <x v="21"/>
    <n v="839200"/>
  </r>
  <r>
    <x v="62"/>
    <x v="0"/>
    <x v="22"/>
    <n v="961700"/>
  </r>
  <r>
    <x v="62"/>
    <x v="1"/>
    <x v="22"/>
    <n v="612500"/>
  </r>
  <r>
    <x v="62"/>
    <x v="0"/>
    <x v="23"/>
    <n v="710600"/>
  </r>
  <r>
    <x v="62"/>
    <x v="1"/>
    <x v="23"/>
    <n v="393700"/>
  </r>
  <r>
    <x v="62"/>
    <x v="0"/>
    <x v="24"/>
    <n v="411400"/>
  </r>
  <r>
    <x v="62"/>
    <x v="1"/>
    <x v="24"/>
    <n v="201800"/>
  </r>
  <r>
    <x v="62"/>
    <x v="0"/>
    <x v="6"/>
    <n v="229800"/>
  </r>
  <r>
    <x v="62"/>
    <x v="1"/>
    <x v="6"/>
    <n v="94300"/>
  </r>
  <r>
    <x v="63"/>
    <x v="0"/>
    <x v="0"/>
    <n v="411100"/>
  </r>
  <r>
    <x v="63"/>
    <x v="1"/>
    <x v="0"/>
    <n v="429700"/>
  </r>
  <r>
    <x v="63"/>
    <x v="0"/>
    <x v="1"/>
    <n v="1544300"/>
  </r>
  <r>
    <x v="63"/>
    <x v="1"/>
    <x v="1"/>
    <n v="1619700"/>
  </r>
  <r>
    <x v="63"/>
    <x v="0"/>
    <x v="2"/>
    <n v="1674200"/>
  </r>
  <r>
    <x v="63"/>
    <x v="1"/>
    <x v="2"/>
    <n v="1784800"/>
  </r>
  <r>
    <x v="63"/>
    <x v="0"/>
    <x v="3"/>
    <n v="1621400"/>
  </r>
  <r>
    <x v="63"/>
    <x v="1"/>
    <x v="3"/>
    <n v="1707000"/>
  </r>
  <r>
    <x v="63"/>
    <x v="0"/>
    <x v="4"/>
    <n v="1805100"/>
  </r>
  <r>
    <x v="63"/>
    <x v="1"/>
    <x v="4"/>
    <n v="1884800"/>
  </r>
  <r>
    <x v="63"/>
    <x v="0"/>
    <x v="5"/>
    <n v="1520700"/>
  </r>
  <r>
    <x v="63"/>
    <x v="1"/>
    <x v="5"/>
    <n v="1529000"/>
  </r>
  <r>
    <x v="63"/>
    <x v="0"/>
    <x v="13"/>
    <n v="1445200"/>
  </r>
  <r>
    <x v="63"/>
    <x v="1"/>
    <x v="13"/>
    <n v="1488900"/>
  </r>
  <r>
    <x v="63"/>
    <x v="0"/>
    <x v="14"/>
    <n v="1425700"/>
  </r>
  <r>
    <x v="63"/>
    <x v="1"/>
    <x v="14"/>
    <n v="1470700"/>
  </r>
  <r>
    <x v="63"/>
    <x v="0"/>
    <x v="15"/>
    <n v="1513400"/>
  </r>
  <r>
    <x v="63"/>
    <x v="1"/>
    <x v="15"/>
    <n v="1525900"/>
  </r>
  <r>
    <x v="63"/>
    <x v="0"/>
    <x v="16"/>
    <n v="1722000"/>
  </r>
  <r>
    <x v="63"/>
    <x v="1"/>
    <x v="16"/>
    <n v="1696000"/>
  </r>
  <r>
    <x v="63"/>
    <x v="0"/>
    <x v="17"/>
    <n v="1437800"/>
  </r>
  <r>
    <x v="63"/>
    <x v="1"/>
    <x v="17"/>
    <n v="1392600"/>
  </r>
  <r>
    <x v="63"/>
    <x v="0"/>
    <x v="18"/>
    <n v="1636800"/>
  </r>
  <r>
    <x v="63"/>
    <x v="1"/>
    <x v="18"/>
    <n v="1561500"/>
  </r>
  <r>
    <x v="63"/>
    <x v="0"/>
    <x v="19"/>
    <n v="1584500"/>
  </r>
  <r>
    <x v="63"/>
    <x v="1"/>
    <x v="19"/>
    <n v="1470100"/>
  </r>
  <r>
    <x v="63"/>
    <x v="0"/>
    <x v="20"/>
    <n v="1435900"/>
  </r>
  <r>
    <x v="63"/>
    <x v="1"/>
    <x v="20"/>
    <n v="1238000"/>
  </r>
  <r>
    <x v="63"/>
    <x v="0"/>
    <x v="21"/>
    <n v="1203500"/>
  </r>
  <r>
    <x v="63"/>
    <x v="1"/>
    <x v="21"/>
    <n v="858200"/>
  </r>
  <r>
    <x v="63"/>
    <x v="0"/>
    <x v="22"/>
    <n v="970900"/>
  </r>
  <r>
    <x v="63"/>
    <x v="1"/>
    <x v="22"/>
    <n v="618600"/>
  </r>
  <r>
    <x v="63"/>
    <x v="0"/>
    <x v="23"/>
    <n v="729600"/>
  </r>
  <r>
    <x v="63"/>
    <x v="1"/>
    <x v="23"/>
    <n v="401400"/>
  </r>
  <r>
    <x v="63"/>
    <x v="0"/>
    <x v="24"/>
    <n v="422000"/>
  </r>
  <r>
    <x v="63"/>
    <x v="1"/>
    <x v="24"/>
    <n v="204100"/>
  </r>
  <r>
    <x v="63"/>
    <x v="0"/>
    <x v="6"/>
    <n v="241600"/>
  </r>
  <r>
    <x v="63"/>
    <x v="1"/>
    <x v="6"/>
    <n v="97500"/>
  </r>
  <r>
    <x v="64"/>
    <x v="0"/>
    <x v="0"/>
    <n v="414200"/>
  </r>
  <r>
    <x v="64"/>
    <x v="1"/>
    <x v="0"/>
    <n v="432200"/>
  </r>
  <r>
    <x v="64"/>
    <x v="0"/>
    <x v="1"/>
    <n v="1591600"/>
  </r>
  <r>
    <x v="64"/>
    <x v="1"/>
    <x v="1"/>
    <n v="1662600"/>
  </r>
  <r>
    <x v="64"/>
    <x v="0"/>
    <x v="2"/>
    <n v="1716500"/>
  </r>
  <r>
    <x v="64"/>
    <x v="1"/>
    <x v="2"/>
    <n v="1831800"/>
  </r>
  <r>
    <x v="64"/>
    <x v="0"/>
    <x v="3"/>
    <n v="1601800"/>
  </r>
  <r>
    <x v="64"/>
    <x v="1"/>
    <x v="3"/>
    <n v="1690400"/>
  </r>
  <r>
    <x v="64"/>
    <x v="0"/>
    <x v="4"/>
    <n v="1808300"/>
  </r>
  <r>
    <x v="64"/>
    <x v="1"/>
    <x v="4"/>
    <n v="1895800"/>
  </r>
  <r>
    <x v="64"/>
    <x v="0"/>
    <x v="5"/>
    <n v="1559600"/>
  </r>
  <r>
    <x v="64"/>
    <x v="1"/>
    <x v="5"/>
    <n v="1574100"/>
  </r>
  <r>
    <x v="64"/>
    <x v="0"/>
    <x v="13"/>
    <n v="1461300"/>
  </r>
  <r>
    <x v="64"/>
    <x v="1"/>
    <x v="13"/>
    <n v="1496600"/>
  </r>
  <r>
    <x v="64"/>
    <x v="0"/>
    <x v="14"/>
    <n v="1408700"/>
  </r>
  <r>
    <x v="64"/>
    <x v="1"/>
    <x v="14"/>
    <n v="1454500"/>
  </r>
  <r>
    <x v="64"/>
    <x v="0"/>
    <x v="15"/>
    <n v="1498600"/>
  </r>
  <r>
    <x v="64"/>
    <x v="1"/>
    <x v="15"/>
    <n v="1510000"/>
  </r>
  <r>
    <x v="64"/>
    <x v="0"/>
    <x v="16"/>
    <n v="1655400"/>
  </r>
  <r>
    <x v="64"/>
    <x v="1"/>
    <x v="16"/>
    <n v="1635500"/>
  </r>
  <r>
    <x v="64"/>
    <x v="0"/>
    <x v="17"/>
    <n v="1479000"/>
  </r>
  <r>
    <x v="64"/>
    <x v="1"/>
    <x v="17"/>
    <n v="1434500"/>
  </r>
  <r>
    <x v="64"/>
    <x v="0"/>
    <x v="18"/>
    <n v="1629800"/>
  </r>
  <r>
    <x v="64"/>
    <x v="1"/>
    <x v="18"/>
    <n v="1557500"/>
  </r>
  <r>
    <x v="64"/>
    <x v="0"/>
    <x v="19"/>
    <n v="1592800"/>
  </r>
  <r>
    <x v="64"/>
    <x v="1"/>
    <x v="19"/>
    <n v="1479700"/>
  </r>
  <r>
    <x v="64"/>
    <x v="0"/>
    <x v="20"/>
    <n v="1456000"/>
  </r>
  <r>
    <x v="64"/>
    <x v="1"/>
    <x v="20"/>
    <n v="1265200"/>
  </r>
  <r>
    <x v="64"/>
    <x v="0"/>
    <x v="21"/>
    <n v="1230900"/>
  </r>
  <r>
    <x v="64"/>
    <x v="1"/>
    <x v="21"/>
    <n v="891600"/>
  </r>
  <r>
    <x v="64"/>
    <x v="0"/>
    <x v="22"/>
    <n v="986000"/>
  </r>
  <r>
    <x v="64"/>
    <x v="1"/>
    <x v="22"/>
    <n v="625500"/>
  </r>
  <r>
    <x v="64"/>
    <x v="0"/>
    <x v="23"/>
    <n v="743300"/>
  </r>
  <r>
    <x v="64"/>
    <x v="1"/>
    <x v="23"/>
    <n v="407200"/>
  </r>
  <r>
    <x v="64"/>
    <x v="0"/>
    <x v="24"/>
    <n v="433600"/>
  </r>
  <r>
    <x v="64"/>
    <x v="1"/>
    <x v="24"/>
    <n v="206300"/>
  </r>
  <r>
    <x v="64"/>
    <x v="0"/>
    <x v="6"/>
    <n v="253200"/>
  </r>
  <r>
    <x v="64"/>
    <x v="1"/>
    <x v="6"/>
    <n v="99600"/>
  </r>
  <r>
    <x v="65"/>
    <x v="0"/>
    <x v="0"/>
    <n v="408700"/>
  </r>
  <r>
    <x v="65"/>
    <x v="1"/>
    <x v="0"/>
    <n v="426600"/>
  </r>
  <r>
    <x v="65"/>
    <x v="0"/>
    <x v="1"/>
    <n v="1620800"/>
  </r>
  <r>
    <x v="65"/>
    <x v="1"/>
    <x v="1"/>
    <n v="1695300"/>
  </r>
  <r>
    <x v="65"/>
    <x v="0"/>
    <x v="2"/>
    <n v="1769000"/>
  </r>
  <r>
    <x v="65"/>
    <x v="1"/>
    <x v="2"/>
    <n v="1878500"/>
  </r>
  <r>
    <x v="65"/>
    <x v="0"/>
    <x v="3"/>
    <n v="1593900"/>
  </r>
  <r>
    <x v="65"/>
    <x v="1"/>
    <x v="3"/>
    <n v="1687800"/>
  </r>
  <r>
    <x v="65"/>
    <x v="0"/>
    <x v="4"/>
    <n v="1819000"/>
  </r>
  <r>
    <x v="65"/>
    <x v="1"/>
    <x v="4"/>
    <n v="1882300"/>
  </r>
  <r>
    <x v="65"/>
    <x v="0"/>
    <x v="5"/>
    <n v="1624100"/>
  </r>
  <r>
    <x v="65"/>
    <x v="1"/>
    <x v="5"/>
    <n v="1647200"/>
  </r>
  <r>
    <x v="65"/>
    <x v="0"/>
    <x v="13"/>
    <n v="1458500"/>
  </r>
  <r>
    <x v="65"/>
    <x v="1"/>
    <x v="13"/>
    <n v="1498100"/>
  </r>
  <r>
    <x v="65"/>
    <x v="0"/>
    <x v="14"/>
    <n v="1402400"/>
  </r>
  <r>
    <x v="65"/>
    <x v="1"/>
    <x v="14"/>
    <n v="1463500"/>
  </r>
  <r>
    <x v="65"/>
    <x v="0"/>
    <x v="15"/>
    <n v="1479100"/>
  </r>
  <r>
    <x v="65"/>
    <x v="1"/>
    <x v="15"/>
    <n v="1501500"/>
  </r>
  <r>
    <x v="65"/>
    <x v="0"/>
    <x v="16"/>
    <n v="1602200"/>
  </r>
  <r>
    <x v="65"/>
    <x v="1"/>
    <x v="16"/>
    <n v="1590600"/>
  </r>
  <r>
    <x v="65"/>
    <x v="0"/>
    <x v="17"/>
    <n v="1531100"/>
  </r>
  <r>
    <x v="65"/>
    <x v="1"/>
    <x v="17"/>
    <n v="1494800"/>
  </r>
  <r>
    <x v="65"/>
    <x v="0"/>
    <x v="18"/>
    <n v="1602600"/>
  </r>
  <r>
    <x v="65"/>
    <x v="1"/>
    <x v="18"/>
    <n v="1523500"/>
  </r>
  <r>
    <x v="65"/>
    <x v="0"/>
    <x v="19"/>
    <n v="1594600"/>
  </r>
  <r>
    <x v="65"/>
    <x v="1"/>
    <x v="19"/>
    <n v="1479600"/>
  </r>
  <r>
    <x v="65"/>
    <x v="0"/>
    <x v="20"/>
    <n v="1464300"/>
  </r>
  <r>
    <x v="65"/>
    <x v="1"/>
    <x v="20"/>
    <n v="1273600"/>
  </r>
  <r>
    <x v="65"/>
    <x v="0"/>
    <x v="21"/>
    <n v="1251000"/>
  </r>
  <r>
    <x v="65"/>
    <x v="1"/>
    <x v="21"/>
    <n v="922200"/>
  </r>
  <r>
    <x v="65"/>
    <x v="0"/>
    <x v="22"/>
    <n v="1001300"/>
  </r>
  <r>
    <x v="65"/>
    <x v="1"/>
    <x v="22"/>
    <n v="624300"/>
  </r>
  <r>
    <x v="65"/>
    <x v="0"/>
    <x v="23"/>
    <n v="734400"/>
  </r>
  <r>
    <x v="65"/>
    <x v="1"/>
    <x v="23"/>
    <n v="394800"/>
  </r>
  <r>
    <x v="65"/>
    <x v="0"/>
    <x v="24"/>
    <n v="453000"/>
  </r>
  <r>
    <x v="65"/>
    <x v="1"/>
    <x v="24"/>
    <n v="212200"/>
  </r>
  <r>
    <x v="65"/>
    <x v="0"/>
    <x v="6"/>
    <n v="260700"/>
  </r>
  <r>
    <x v="65"/>
    <x v="1"/>
    <x v="6"/>
    <n v="99400"/>
  </r>
  <r>
    <x v="66"/>
    <x v="0"/>
    <x v="0"/>
    <n v="402800"/>
  </r>
  <r>
    <x v="66"/>
    <x v="1"/>
    <x v="0"/>
    <n v="421100"/>
  </r>
  <r>
    <x v="66"/>
    <x v="0"/>
    <x v="1"/>
    <n v="1633200"/>
  </r>
  <r>
    <x v="66"/>
    <x v="1"/>
    <x v="1"/>
    <n v="1706000"/>
  </r>
  <r>
    <x v="66"/>
    <x v="0"/>
    <x v="2"/>
    <n v="1827700"/>
  </r>
  <r>
    <x v="66"/>
    <x v="1"/>
    <x v="2"/>
    <n v="1927300"/>
  </r>
  <r>
    <x v="66"/>
    <x v="0"/>
    <x v="3"/>
    <n v="1604000"/>
  </r>
  <r>
    <x v="66"/>
    <x v="1"/>
    <x v="3"/>
    <n v="1707500"/>
  </r>
  <r>
    <x v="66"/>
    <x v="0"/>
    <x v="4"/>
    <n v="1729900"/>
  </r>
  <r>
    <x v="66"/>
    <x v="1"/>
    <x v="4"/>
    <n v="1796200"/>
  </r>
  <r>
    <x v="66"/>
    <x v="0"/>
    <x v="5"/>
    <n v="1751400"/>
  </r>
  <r>
    <x v="66"/>
    <x v="1"/>
    <x v="5"/>
    <n v="1779700"/>
  </r>
  <r>
    <x v="66"/>
    <x v="0"/>
    <x v="13"/>
    <n v="1461900"/>
  </r>
  <r>
    <x v="66"/>
    <x v="1"/>
    <x v="13"/>
    <n v="1499500"/>
  </r>
  <r>
    <x v="66"/>
    <x v="0"/>
    <x v="14"/>
    <n v="1401300"/>
  </r>
  <r>
    <x v="66"/>
    <x v="1"/>
    <x v="14"/>
    <n v="1462400"/>
  </r>
  <r>
    <x v="66"/>
    <x v="0"/>
    <x v="15"/>
    <n v="1459300"/>
  </r>
  <r>
    <x v="66"/>
    <x v="1"/>
    <x v="15"/>
    <n v="1489600"/>
  </r>
  <r>
    <x v="66"/>
    <x v="0"/>
    <x v="16"/>
    <n v="1559000"/>
  </r>
  <r>
    <x v="66"/>
    <x v="1"/>
    <x v="16"/>
    <n v="1551600"/>
  </r>
  <r>
    <x v="66"/>
    <x v="0"/>
    <x v="17"/>
    <n v="1587100"/>
  </r>
  <r>
    <x v="66"/>
    <x v="1"/>
    <x v="17"/>
    <n v="1546800"/>
  </r>
  <r>
    <x v="66"/>
    <x v="0"/>
    <x v="18"/>
    <n v="1557100"/>
  </r>
  <r>
    <x v="66"/>
    <x v="1"/>
    <x v="18"/>
    <n v="1478500"/>
  </r>
  <r>
    <x v="66"/>
    <x v="0"/>
    <x v="19"/>
    <n v="1591100"/>
  </r>
  <r>
    <x v="66"/>
    <x v="1"/>
    <x v="19"/>
    <n v="1476900"/>
  </r>
  <r>
    <x v="66"/>
    <x v="0"/>
    <x v="20"/>
    <n v="1479600"/>
  </r>
  <r>
    <x v="66"/>
    <x v="1"/>
    <x v="20"/>
    <n v="1292100"/>
  </r>
  <r>
    <x v="66"/>
    <x v="0"/>
    <x v="21"/>
    <n v="1271100"/>
  </r>
  <r>
    <x v="66"/>
    <x v="1"/>
    <x v="21"/>
    <n v="961100"/>
  </r>
  <r>
    <x v="66"/>
    <x v="0"/>
    <x v="22"/>
    <n v="1017300"/>
  </r>
  <r>
    <x v="66"/>
    <x v="1"/>
    <x v="22"/>
    <n v="633500"/>
  </r>
  <r>
    <x v="66"/>
    <x v="0"/>
    <x v="23"/>
    <n v="746900"/>
  </r>
  <r>
    <x v="66"/>
    <x v="1"/>
    <x v="23"/>
    <n v="403600"/>
  </r>
  <r>
    <x v="66"/>
    <x v="0"/>
    <x v="24"/>
    <n v="467300"/>
  </r>
  <r>
    <x v="66"/>
    <x v="1"/>
    <x v="24"/>
    <n v="216000"/>
  </r>
  <r>
    <x v="66"/>
    <x v="0"/>
    <x v="6"/>
    <n v="272700"/>
  </r>
  <r>
    <x v="66"/>
    <x v="1"/>
    <x v="6"/>
    <n v="102000"/>
  </r>
  <r>
    <x v="67"/>
    <x v="0"/>
    <x v="0"/>
    <n v="393400"/>
  </r>
  <r>
    <x v="67"/>
    <x v="1"/>
    <x v="0"/>
    <n v="407100"/>
  </r>
  <r>
    <x v="67"/>
    <x v="0"/>
    <x v="1"/>
    <n v="1641600"/>
  </r>
  <r>
    <x v="67"/>
    <x v="1"/>
    <x v="1"/>
    <n v="1707300"/>
  </r>
  <r>
    <x v="67"/>
    <x v="0"/>
    <x v="2"/>
    <n v="1887200"/>
  </r>
  <r>
    <x v="67"/>
    <x v="1"/>
    <x v="2"/>
    <n v="1979000"/>
  </r>
  <r>
    <x v="67"/>
    <x v="0"/>
    <x v="3"/>
    <n v="1632800"/>
  </r>
  <r>
    <x v="67"/>
    <x v="1"/>
    <x v="3"/>
    <n v="1744300"/>
  </r>
  <r>
    <x v="67"/>
    <x v="0"/>
    <x v="4"/>
    <n v="1674200"/>
  </r>
  <r>
    <x v="67"/>
    <x v="1"/>
    <x v="4"/>
    <n v="1740100"/>
  </r>
  <r>
    <x v="67"/>
    <x v="0"/>
    <x v="5"/>
    <n v="1823100"/>
  </r>
  <r>
    <x v="67"/>
    <x v="1"/>
    <x v="5"/>
    <n v="1844800"/>
  </r>
  <r>
    <x v="67"/>
    <x v="0"/>
    <x v="13"/>
    <n v="1481900"/>
  </r>
  <r>
    <x v="67"/>
    <x v="1"/>
    <x v="13"/>
    <n v="1518700"/>
  </r>
  <r>
    <x v="67"/>
    <x v="0"/>
    <x v="14"/>
    <n v="1408500"/>
  </r>
  <r>
    <x v="67"/>
    <x v="1"/>
    <x v="14"/>
    <n v="1469100"/>
  </r>
  <r>
    <x v="67"/>
    <x v="0"/>
    <x v="15"/>
    <n v="1440400"/>
  </r>
  <r>
    <x v="67"/>
    <x v="1"/>
    <x v="15"/>
    <n v="1469200"/>
  </r>
  <r>
    <x v="67"/>
    <x v="0"/>
    <x v="16"/>
    <n v="1527100"/>
  </r>
  <r>
    <x v="67"/>
    <x v="1"/>
    <x v="16"/>
    <n v="1523200"/>
  </r>
  <r>
    <x v="67"/>
    <x v="0"/>
    <x v="17"/>
    <n v="1649100"/>
  </r>
  <r>
    <x v="67"/>
    <x v="1"/>
    <x v="17"/>
    <n v="1605300"/>
  </r>
  <r>
    <x v="67"/>
    <x v="0"/>
    <x v="18"/>
    <n v="1474200"/>
  </r>
  <r>
    <x v="67"/>
    <x v="1"/>
    <x v="18"/>
    <n v="1400500"/>
  </r>
  <r>
    <x v="67"/>
    <x v="0"/>
    <x v="19"/>
    <n v="1586500"/>
  </r>
  <r>
    <x v="67"/>
    <x v="1"/>
    <x v="19"/>
    <n v="1473000"/>
  </r>
  <r>
    <x v="67"/>
    <x v="0"/>
    <x v="20"/>
    <n v="1494600"/>
  </r>
  <r>
    <x v="67"/>
    <x v="1"/>
    <x v="20"/>
    <n v="1308900"/>
  </r>
  <r>
    <x v="67"/>
    <x v="0"/>
    <x v="21"/>
    <n v="1299300"/>
  </r>
  <r>
    <x v="67"/>
    <x v="1"/>
    <x v="21"/>
    <n v="998100"/>
  </r>
  <r>
    <x v="67"/>
    <x v="0"/>
    <x v="22"/>
    <n v="1029800"/>
  </r>
  <r>
    <x v="67"/>
    <x v="1"/>
    <x v="22"/>
    <n v="637500"/>
  </r>
  <r>
    <x v="67"/>
    <x v="0"/>
    <x v="23"/>
    <n v="755600"/>
  </r>
  <r>
    <x v="67"/>
    <x v="1"/>
    <x v="23"/>
    <n v="406800"/>
  </r>
  <r>
    <x v="67"/>
    <x v="0"/>
    <x v="24"/>
    <n v="480600"/>
  </r>
  <r>
    <x v="67"/>
    <x v="1"/>
    <x v="24"/>
    <n v="219200"/>
  </r>
  <r>
    <x v="67"/>
    <x v="0"/>
    <x v="6"/>
    <n v="277200"/>
  </r>
  <r>
    <x v="67"/>
    <x v="1"/>
    <x v="6"/>
    <n v="101500"/>
  </r>
  <r>
    <x v="68"/>
    <x v="0"/>
    <x v="0"/>
    <n v="390500"/>
  </r>
  <r>
    <x v="68"/>
    <x v="1"/>
    <x v="0"/>
    <n v="405200"/>
  </r>
  <r>
    <x v="68"/>
    <x v="0"/>
    <x v="1"/>
    <n v="1626500"/>
  </r>
  <r>
    <x v="68"/>
    <x v="1"/>
    <x v="1"/>
    <n v="1682600"/>
  </r>
  <r>
    <x v="68"/>
    <x v="0"/>
    <x v="2"/>
    <n v="1940500"/>
  </r>
  <r>
    <x v="68"/>
    <x v="1"/>
    <x v="2"/>
    <n v="2029500"/>
  </r>
  <r>
    <x v="68"/>
    <x v="0"/>
    <x v="3"/>
    <n v="1660700"/>
  </r>
  <r>
    <x v="68"/>
    <x v="1"/>
    <x v="3"/>
    <n v="1780500"/>
  </r>
  <r>
    <x v="68"/>
    <x v="0"/>
    <x v="4"/>
    <n v="1645600"/>
  </r>
  <r>
    <x v="68"/>
    <x v="1"/>
    <x v="4"/>
    <n v="1719100"/>
  </r>
  <r>
    <x v="68"/>
    <x v="0"/>
    <x v="5"/>
    <n v="1850400"/>
  </r>
  <r>
    <x v="68"/>
    <x v="1"/>
    <x v="5"/>
    <n v="1874100"/>
  </r>
  <r>
    <x v="68"/>
    <x v="0"/>
    <x v="13"/>
    <n v="1513800"/>
  </r>
  <r>
    <x v="68"/>
    <x v="1"/>
    <x v="13"/>
    <n v="1550200"/>
  </r>
  <r>
    <x v="68"/>
    <x v="0"/>
    <x v="14"/>
    <n v="1422900"/>
  </r>
  <r>
    <x v="68"/>
    <x v="1"/>
    <x v="14"/>
    <n v="1481600"/>
  </r>
  <r>
    <x v="68"/>
    <x v="0"/>
    <x v="15"/>
    <n v="1415100"/>
  </r>
  <r>
    <x v="68"/>
    <x v="1"/>
    <x v="15"/>
    <n v="1444900"/>
  </r>
  <r>
    <x v="68"/>
    <x v="0"/>
    <x v="16"/>
    <n v="1500900"/>
  </r>
  <r>
    <x v="68"/>
    <x v="1"/>
    <x v="16"/>
    <n v="1499000"/>
  </r>
  <r>
    <x v="68"/>
    <x v="0"/>
    <x v="17"/>
    <n v="1701500"/>
  </r>
  <r>
    <x v="68"/>
    <x v="1"/>
    <x v="17"/>
    <n v="1657400"/>
  </r>
  <r>
    <x v="68"/>
    <x v="0"/>
    <x v="18"/>
    <n v="1398100"/>
  </r>
  <r>
    <x v="68"/>
    <x v="1"/>
    <x v="18"/>
    <n v="1328300"/>
  </r>
  <r>
    <x v="68"/>
    <x v="0"/>
    <x v="19"/>
    <n v="1581600"/>
  </r>
  <r>
    <x v="68"/>
    <x v="1"/>
    <x v="19"/>
    <n v="1469500"/>
  </r>
  <r>
    <x v="68"/>
    <x v="0"/>
    <x v="20"/>
    <n v="1507400"/>
  </r>
  <r>
    <x v="68"/>
    <x v="1"/>
    <x v="20"/>
    <n v="1325000"/>
  </r>
  <r>
    <x v="68"/>
    <x v="0"/>
    <x v="21"/>
    <n v="1324600"/>
  </r>
  <r>
    <x v="68"/>
    <x v="1"/>
    <x v="21"/>
    <n v="1032900"/>
  </r>
  <r>
    <x v="68"/>
    <x v="0"/>
    <x v="22"/>
    <n v="1047100"/>
  </r>
  <r>
    <x v="68"/>
    <x v="1"/>
    <x v="22"/>
    <n v="650000"/>
  </r>
  <r>
    <x v="68"/>
    <x v="0"/>
    <x v="23"/>
    <n v="762400"/>
  </r>
  <r>
    <x v="68"/>
    <x v="1"/>
    <x v="23"/>
    <n v="409000"/>
  </r>
  <r>
    <x v="68"/>
    <x v="0"/>
    <x v="24"/>
    <n v="495800"/>
  </r>
  <r>
    <x v="68"/>
    <x v="1"/>
    <x v="24"/>
    <n v="225000"/>
  </r>
  <r>
    <x v="68"/>
    <x v="0"/>
    <x v="6"/>
    <n v="286400"/>
  </r>
  <r>
    <x v="68"/>
    <x v="1"/>
    <x v="6"/>
    <n v="102600"/>
  </r>
  <r>
    <x v="69"/>
    <x v="0"/>
    <x v="0"/>
    <n v="370100"/>
  </r>
  <r>
    <x v="69"/>
    <x v="1"/>
    <x v="0"/>
    <n v="390200"/>
  </r>
  <r>
    <x v="69"/>
    <x v="0"/>
    <x v="1"/>
    <n v="1598300"/>
  </r>
  <r>
    <x v="69"/>
    <x v="1"/>
    <x v="1"/>
    <n v="1650000"/>
  </r>
  <r>
    <x v="69"/>
    <x v="0"/>
    <x v="2"/>
    <n v="1985600"/>
  </r>
  <r>
    <x v="69"/>
    <x v="1"/>
    <x v="2"/>
    <n v="2065500"/>
  </r>
  <r>
    <x v="69"/>
    <x v="0"/>
    <x v="3"/>
    <n v="1706000"/>
  </r>
  <r>
    <x v="69"/>
    <x v="1"/>
    <x v="3"/>
    <n v="1828100"/>
  </r>
  <r>
    <x v="69"/>
    <x v="0"/>
    <x v="4"/>
    <n v="1631000"/>
  </r>
  <r>
    <x v="69"/>
    <x v="1"/>
    <x v="4"/>
    <n v="1704200"/>
  </r>
  <r>
    <x v="69"/>
    <x v="0"/>
    <x v="5"/>
    <n v="1866000"/>
  </r>
  <r>
    <x v="69"/>
    <x v="1"/>
    <x v="5"/>
    <n v="1894100"/>
  </r>
  <r>
    <x v="69"/>
    <x v="0"/>
    <x v="13"/>
    <n v="1549600"/>
  </r>
  <r>
    <x v="69"/>
    <x v="1"/>
    <x v="13"/>
    <n v="1586100"/>
  </r>
  <r>
    <x v="69"/>
    <x v="0"/>
    <x v="14"/>
    <n v="1430100"/>
  </r>
  <r>
    <x v="69"/>
    <x v="1"/>
    <x v="14"/>
    <n v="1482600"/>
  </r>
  <r>
    <x v="69"/>
    <x v="0"/>
    <x v="15"/>
    <n v="1392500"/>
  </r>
  <r>
    <x v="69"/>
    <x v="1"/>
    <x v="15"/>
    <n v="1429200"/>
  </r>
  <r>
    <x v="69"/>
    <x v="0"/>
    <x v="16"/>
    <n v="1482500"/>
  </r>
  <r>
    <x v="69"/>
    <x v="1"/>
    <x v="16"/>
    <n v="1480600"/>
  </r>
  <r>
    <x v="69"/>
    <x v="0"/>
    <x v="17"/>
    <n v="1631300"/>
  </r>
  <r>
    <x v="69"/>
    <x v="1"/>
    <x v="17"/>
    <n v="1590700"/>
  </r>
  <r>
    <x v="69"/>
    <x v="0"/>
    <x v="18"/>
    <n v="1442100"/>
  </r>
  <r>
    <x v="69"/>
    <x v="1"/>
    <x v="18"/>
    <n v="1372600"/>
  </r>
  <r>
    <x v="69"/>
    <x v="0"/>
    <x v="19"/>
    <n v="1573200"/>
  </r>
  <r>
    <x v="69"/>
    <x v="1"/>
    <x v="19"/>
    <n v="1461200"/>
  </r>
  <r>
    <x v="69"/>
    <x v="0"/>
    <x v="20"/>
    <n v="1512400"/>
  </r>
  <r>
    <x v="69"/>
    <x v="1"/>
    <x v="20"/>
    <n v="1333100"/>
  </r>
  <r>
    <x v="69"/>
    <x v="0"/>
    <x v="21"/>
    <n v="1338500"/>
  </r>
  <r>
    <x v="69"/>
    <x v="1"/>
    <x v="21"/>
    <n v="1054000"/>
  </r>
  <r>
    <x v="69"/>
    <x v="0"/>
    <x v="22"/>
    <n v="1069700"/>
  </r>
  <r>
    <x v="69"/>
    <x v="1"/>
    <x v="22"/>
    <n v="671100"/>
  </r>
  <r>
    <x v="69"/>
    <x v="0"/>
    <x v="23"/>
    <n v="773100"/>
  </r>
  <r>
    <x v="69"/>
    <x v="1"/>
    <x v="23"/>
    <n v="411700"/>
  </r>
  <r>
    <x v="69"/>
    <x v="0"/>
    <x v="24"/>
    <n v="505400"/>
  </r>
  <r>
    <x v="69"/>
    <x v="1"/>
    <x v="24"/>
    <n v="230100"/>
  </r>
  <r>
    <x v="69"/>
    <x v="0"/>
    <x v="6"/>
    <n v="295700"/>
  </r>
  <r>
    <x v="69"/>
    <x v="1"/>
    <x v="6"/>
    <n v="103100"/>
  </r>
  <r>
    <x v="70"/>
    <x v="0"/>
    <x v="0"/>
    <n v="380100"/>
  </r>
  <r>
    <x v="70"/>
    <x v="1"/>
    <x v="0"/>
    <n v="401500"/>
  </r>
  <r>
    <x v="70"/>
    <x v="0"/>
    <x v="1"/>
    <n v="1543700"/>
  </r>
  <r>
    <x v="70"/>
    <x v="1"/>
    <x v="1"/>
    <n v="1626100"/>
  </r>
  <r>
    <x v="70"/>
    <x v="0"/>
    <x v="2"/>
    <n v="1976700"/>
  </r>
  <r>
    <x v="70"/>
    <x v="1"/>
    <x v="2"/>
    <n v="2079000"/>
  </r>
  <r>
    <x v="70"/>
    <x v="0"/>
    <x v="3"/>
    <n v="1771800"/>
  </r>
  <r>
    <x v="70"/>
    <x v="1"/>
    <x v="3"/>
    <n v="1877600"/>
  </r>
  <r>
    <x v="70"/>
    <x v="0"/>
    <x v="4"/>
    <n v="1632600"/>
  </r>
  <r>
    <x v="70"/>
    <x v="1"/>
    <x v="4"/>
    <n v="1711200"/>
  </r>
  <r>
    <x v="70"/>
    <x v="0"/>
    <x v="5"/>
    <n v="1869100"/>
  </r>
  <r>
    <x v="70"/>
    <x v="1"/>
    <x v="5"/>
    <n v="1903900"/>
  </r>
  <r>
    <x v="70"/>
    <x v="0"/>
    <x v="13"/>
    <n v="1613900"/>
  </r>
  <r>
    <x v="70"/>
    <x v="1"/>
    <x v="13"/>
    <n v="1653500"/>
  </r>
  <r>
    <x v="70"/>
    <x v="0"/>
    <x v="14"/>
    <n v="1421700"/>
  </r>
  <r>
    <x v="70"/>
    <x v="1"/>
    <x v="14"/>
    <n v="1475100"/>
  </r>
  <r>
    <x v="70"/>
    <x v="0"/>
    <x v="15"/>
    <n v="1380000"/>
  </r>
  <r>
    <x v="70"/>
    <x v="1"/>
    <x v="15"/>
    <n v="1424300"/>
  </r>
  <r>
    <x v="70"/>
    <x v="0"/>
    <x v="16"/>
    <n v="1464600"/>
  </r>
  <r>
    <x v="70"/>
    <x v="1"/>
    <x v="16"/>
    <n v="1467000"/>
  </r>
  <r>
    <x v="70"/>
    <x v="0"/>
    <x v="17"/>
    <n v="1576500"/>
  </r>
  <r>
    <x v="70"/>
    <x v="1"/>
    <x v="17"/>
    <n v="1549900"/>
  </r>
  <r>
    <x v="70"/>
    <x v="0"/>
    <x v="18"/>
    <n v="1497700"/>
  </r>
  <r>
    <x v="70"/>
    <x v="1"/>
    <x v="18"/>
    <n v="1427500"/>
  </r>
  <r>
    <x v="70"/>
    <x v="0"/>
    <x v="19"/>
    <n v="1545400"/>
  </r>
  <r>
    <x v="70"/>
    <x v="1"/>
    <x v="19"/>
    <n v="1436500"/>
  </r>
  <r>
    <x v="70"/>
    <x v="0"/>
    <x v="20"/>
    <n v="1516300"/>
  </r>
  <r>
    <x v="70"/>
    <x v="1"/>
    <x v="20"/>
    <n v="1337000"/>
  </r>
  <r>
    <x v="70"/>
    <x v="0"/>
    <x v="21"/>
    <n v="1351800"/>
  </r>
  <r>
    <x v="70"/>
    <x v="1"/>
    <x v="21"/>
    <n v="1075800"/>
  </r>
  <r>
    <x v="70"/>
    <x v="0"/>
    <x v="22"/>
    <n v="1098400"/>
  </r>
  <r>
    <x v="70"/>
    <x v="1"/>
    <x v="22"/>
    <n v="702100"/>
  </r>
  <r>
    <x v="70"/>
    <x v="0"/>
    <x v="23"/>
    <n v="791700"/>
  </r>
  <r>
    <x v="70"/>
    <x v="1"/>
    <x v="23"/>
    <n v="416100"/>
  </r>
  <r>
    <x v="70"/>
    <x v="0"/>
    <x v="24"/>
    <n v="497700"/>
  </r>
  <r>
    <x v="70"/>
    <x v="1"/>
    <x v="24"/>
    <n v="220500"/>
  </r>
  <r>
    <x v="70"/>
    <x v="0"/>
    <x v="6"/>
    <n v="325300"/>
  </r>
  <r>
    <x v="70"/>
    <x v="1"/>
    <x v="6"/>
    <n v="112400"/>
  </r>
  <r>
    <x v="71"/>
    <x v="0"/>
    <x v="0"/>
    <n v="358200"/>
  </r>
  <r>
    <x v="71"/>
    <x v="1"/>
    <x v="0"/>
    <n v="376500"/>
  </r>
  <r>
    <x v="71"/>
    <x v="0"/>
    <x v="1"/>
    <n v="1519100"/>
  </r>
  <r>
    <x v="71"/>
    <x v="1"/>
    <x v="1"/>
    <n v="1600500"/>
  </r>
  <r>
    <x v="71"/>
    <x v="0"/>
    <x v="2"/>
    <n v="1989700"/>
  </r>
  <r>
    <x v="71"/>
    <x v="1"/>
    <x v="2"/>
    <n v="2097300"/>
  </r>
  <r>
    <x v="71"/>
    <x v="0"/>
    <x v="3"/>
    <n v="1826600"/>
  </r>
  <r>
    <x v="71"/>
    <x v="1"/>
    <x v="3"/>
    <n v="1925500"/>
  </r>
  <r>
    <x v="71"/>
    <x v="0"/>
    <x v="4"/>
    <n v="1646700"/>
  </r>
  <r>
    <x v="71"/>
    <x v="1"/>
    <x v="4"/>
    <n v="1731900"/>
  </r>
  <r>
    <x v="71"/>
    <x v="0"/>
    <x v="5"/>
    <n v="1774500"/>
  </r>
  <r>
    <x v="71"/>
    <x v="1"/>
    <x v="5"/>
    <n v="1811600"/>
  </r>
  <r>
    <x v="71"/>
    <x v="0"/>
    <x v="13"/>
    <n v="1746600"/>
  </r>
  <r>
    <x v="71"/>
    <x v="1"/>
    <x v="13"/>
    <n v="1789600"/>
  </r>
  <r>
    <x v="71"/>
    <x v="0"/>
    <x v="14"/>
    <n v="1425600"/>
  </r>
  <r>
    <x v="71"/>
    <x v="1"/>
    <x v="14"/>
    <n v="1472200"/>
  </r>
  <r>
    <x v="71"/>
    <x v="0"/>
    <x v="15"/>
    <n v="1380000"/>
  </r>
  <r>
    <x v="71"/>
    <x v="1"/>
    <x v="15"/>
    <n v="1426100"/>
  </r>
  <r>
    <x v="71"/>
    <x v="0"/>
    <x v="16"/>
    <n v="1446300"/>
  </r>
  <r>
    <x v="71"/>
    <x v="1"/>
    <x v="16"/>
    <n v="1455700"/>
  </r>
  <r>
    <x v="71"/>
    <x v="0"/>
    <x v="17"/>
    <n v="1533300"/>
  </r>
  <r>
    <x v="71"/>
    <x v="1"/>
    <x v="17"/>
    <n v="1513400"/>
  </r>
  <r>
    <x v="71"/>
    <x v="0"/>
    <x v="18"/>
    <n v="1551000"/>
  </r>
  <r>
    <x v="71"/>
    <x v="1"/>
    <x v="18"/>
    <n v="1482300"/>
  </r>
  <r>
    <x v="71"/>
    <x v="0"/>
    <x v="19"/>
    <n v="1503600"/>
  </r>
  <r>
    <x v="71"/>
    <x v="1"/>
    <x v="19"/>
    <n v="1392200"/>
  </r>
  <r>
    <x v="71"/>
    <x v="0"/>
    <x v="20"/>
    <n v="1510400"/>
  </r>
  <r>
    <x v="71"/>
    <x v="1"/>
    <x v="20"/>
    <n v="1335800"/>
  </r>
  <r>
    <x v="71"/>
    <x v="0"/>
    <x v="21"/>
    <n v="1366400"/>
  </r>
  <r>
    <x v="71"/>
    <x v="1"/>
    <x v="21"/>
    <n v="1091400"/>
  </r>
  <r>
    <x v="71"/>
    <x v="0"/>
    <x v="22"/>
    <n v="1115600"/>
  </r>
  <r>
    <x v="71"/>
    <x v="1"/>
    <x v="22"/>
    <n v="730000"/>
  </r>
  <r>
    <x v="71"/>
    <x v="0"/>
    <x v="23"/>
    <n v="803900"/>
  </r>
  <r>
    <x v="71"/>
    <x v="1"/>
    <x v="23"/>
    <n v="420300"/>
  </r>
  <r>
    <x v="71"/>
    <x v="0"/>
    <x v="24"/>
    <n v="506100"/>
  </r>
  <r>
    <x v="71"/>
    <x v="1"/>
    <x v="24"/>
    <n v="222600"/>
  </r>
  <r>
    <x v="71"/>
    <x v="0"/>
    <x v="6"/>
    <n v="334900"/>
  </r>
  <r>
    <x v="71"/>
    <x v="1"/>
    <x v="6"/>
    <n v="113700"/>
  </r>
  <r>
    <x v="72"/>
    <x v="0"/>
    <x v="0"/>
    <n v="334000"/>
  </r>
  <r>
    <x v="72"/>
    <x v="1"/>
    <x v="0"/>
    <n v="355000"/>
  </r>
  <r>
    <x v="72"/>
    <x v="0"/>
    <x v="1"/>
    <n v="1485500"/>
  </r>
  <r>
    <x v="72"/>
    <x v="1"/>
    <x v="1"/>
    <n v="1565000"/>
  </r>
  <r>
    <x v="72"/>
    <x v="0"/>
    <x v="2"/>
    <n v="1985200"/>
  </r>
  <r>
    <x v="72"/>
    <x v="1"/>
    <x v="2"/>
    <n v="2092800"/>
  </r>
  <r>
    <x v="72"/>
    <x v="0"/>
    <x v="3"/>
    <n v="1877800"/>
  </r>
  <r>
    <x v="72"/>
    <x v="1"/>
    <x v="3"/>
    <n v="1975000"/>
  </r>
  <r>
    <x v="72"/>
    <x v="0"/>
    <x v="4"/>
    <n v="1669500"/>
  </r>
  <r>
    <x v="72"/>
    <x v="1"/>
    <x v="4"/>
    <n v="1753100"/>
  </r>
  <r>
    <x v="72"/>
    <x v="0"/>
    <x v="5"/>
    <n v="1717900"/>
  </r>
  <r>
    <x v="72"/>
    <x v="1"/>
    <x v="5"/>
    <n v="1761700"/>
  </r>
  <r>
    <x v="72"/>
    <x v="0"/>
    <x v="13"/>
    <n v="1819500"/>
  </r>
  <r>
    <x v="72"/>
    <x v="1"/>
    <x v="13"/>
    <n v="1856900"/>
  </r>
  <r>
    <x v="72"/>
    <x v="0"/>
    <x v="14"/>
    <n v="1455000"/>
  </r>
  <r>
    <x v="72"/>
    <x v="1"/>
    <x v="14"/>
    <n v="1496600"/>
  </r>
  <r>
    <x v="72"/>
    <x v="0"/>
    <x v="15"/>
    <n v="1393400"/>
  </r>
  <r>
    <x v="72"/>
    <x v="1"/>
    <x v="15"/>
    <n v="1441600"/>
  </r>
  <r>
    <x v="72"/>
    <x v="0"/>
    <x v="16"/>
    <n v="1425200"/>
  </r>
  <r>
    <x v="72"/>
    <x v="1"/>
    <x v="16"/>
    <n v="1441600"/>
  </r>
  <r>
    <x v="72"/>
    <x v="0"/>
    <x v="17"/>
    <n v="1503200"/>
  </r>
  <r>
    <x v="72"/>
    <x v="1"/>
    <x v="17"/>
    <n v="1489700"/>
  </r>
  <r>
    <x v="72"/>
    <x v="0"/>
    <x v="18"/>
    <n v="1614500"/>
  </r>
  <r>
    <x v="72"/>
    <x v="1"/>
    <x v="18"/>
    <n v="1548900"/>
  </r>
  <r>
    <x v="72"/>
    <x v="0"/>
    <x v="19"/>
    <n v="1425100"/>
  </r>
  <r>
    <x v="72"/>
    <x v="1"/>
    <x v="19"/>
    <n v="1317400"/>
  </r>
  <r>
    <x v="72"/>
    <x v="0"/>
    <x v="20"/>
    <n v="1506700"/>
  </r>
  <r>
    <x v="72"/>
    <x v="1"/>
    <x v="20"/>
    <n v="1335000"/>
  </r>
  <r>
    <x v="72"/>
    <x v="0"/>
    <x v="21"/>
    <n v="1379700"/>
  </r>
  <r>
    <x v="72"/>
    <x v="1"/>
    <x v="21"/>
    <n v="1107500"/>
  </r>
  <r>
    <x v="72"/>
    <x v="0"/>
    <x v="22"/>
    <n v="1137000"/>
  </r>
  <r>
    <x v="72"/>
    <x v="1"/>
    <x v="22"/>
    <n v="761100"/>
  </r>
  <r>
    <x v="72"/>
    <x v="0"/>
    <x v="23"/>
    <n v="813800"/>
  </r>
  <r>
    <x v="72"/>
    <x v="1"/>
    <x v="23"/>
    <n v="423400"/>
  </r>
  <r>
    <x v="72"/>
    <x v="0"/>
    <x v="24"/>
    <n v="510800"/>
  </r>
  <r>
    <x v="72"/>
    <x v="1"/>
    <x v="24"/>
    <n v="223700"/>
  </r>
  <r>
    <x v="72"/>
    <x v="0"/>
    <x v="6"/>
    <n v="344700"/>
  </r>
  <r>
    <x v="72"/>
    <x v="1"/>
    <x v="6"/>
    <n v="114500"/>
  </r>
  <r>
    <x v="73"/>
    <x v="0"/>
    <x v="0"/>
    <n v="309600"/>
  </r>
  <r>
    <x v="73"/>
    <x v="1"/>
    <x v="0"/>
    <n v="327500"/>
  </r>
  <r>
    <x v="73"/>
    <x v="0"/>
    <x v="1"/>
    <n v="1428900"/>
  </r>
  <r>
    <x v="73"/>
    <x v="1"/>
    <x v="1"/>
    <n v="1509500"/>
  </r>
  <r>
    <x v="73"/>
    <x v="0"/>
    <x v="2"/>
    <n v="1962600"/>
  </r>
  <r>
    <x v="73"/>
    <x v="1"/>
    <x v="2"/>
    <n v="2065600"/>
  </r>
  <r>
    <x v="73"/>
    <x v="0"/>
    <x v="3"/>
    <n v="1926200"/>
  </r>
  <r>
    <x v="73"/>
    <x v="1"/>
    <x v="3"/>
    <n v="2029200"/>
  </r>
  <r>
    <x v="73"/>
    <x v="0"/>
    <x v="4"/>
    <n v="1697500"/>
  </r>
  <r>
    <x v="73"/>
    <x v="1"/>
    <x v="4"/>
    <n v="1779500"/>
  </r>
  <r>
    <x v="73"/>
    <x v="0"/>
    <x v="5"/>
    <n v="1689100"/>
  </r>
  <r>
    <x v="73"/>
    <x v="1"/>
    <x v="5"/>
    <n v="1740200"/>
  </r>
  <r>
    <x v="73"/>
    <x v="0"/>
    <x v="13"/>
    <n v="1841100"/>
  </r>
  <r>
    <x v="73"/>
    <x v="1"/>
    <x v="13"/>
    <n v="1879300"/>
  </r>
  <r>
    <x v="73"/>
    <x v="0"/>
    <x v="14"/>
    <n v="1489000"/>
  </r>
  <r>
    <x v="73"/>
    <x v="1"/>
    <x v="14"/>
    <n v="1534300"/>
  </r>
  <r>
    <x v="73"/>
    <x v="0"/>
    <x v="15"/>
    <n v="1408400"/>
  </r>
  <r>
    <x v="73"/>
    <x v="1"/>
    <x v="15"/>
    <n v="1457100"/>
  </r>
  <r>
    <x v="73"/>
    <x v="0"/>
    <x v="16"/>
    <n v="1398400"/>
  </r>
  <r>
    <x v="73"/>
    <x v="1"/>
    <x v="16"/>
    <n v="1420800"/>
  </r>
  <r>
    <x v="73"/>
    <x v="0"/>
    <x v="17"/>
    <n v="1476600"/>
  </r>
  <r>
    <x v="73"/>
    <x v="1"/>
    <x v="17"/>
    <n v="1466400"/>
  </r>
  <r>
    <x v="73"/>
    <x v="0"/>
    <x v="18"/>
    <n v="1664600"/>
  </r>
  <r>
    <x v="73"/>
    <x v="1"/>
    <x v="18"/>
    <n v="1602100"/>
  </r>
  <r>
    <x v="73"/>
    <x v="0"/>
    <x v="19"/>
    <n v="1350800"/>
  </r>
  <r>
    <x v="73"/>
    <x v="1"/>
    <x v="19"/>
    <n v="1248500"/>
  </r>
  <r>
    <x v="73"/>
    <x v="0"/>
    <x v="20"/>
    <n v="1503600"/>
  </r>
  <r>
    <x v="73"/>
    <x v="1"/>
    <x v="20"/>
    <n v="1332300"/>
  </r>
  <r>
    <x v="73"/>
    <x v="0"/>
    <x v="21"/>
    <n v="1390900"/>
  </r>
  <r>
    <x v="73"/>
    <x v="1"/>
    <x v="21"/>
    <n v="1122000"/>
  </r>
  <r>
    <x v="73"/>
    <x v="0"/>
    <x v="22"/>
    <n v="1158900"/>
  </r>
  <r>
    <x v="73"/>
    <x v="1"/>
    <x v="22"/>
    <n v="789200"/>
  </r>
  <r>
    <x v="73"/>
    <x v="0"/>
    <x v="23"/>
    <n v="827300"/>
  </r>
  <r>
    <x v="73"/>
    <x v="1"/>
    <x v="23"/>
    <n v="430400"/>
  </r>
  <r>
    <x v="73"/>
    <x v="0"/>
    <x v="24"/>
    <n v="516000"/>
  </r>
  <r>
    <x v="73"/>
    <x v="1"/>
    <x v="24"/>
    <n v="224000"/>
  </r>
  <r>
    <x v="73"/>
    <x v="0"/>
    <x v="6"/>
    <n v="353900"/>
  </r>
  <r>
    <x v="73"/>
    <x v="1"/>
    <x v="6"/>
    <n v="116600"/>
  </r>
  <r>
    <x v="74"/>
    <x v="0"/>
    <x v="0"/>
    <n v="297700"/>
  </r>
  <r>
    <x v="74"/>
    <x v="1"/>
    <x v="0"/>
    <n v="314600"/>
  </r>
  <r>
    <x v="74"/>
    <x v="0"/>
    <x v="1"/>
    <n v="1365800"/>
  </r>
  <r>
    <x v="74"/>
    <x v="1"/>
    <x v="1"/>
    <n v="1444500"/>
  </r>
  <r>
    <x v="74"/>
    <x v="0"/>
    <x v="2"/>
    <n v="1920000"/>
  </r>
  <r>
    <x v="74"/>
    <x v="1"/>
    <x v="2"/>
    <n v="2022100"/>
  </r>
  <r>
    <x v="74"/>
    <x v="0"/>
    <x v="3"/>
    <n v="1965700"/>
  </r>
  <r>
    <x v="74"/>
    <x v="1"/>
    <x v="3"/>
    <n v="2072900"/>
  </r>
  <r>
    <x v="74"/>
    <x v="0"/>
    <x v="4"/>
    <n v="1745600"/>
  </r>
  <r>
    <x v="74"/>
    <x v="1"/>
    <x v="4"/>
    <n v="1829500"/>
  </r>
  <r>
    <x v="74"/>
    <x v="0"/>
    <x v="5"/>
    <n v="1667100"/>
  </r>
  <r>
    <x v="74"/>
    <x v="1"/>
    <x v="5"/>
    <n v="1721300"/>
  </r>
  <r>
    <x v="74"/>
    <x v="0"/>
    <x v="13"/>
    <n v="1854100"/>
  </r>
  <r>
    <x v="74"/>
    <x v="1"/>
    <x v="13"/>
    <n v="1896600"/>
  </r>
  <r>
    <x v="74"/>
    <x v="0"/>
    <x v="14"/>
    <n v="1524200"/>
  </r>
  <r>
    <x v="74"/>
    <x v="1"/>
    <x v="14"/>
    <n v="1571400"/>
  </r>
  <r>
    <x v="74"/>
    <x v="0"/>
    <x v="15"/>
    <n v="1414900"/>
  </r>
  <r>
    <x v="74"/>
    <x v="1"/>
    <x v="15"/>
    <n v="1462900"/>
  </r>
  <r>
    <x v="74"/>
    <x v="0"/>
    <x v="16"/>
    <n v="1375200"/>
  </r>
  <r>
    <x v="74"/>
    <x v="1"/>
    <x v="16"/>
    <n v="1408700"/>
  </r>
  <r>
    <x v="74"/>
    <x v="0"/>
    <x v="17"/>
    <n v="1459300"/>
  </r>
  <r>
    <x v="74"/>
    <x v="1"/>
    <x v="17"/>
    <n v="1451900"/>
  </r>
  <r>
    <x v="74"/>
    <x v="0"/>
    <x v="18"/>
    <n v="1592600"/>
  </r>
  <r>
    <x v="74"/>
    <x v="1"/>
    <x v="18"/>
    <n v="1541400"/>
  </r>
  <r>
    <x v="74"/>
    <x v="0"/>
    <x v="19"/>
    <n v="1396300"/>
  </r>
  <r>
    <x v="74"/>
    <x v="1"/>
    <x v="19"/>
    <n v="1296500"/>
  </r>
  <r>
    <x v="74"/>
    <x v="0"/>
    <x v="20"/>
    <n v="1498000"/>
  </r>
  <r>
    <x v="74"/>
    <x v="1"/>
    <x v="20"/>
    <n v="1325500"/>
  </r>
  <r>
    <x v="74"/>
    <x v="0"/>
    <x v="21"/>
    <n v="1394400"/>
  </r>
  <r>
    <x v="74"/>
    <x v="1"/>
    <x v="21"/>
    <n v="1132300"/>
  </r>
  <r>
    <x v="74"/>
    <x v="0"/>
    <x v="22"/>
    <n v="1173300"/>
  </r>
  <r>
    <x v="74"/>
    <x v="1"/>
    <x v="22"/>
    <n v="809900"/>
  </r>
  <r>
    <x v="74"/>
    <x v="0"/>
    <x v="23"/>
    <n v="848900"/>
  </r>
  <r>
    <x v="74"/>
    <x v="1"/>
    <x v="23"/>
    <n v="445600"/>
  </r>
  <r>
    <x v="74"/>
    <x v="0"/>
    <x v="24"/>
    <n v="524800"/>
  </r>
  <r>
    <x v="74"/>
    <x v="1"/>
    <x v="24"/>
    <n v="226100"/>
  </r>
  <r>
    <x v="74"/>
    <x v="0"/>
    <x v="6"/>
    <n v="360500"/>
  </r>
  <r>
    <x v="74"/>
    <x v="1"/>
    <x v="6"/>
    <n v="117700"/>
  </r>
  <r>
    <x v="75"/>
    <x v="0"/>
    <x v="0"/>
    <n v="284600"/>
  </r>
  <r>
    <x v="75"/>
    <x v="1"/>
    <x v="0"/>
    <n v="300100"/>
  </r>
  <r>
    <x v="75"/>
    <x v="0"/>
    <x v="1"/>
    <n v="1284000"/>
  </r>
  <r>
    <x v="75"/>
    <x v="1"/>
    <x v="1"/>
    <n v="1357600"/>
  </r>
  <r>
    <x v="75"/>
    <x v="0"/>
    <x v="2"/>
    <n v="1895100"/>
  </r>
  <r>
    <x v="75"/>
    <x v="1"/>
    <x v="2"/>
    <n v="2000300"/>
  </r>
  <r>
    <x v="75"/>
    <x v="0"/>
    <x v="3"/>
    <n v="1980800"/>
  </r>
  <r>
    <x v="75"/>
    <x v="1"/>
    <x v="3"/>
    <n v="2090500"/>
  </r>
  <r>
    <x v="75"/>
    <x v="0"/>
    <x v="4"/>
    <n v="1799600"/>
  </r>
  <r>
    <x v="75"/>
    <x v="1"/>
    <x v="4"/>
    <n v="1881500"/>
  </r>
  <r>
    <x v="75"/>
    <x v="0"/>
    <x v="5"/>
    <n v="1667100"/>
  </r>
  <r>
    <x v="75"/>
    <x v="1"/>
    <x v="5"/>
    <n v="1728300"/>
  </r>
  <r>
    <x v="75"/>
    <x v="0"/>
    <x v="13"/>
    <n v="1858900"/>
  </r>
  <r>
    <x v="75"/>
    <x v="1"/>
    <x v="13"/>
    <n v="1899500"/>
  </r>
  <r>
    <x v="75"/>
    <x v="0"/>
    <x v="14"/>
    <n v="1588000"/>
  </r>
  <r>
    <x v="75"/>
    <x v="1"/>
    <x v="14"/>
    <n v="1632300"/>
  </r>
  <r>
    <x v="75"/>
    <x v="0"/>
    <x v="15"/>
    <n v="1401400"/>
  </r>
  <r>
    <x v="75"/>
    <x v="1"/>
    <x v="15"/>
    <n v="1443500"/>
  </r>
  <r>
    <x v="75"/>
    <x v="0"/>
    <x v="16"/>
    <n v="1363200"/>
  </r>
  <r>
    <x v="75"/>
    <x v="1"/>
    <x v="16"/>
    <n v="1399500"/>
  </r>
  <r>
    <x v="75"/>
    <x v="0"/>
    <x v="17"/>
    <n v="1441700"/>
  </r>
  <r>
    <x v="75"/>
    <x v="1"/>
    <x v="17"/>
    <n v="1436900"/>
  </r>
  <r>
    <x v="75"/>
    <x v="0"/>
    <x v="18"/>
    <n v="1537500"/>
  </r>
  <r>
    <x v="75"/>
    <x v="1"/>
    <x v="18"/>
    <n v="1496700"/>
  </r>
  <r>
    <x v="75"/>
    <x v="0"/>
    <x v="19"/>
    <n v="1448300"/>
  </r>
  <r>
    <x v="75"/>
    <x v="1"/>
    <x v="19"/>
    <n v="1346300"/>
  </r>
  <r>
    <x v="75"/>
    <x v="0"/>
    <x v="20"/>
    <n v="1473400"/>
  </r>
  <r>
    <x v="75"/>
    <x v="1"/>
    <x v="20"/>
    <n v="1303500"/>
  </r>
  <r>
    <x v="75"/>
    <x v="0"/>
    <x v="21"/>
    <n v="1394200"/>
  </r>
  <r>
    <x v="75"/>
    <x v="1"/>
    <x v="21"/>
    <n v="1135800"/>
  </r>
  <r>
    <x v="75"/>
    <x v="0"/>
    <x v="22"/>
    <n v="1183000"/>
  </r>
  <r>
    <x v="75"/>
    <x v="1"/>
    <x v="22"/>
    <n v="827300"/>
  </r>
  <r>
    <x v="75"/>
    <x v="0"/>
    <x v="23"/>
    <n v="869200"/>
  </r>
  <r>
    <x v="75"/>
    <x v="1"/>
    <x v="23"/>
    <n v="464800"/>
  </r>
  <r>
    <x v="75"/>
    <x v="0"/>
    <x v="24"/>
    <n v="533500"/>
  </r>
  <r>
    <x v="75"/>
    <x v="1"/>
    <x v="24"/>
    <n v="225500"/>
  </r>
  <r>
    <x v="75"/>
    <x v="0"/>
    <x v="6"/>
    <n v="366600"/>
  </r>
  <r>
    <x v="75"/>
    <x v="1"/>
    <x v="6"/>
    <n v="119200"/>
  </r>
  <r>
    <x v="76"/>
    <x v="0"/>
    <x v="0"/>
    <n v="271800"/>
  </r>
  <r>
    <x v="76"/>
    <x v="1"/>
    <x v="0"/>
    <n v="287000"/>
  </r>
  <r>
    <x v="76"/>
    <x v="0"/>
    <x v="1"/>
    <n v="1211300"/>
  </r>
  <r>
    <x v="76"/>
    <x v="1"/>
    <x v="1"/>
    <n v="1280800"/>
  </r>
  <r>
    <x v="76"/>
    <x v="0"/>
    <x v="2"/>
    <n v="1849500"/>
  </r>
  <r>
    <x v="76"/>
    <x v="1"/>
    <x v="2"/>
    <n v="1951300"/>
  </r>
  <r>
    <x v="76"/>
    <x v="0"/>
    <x v="3"/>
    <n v="1987700"/>
  </r>
  <r>
    <x v="76"/>
    <x v="1"/>
    <x v="3"/>
    <n v="2102900"/>
  </r>
  <r>
    <x v="76"/>
    <x v="0"/>
    <x v="4"/>
    <n v="1852900"/>
  </r>
  <r>
    <x v="76"/>
    <x v="1"/>
    <x v="4"/>
    <n v="1929500"/>
  </r>
  <r>
    <x v="76"/>
    <x v="0"/>
    <x v="5"/>
    <n v="1683300"/>
  </r>
  <r>
    <x v="76"/>
    <x v="1"/>
    <x v="5"/>
    <n v="1749200"/>
  </r>
  <r>
    <x v="76"/>
    <x v="0"/>
    <x v="13"/>
    <n v="1769300"/>
  </r>
  <r>
    <x v="76"/>
    <x v="1"/>
    <x v="13"/>
    <n v="1801800"/>
  </r>
  <r>
    <x v="76"/>
    <x v="0"/>
    <x v="14"/>
    <n v="1721500"/>
  </r>
  <r>
    <x v="76"/>
    <x v="1"/>
    <x v="14"/>
    <n v="1765400"/>
  </r>
  <r>
    <x v="76"/>
    <x v="0"/>
    <x v="15"/>
    <n v="1405200"/>
  </r>
  <r>
    <x v="76"/>
    <x v="1"/>
    <x v="15"/>
    <n v="1441600"/>
  </r>
  <r>
    <x v="76"/>
    <x v="0"/>
    <x v="16"/>
    <n v="1362500"/>
  </r>
  <r>
    <x v="76"/>
    <x v="1"/>
    <x v="16"/>
    <n v="1401300"/>
  </r>
  <r>
    <x v="76"/>
    <x v="0"/>
    <x v="17"/>
    <n v="1424400"/>
  </r>
  <r>
    <x v="76"/>
    <x v="1"/>
    <x v="17"/>
    <n v="1424300"/>
  </r>
  <r>
    <x v="76"/>
    <x v="0"/>
    <x v="18"/>
    <n v="1495700"/>
  </r>
  <r>
    <x v="76"/>
    <x v="1"/>
    <x v="18"/>
    <n v="1460000"/>
  </r>
  <r>
    <x v="76"/>
    <x v="0"/>
    <x v="19"/>
    <n v="1501000"/>
  </r>
  <r>
    <x v="76"/>
    <x v="1"/>
    <x v="19"/>
    <n v="1399600"/>
  </r>
  <r>
    <x v="76"/>
    <x v="0"/>
    <x v="20"/>
    <n v="1431700"/>
  </r>
  <r>
    <x v="76"/>
    <x v="1"/>
    <x v="20"/>
    <n v="1263700"/>
  </r>
  <r>
    <x v="76"/>
    <x v="0"/>
    <x v="21"/>
    <n v="1392500"/>
  </r>
  <r>
    <x v="76"/>
    <x v="1"/>
    <x v="21"/>
    <n v="1138000"/>
  </r>
  <r>
    <x v="76"/>
    <x v="0"/>
    <x v="22"/>
    <n v="1197400"/>
  </r>
  <r>
    <x v="76"/>
    <x v="1"/>
    <x v="22"/>
    <n v="843900"/>
  </r>
  <r>
    <x v="76"/>
    <x v="0"/>
    <x v="23"/>
    <n v="886900"/>
  </r>
  <r>
    <x v="76"/>
    <x v="1"/>
    <x v="23"/>
    <n v="486400"/>
  </r>
  <r>
    <x v="76"/>
    <x v="0"/>
    <x v="24"/>
    <n v="544200"/>
  </r>
  <r>
    <x v="76"/>
    <x v="1"/>
    <x v="24"/>
    <n v="229400"/>
  </r>
  <r>
    <x v="76"/>
    <x v="0"/>
    <x v="6"/>
    <n v="375400"/>
  </r>
  <r>
    <x v="76"/>
    <x v="1"/>
    <x v="6"/>
    <n v="120100"/>
  </r>
  <r>
    <x v="77"/>
    <x v="0"/>
    <x v="0"/>
    <n v="276500"/>
  </r>
  <r>
    <x v="77"/>
    <x v="1"/>
    <x v="0"/>
    <n v="291400"/>
  </r>
  <r>
    <x v="77"/>
    <x v="0"/>
    <x v="1"/>
    <n v="1153800"/>
  </r>
  <r>
    <x v="77"/>
    <x v="1"/>
    <x v="1"/>
    <n v="1217400"/>
  </r>
  <r>
    <x v="77"/>
    <x v="0"/>
    <x v="2"/>
    <n v="1795200"/>
  </r>
  <r>
    <x v="77"/>
    <x v="1"/>
    <x v="2"/>
    <n v="1895600"/>
  </r>
  <r>
    <x v="77"/>
    <x v="0"/>
    <x v="3"/>
    <n v="1979000"/>
  </r>
  <r>
    <x v="77"/>
    <x v="1"/>
    <x v="3"/>
    <n v="2091800"/>
  </r>
  <r>
    <x v="77"/>
    <x v="0"/>
    <x v="4"/>
    <n v="1902600"/>
  </r>
  <r>
    <x v="77"/>
    <x v="1"/>
    <x v="4"/>
    <n v="1979800"/>
  </r>
  <r>
    <x v="77"/>
    <x v="0"/>
    <x v="5"/>
    <n v="1708100"/>
  </r>
  <r>
    <x v="77"/>
    <x v="1"/>
    <x v="5"/>
    <n v="1769800"/>
  </r>
  <r>
    <x v="77"/>
    <x v="0"/>
    <x v="13"/>
    <n v="1717800"/>
  </r>
  <r>
    <x v="77"/>
    <x v="1"/>
    <x v="13"/>
    <n v="1748200"/>
  </r>
  <r>
    <x v="77"/>
    <x v="0"/>
    <x v="14"/>
    <n v="1792100"/>
  </r>
  <r>
    <x v="77"/>
    <x v="1"/>
    <x v="14"/>
    <n v="1831900"/>
  </r>
  <r>
    <x v="77"/>
    <x v="0"/>
    <x v="15"/>
    <n v="1432400"/>
  </r>
  <r>
    <x v="77"/>
    <x v="1"/>
    <x v="15"/>
    <n v="1464100"/>
  </r>
  <r>
    <x v="77"/>
    <x v="0"/>
    <x v="16"/>
    <n v="1376400"/>
  </r>
  <r>
    <x v="77"/>
    <x v="1"/>
    <x v="16"/>
    <n v="1415800"/>
  </r>
  <r>
    <x v="77"/>
    <x v="0"/>
    <x v="17"/>
    <n v="1405300"/>
  </r>
  <r>
    <x v="77"/>
    <x v="1"/>
    <x v="17"/>
    <n v="1409500"/>
  </r>
  <r>
    <x v="77"/>
    <x v="0"/>
    <x v="18"/>
    <n v="1466100"/>
  </r>
  <r>
    <x v="77"/>
    <x v="1"/>
    <x v="18"/>
    <n v="1435500"/>
  </r>
  <r>
    <x v="77"/>
    <x v="0"/>
    <x v="19"/>
    <n v="1561100"/>
  </r>
  <r>
    <x v="77"/>
    <x v="1"/>
    <x v="19"/>
    <n v="1460500"/>
  </r>
  <r>
    <x v="77"/>
    <x v="0"/>
    <x v="20"/>
    <n v="1356100"/>
  </r>
  <r>
    <x v="77"/>
    <x v="1"/>
    <x v="20"/>
    <n v="1192900"/>
  </r>
  <r>
    <x v="77"/>
    <x v="0"/>
    <x v="21"/>
    <n v="1391900"/>
  </r>
  <r>
    <x v="77"/>
    <x v="1"/>
    <x v="21"/>
    <n v="1140100"/>
  </r>
  <r>
    <x v="77"/>
    <x v="0"/>
    <x v="22"/>
    <n v="1212100"/>
  </r>
  <r>
    <x v="77"/>
    <x v="1"/>
    <x v="22"/>
    <n v="859600"/>
  </r>
  <r>
    <x v="77"/>
    <x v="0"/>
    <x v="23"/>
    <n v="909500"/>
  </r>
  <r>
    <x v="77"/>
    <x v="1"/>
    <x v="23"/>
    <n v="509000"/>
  </r>
  <r>
    <x v="77"/>
    <x v="0"/>
    <x v="24"/>
    <n v="554100"/>
  </r>
  <r>
    <x v="77"/>
    <x v="1"/>
    <x v="24"/>
    <n v="232500"/>
  </r>
  <r>
    <x v="77"/>
    <x v="0"/>
    <x v="6"/>
    <n v="385100"/>
  </r>
  <r>
    <x v="77"/>
    <x v="1"/>
    <x v="6"/>
    <n v="121900"/>
  </r>
  <r>
    <x v="78"/>
    <x v="0"/>
    <x v="0"/>
    <n v="300100"/>
  </r>
  <r>
    <x v="78"/>
    <x v="1"/>
    <x v="0"/>
    <n v="317200"/>
  </r>
  <r>
    <x v="78"/>
    <x v="0"/>
    <x v="1"/>
    <n v="1124100"/>
  </r>
  <r>
    <x v="78"/>
    <x v="1"/>
    <x v="1"/>
    <n v="1184900"/>
  </r>
  <r>
    <x v="78"/>
    <x v="0"/>
    <x v="2"/>
    <n v="1717700"/>
  </r>
  <r>
    <x v="78"/>
    <x v="1"/>
    <x v="2"/>
    <n v="1818300"/>
  </r>
  <r>
    <x v="78"/>
    <x v="0"/>
    <x v="3"/>
    <n v="1957200"/>
  </r>
  <r>
    <x v="78"/>
    <x v="1"/>
    <x v="3"/>
    <n v="2065400"/>
  </r>
  <r>
    <x v="78"/>
    <x v="0"/>
    <x v="4"/>
    <n v="1952900"/>
  </r>
  <r>
    <x v="78"/>
    <x v="1"/>
    <x v="4"/>
    <n v="2040800"/>
  </r>
  <r>
    <x v="78"/>
    <x v="0"/>
    <x v="5"/>
    <n v="1736000"/>
  </r>
  <r>
    <x v="78"/>
    <x v="1"/>
    <x v="5"/>
    <n v="1798700"/>
  </r>
  <r>
    <x v="78"/>
    <x v="0"/>
    <x v="13"/>
    <n v="1692700"/>
  </r>
  <r>
    <x v="78"/>
    <x v="1"/>
    <x v="13"/>
    <n v="1726800"/>
  </r>
  <r>
    <x v="78"/>
    <x v="0"/>
    <x v="14"/>
    <n v="1821800"/>
  </r>
  <r>
    <x v="78"/>
    <x v="1"/>
    <x v="14"/>
    <n v="1859100"/>
  </r>
  <r>
    <x v="78"/>
    <x v="0"/>
    <x v="15"/>
    <n v="1474500"/>
  </r>
  <r>
    <x v="78"/>
    <x v="1"/>
    <x v="15"/>
    <n v="1509000"/>
  </r>
  <r>
    <x v="78"/>
    <x v="0"/>
    <x v="16"/>
    <n v="1395700"/>
  </r>
  <r>
    <x v="78"/>
    <x v="1"/>
    <x v="16"/>
    <n v="1431900"/>
  </r>
  <r>
    <x v="78"/>
    <x v="0"/>
    <x v="17"/>
    <n v="1381300"/>
  </r>
  <r>
    <x v="78"/>
    <x v="1"/>
    <x v="17"/>
    <n v="1393700"/>
  </r>
  <r>
    <x v="78"/>
    <x v="0"/>
    <x v="18"/>
    <n v="1443300"/>
  </r>
  <r>
    <x v="78"/>
    <x v="1"/>
    <x v="18"/>
    <n v="1416600"/>
  </r>
  <r>
    <x v="78"/>
    <x v="0"/>
    <x v="19"/>
    <n v="1609300"/>
  </r>
  <r>
    <x v="78"/>
    <x v="1"/>
    <x v="19"/>
    <n v="1510500"/>
  </r>
  <r>
    <x v="78"/>
    <x v="0"/>
    <x v="20"/>
    <n v="1286000"/>
  </r>
  <r>
    <x v="78"/>
    <x v="1"/>
    <x v="20"/>
    <n v="1133100"/>
  </r>
  <r>
    <x v="78"/>
    <x v="0"/>
    <x v="21"/>
    <n v="1391800"/>
  </r>
  <r>
    <x v="78"/>
    <x v="1"/>
    <x v="21"/>
    <n v="1141700"/>
  </r>
  <r>
    <x v="78"/>
    <x v="0"/>
    <x v="22"/>
    <n v="1223500"/>
  </r>
  <r>
    <x v="78"/>
    <x v="1"/>
    <x v="22"/>
    <n v="874500"/>
  </r>
  <r>
    <x v="78"/>
    <x v="0"/>
    <x v="23"/>
    <n v="930100"/>
  </r>
  <r>
    <x v="78"/>
    <x v="1"/>
    <x v="23"/>
    <n v="530700"/>
  </r>
  <r>
    <x v="78"/>
    <x v="0"/>
    <x v="24"/>
    <n v="565200"/>
  </r>
  <r>
    <x v="78"/>
    <x v="1"/>
    <x v="24"/>
    <n v="236900"/>
  </r>
  <r>
    <x v="78"/>
    <x v="0"/>
    <x v="6"/>
    <n v="391900"/>
  </r>
  <r>
    <x v="78"/>
    <x v="1"/>
    <x v="6"/>
    <n v="123300"/>
  </r>
  <r>
    <x v="79"/>
    <x v="0"/>
    <x v="0"/>
    <n v="311000"/>
  </r>
  <r>
    <x v="79"/>
    <x v="1"/>
    <x v="0"/>
    <n v="327900"/>
  </r>
  <r>
    <x v="79"/>
    <x v="0"/>
    <x v="1"/>
    <n v="1127600"/>
  </r>
  <r>
    <x v="79"/>
    <x v="1"/>
    <x v="1"/>
    <n v="1188900"/>
  </r>
  <r>
    <x v="79"/>
    <x v="0"/>
    <x v="2"/>
    <n v="1646300"/>
  </r>
  <r>
    <x v="79"/>
    <x v="1"/>
    <x v="2"/>
    <n v="1740000"/>
  </r>
  <r>
    <x v="79"/>
    <x v="0"/>
    <x v="3"/>
    <n v="1918700"/>
  </r>
  <r>
    <x v="79"/>
    <x v="1"/>
    <x v="3"/>
    <n v="2022300"/>
  </r>
  <r>
    <x v="79"/>
    <x v="0"/>
    <x v="4"/>
    <n v="1996300"/>
  </r>
  <r>
    <x v="79"/>
    <x v="1"/>
    <x v="4"/>
    <n v="2091000"/>
  </r>
  <r>
    <x v="79"/>
    <x v="0"/>
    <x v="5"/>
    <n v="1788500"/>
  </r>
  <r>
    <x v="79"/>
    <x v="1"/>
    <x v="5"/>
    <n v="1845900"/>
  </r>
  <r>
    <x v="79"/>
    <x v="0"/>
    <x v="13"/>
    <n v="1672900"/>
  </r>
  <r>
    <x v="79"/>
    <x v="1"/>
    <x v="13"/>
    <n v="1705400"/>
  </r>
  <r>
    <x v="79"/>
    <x v="0"/>
    <x v="14"/>
    <n v="1842800"/>
  </r>
  <r>
    <x v="79"/>
    <x v="1"/>
    <x v="14"/>
    <n v="1873400"/>
  </r>
  <r>
    <x v="79"/>
    <x v="0"/>
    <x v="15"/>
    <n v="1516600"/>
  </r>
  <r>
    <x v="79"/>
    <x v="1"/>
    <x v="15"/>
    <n v="1549900"/>
  </r>
  <r>
    <x v="79"/>
    <x v="0"/>
    <x v="16"/>
    <n v="1405200"/>
  </r>
  <r>
    <x v="79"/>
    <x v="1"/>
    <x v="16"/>
    <n v="1438500"/>
  </r>
  <r>
    <x v="79"/>
    <x v="0"/>
    <x v="17"/>
    <n v="1363400"/>
  </r>
  <r>
    <x v="79"/>
    <x v="1"/>
    <x v="17"/>
    <n v="1382000"/>
  </r>
  <r>
    <x v="79"/>
    <x v="0"/>
    <x v="18"/>
    <n v="1430300"/>
  </r>
  <r>
    <x v="79"/>
    <x v="1"/>
    <x v="18"/>
    <n v="1404100"/>
  </r>
  <r>
    <x v="79"/>
    <x v="0"/>
    <x v="19"/>
    <n v="1541300"/>
  </r>
  <r>
    <x v="79"/>
    <x v="1"/>
    <x v="19"/>
    <n v="1453700"/>
  </r>
  <r>
    <x v="79"/>
    <x v="0"/>
    <x v="20"/>
    <n v="1331600"/>
  </r>
  <r>
    <x v="79"/>
    <x v="1"/>
    <x v="20"/>
    <n v="1182100"/>
  </r>
  <r>
    <x v="79"/>
    <x v="0"/>
    <x v="21"/>
    <n v="1389700"/>
  </r>
  <r>
    <x v="79"/>
    <x v="1"/>
    <x v="21"/>
    <n v="1139900"/>
  </r>
  <r>
    <x v="79"/>
    <x v="0"/>
    <x v="22"/>
    <n v="1230100"/>
  </r>
  <r>
    <x v="79"/>
    <x v="1"/>
    <x v="22"/>
    <n v="888500"/>
  </r>
  <r>
    <x v="79"/>
    <x v="0"/>
    <x v="23"/>
    <n v="947100"/>
  </r>
  <r>
    <x v="79"/>
    <x v="1"/>
    <x v="23"/>
    <n v="548900"/>
  </r>
  <r>
    <x v="79"/>
    <x v="0"/>
    <x v="24"/>
    <n v="585100"/>
  </r>
  <r>
    <x v="79"/>
    <x v="1"/>
    <x v="24"/>
    <n v="246500"/>
  </r>
  <r>
    <x v="79"/>
    <x v="0"/>
    <x v="6"/>
    <n v="403000"/>
  </r>
  <r>
    <x v="79"/>
    <x v="1"/>
    <x v="6"/>
    <n v="126600"/>
  </r>
  <r>
    <x v="80"/>
    <x v="0"/>
    <x v="0"/>
    <n v="309600"/>
  </r>
  <r>
    <x v="80"/>
    <x v="1"/>
    <x v="0"/>
    <n v="324400"/>
  </r>
  <r>
    <x v="80"/>
    <x v="0"/>
    <x v="1"/>
    <n v="1153900"/>
  </r>
  <r>
    <x v="80"/>
    <x v="1"/>
    <x v="1"/>
    <n v="1217600"/>
  </r>
  <r>
    <x v="80"/>
    <x v="0"/>
    <x v="2"/>
    <n v="1554300"/>
  </r>
  <r>
    <x v="80"/>
    <x v="1"/>
    <x v="2"/>
    <n v="1642000"/>
  </r>
  <r>
    <x v="80"/>
    <x v="0"/>
    <x v="3"/>
    <n v="1892100"/>
  </r>
  <r>
    <x v="80"/>
    <x v="1"/>
    <x v="3"/>
    <n v="1996600"/>
  </r>
  <r>
    <x v="80"/>
    <x v="0"/>
    <x v="4"/>
    <n v="2015400"/>
  </r>
  <r>
    <x v="80"/>
    <x v="1"/>
    <x v="4"/>
    <n v="2114400"/>
  </r>
  <r>
    <x v="80"/>
    <x v="0"/>
    <x v="5"/>
    <n v="1847300"/>
  </r>
  <r>
    <x v="80"/>
    <x v="1"/>
    <x v="5"/>
    <n v="1896400"/>
  </r>
  <r>
    <x v="80"/>
    <x v="0"/>
    <x v="13"/>
    <n v="1671400"/>
  </r>
  <r>
    <x v="80"/>
    <x v="1"/>
    <x v="13"/>
    <n v="1700100"/>
  </r>
  <r>
    <x v="80"/>
    <x v="0"/>
    <x v="14"/>
    <n v="1845800"/>
  </r>
  <r>
    <x v="80"/>
    <x v="1"/>
    <x v="14"/>
    <n v="1869000"/>
  </r>
  <r>
    <x v="80"/>
    <x v="0"/>
    <x v="15"/>
    <n v="1579400"/>
  </r>
  <r>
    <x v="80"/>
    <x v="1"/>
    <x v="15"/>
    <n v="1605900"/>
  </r>
  <r>
    <x v="80"/>
    <x v="0"/>
    <x v="16"/>
    <n v="1392700"/>
  </r>
  <r>
    <x v="80"/>
    <x v="1"/>
    <x v="16"/>
    <n v="1418000"/>
  </r>
  <r>
    <x v="80"/>
    <x v="0"/>
    <x v="17"/>
    <n v="1352700"/>
  </r>
  <r>
    <x v="80"/>
    <x v="1"/>
    <x v="17"/>
    <n v="1370000"/>
  </r>
  <r>
    <x v="80"/>
    <x v="0"/>
    <x v="18"/>
    <n v="1415200"/>
  </r>
  <r>
    <x v="80"/>
    <x v="1"/>
    <x v="18"/>
    <n v="1393800"/>
  </r>
  <r>
    <x v="80"/>
    <x v="0"/>
    <x v="19"/>
    <n v="1486800"/>
  </r>
  <r>
    <x v="80"/>
    <x v="1"/>
    <x v="19"/>
    <n v="1414500"/>
  </r>
  <r>
    <x v="80"/>
    <x v="0"/>
    <x v="20"/>
    <n v="1379900"/>
  </r>
  <r>
    <x v="80"/>
    <x v="1"/>
    <x v="20"/>
    <n v="1226800"/>
  </r>
  <r>
    <x v="80"/>
    <x v="0"/>
    <x v="21"/>
    <n v="1365500"/>
  </r>
  <r>
    <x v="80"/>
    <x v="1"/>
    <x v="21"/>
    <n v="1124400"/>
  </r>
  <r>
    <x v="80"/>
    <x v="0"/>
    <x v="22"/>
    <n v="1233800"/>
  </r>
  <r>
    <x v="80"/>
    <x v="1"/>
    <x v="22"/>
    <n v="895400"/>
  </r>
  <r>
    <x v="80"/>
    <x v="0"/>
    <x v="23"/>
    <n v="959300"/>
  </r>
  <r>
    <x v="80"/>
    <x v="1"/>
    <x v="23"/>
    <n v="564700"/>
  </r>
  <r>
    <x v="80"/>
    <x v="0"/>
    <x v="24"/>
    <n v="604500"/>
  </r>
  <r>
    <x v="80"/>
    <x v="1"/>
    <x v="24"/>
    <n v="260100"/>
  </r>
  <r>
    <x v="80"/>
    <x v="0"/>
    <x v="6"/>
    <n v="414600"/>
  </r>
  <r>
    <x v="80"/>
    <x v="1"/>
    <x v="6"/>
    <n v="126000"/>
  </r>
  <r>
    <x v="81"/>
    <x v="0"/>
    <x v="0"/>
    <n v="302100"/>
  </r>
  <r>
    <x v="81"/>
    <x v="0"/>
    <x v="1"/>
    <n v="1189500"/>
  </r>
  <r>
    <x v="81"/>
    <x v="0"/>
    <x v="2"/>
    <n v="1474000"/>
  </r>
  <r>
    <x v="81"/>
    <x v="0"/>
    <x v="3"/>
    <n v="1844500"/>
  </r>
  <r>
    <x v="81"/>
    <x v="0"/>
    <x v="4"/>
    <n v="2020700"/>
  </r>
  <r>
    <x v="81"/>
    <x v="0"/>
    <x v="5"/>
    <n v="1893300"/>
  </r>
  <r>
    <x v="81"/>
    <x v="0"/>
    <x v="13"/>
    <n v="1677400"/>
  </r>
  <r>
    <x v="81"/>
    <x v="0"/>
    <x v="14"/>
    <n v="1748400"/>
  </r>
  <r>
    <x v="81"/>
    <x v="0"/>
    <x v="15"/>
    <n v="1711000"/>
  </r>
  <r>
    <x v="81"/>
    <x v="0"/>
    <x v="16"/>
    <n v="1394700"/>
  </r>
  <r>
    <x v="81"/>
    <x v="0"/>
    <x v="17"/>
    <n v="1351400"/>
  </r>
  <r>
    <x v="81"/>
    <x v="0"/>
    <x v="18"/>
    <n v="1399600"/>
  </r>
  <r>
    <x v="81"/>
    <x v="0"/>
    <x v="19"/>
    <n v="1446100"/>
  </r>
  <r>
    <x v="81"/>
    <x v="0"/>
    <x v="20"/>
    <n v="1429800"/>
  </r>
  <r>
    <x v="81"/>
    <x v="0"/>
    <x v="21"/>
    <n v="1323400"/>
  </r>
  <r>
    <x v="81"/>
    <x v="0"/>
    <x v="22"/>
    <n v="1233000"/>
  </r>
  <r>
    <x v="81"/>
    <x v="0"/>
    <x v="23"/>
    <n v="972400"/>
  </r>
  <r>
    <x v="81"/>
    <x v="0"/>
    <x v="24"/>
    <n v="623500"/>
  </r>
  <r>
    <x v="81"/>
    <x v="0"/>
    <x v="6"/>
    <n v="427600"/>
  </r>
  <r>
    <x v="82"/>
    <x v="0"/>
    <x v="0"/>
    <n v="303600"/>
  </r>
  <r>
    <x v="82"/>
    <x v="0"/>
    <x v="1"/>
    <n v="1215600"/>
  </r>
  <r>
    <x v="82"/>
    <x v="0"/>
    <x v="2"/>
    <n v="1421200"/>
  </r>
  <r>
    <x v="82"/>
    <x v="0"/>
    <x v="3"/>
    <n v="1787900"/>
  </r>
  <r>
    <x v="82"/>
    <x v="0"/>
    <x v="4"/>
    <n v="2008900"/>
  </r>
  <r>
    <x v="82"/>
    <x v="0"/>
    <x v="5"/>
    <n v="1946300"/>
  </r>
  <r>
    <x v="82"/>
    <x v="0"/>
    <x v="13"/>
    <n v="1694600"/>
  </r>
  <r>
    <x v="82"/>
    <x v="0"/>
    <x v="14"/>
    <n v="1692700"/>
  </r>
  <r>
    <x v="82"/>
    <x v="0"/>
    <x v="15"/>
    <n v="1784000"/>
  </r>
  <r>
    <x v="82"/>
    <x v="0"/>
    <x v="16"/>
    <n v="1419300"/>
  </r>
  <r>
    <x v="82"/>
    <x v="0"/>
    <x v="17"/>
    <n v="1364300"/>
  </r>
  <r>
    <x v="82"/>
    <x v="0"/>
    <x v="18"/>
    <n v="1380500"/>
  </r>
  <r>
    <x v="82"/>
    <x v="0"/>
    <x v="19"/>
    <n v="1419200"/>
  </r>
  <r>
    <x v="82"/>
    <x v="0"/>
    <x v="20"/>
    <n v="1487700"/>
  </r>
  <r>
    <x v="82"/>
    <x v="0"/>
    <x v="21"/>
    <n v="1252800"/>
  </r>
  <r>
    <x v="82"/>
    <x v="0"/>
    <x v="22"/>
    <n v="1232700"/>
  </r>
  <r>
    <x v="82"/>
    <x v="0"/>
    <x v="23"/>
    <n v="987900"/>
  </r>
  <r>
    <x v="82"/>
    <x v="0"/>
    <x v="24"/>
    <n v="644200"/>
  </r>
  <r>
    <x v="82"/>
    <x v="0"/>
    <x v="6"/>
    <n v="440300"/>
  </r>
  <r>
    <x v="83"/>
    <x v="0"/>
    <x v="0"/>
    <n v="303800"/>
  </r>
  <r>
    <x v="83"/>
    <x v="0"/>
    <x v="1"/>
    <n v="1222500"/>
  </r>
  <r>
    <x v="83"/>
    <x v="0"/>
    <x v="2"/>
    <n v="1417500"/>
  </r>
  <r>
    <x v="83"/>
    <x v="0"/>
    <x v="3"/>
    <n v="1712700"/>
  </r>
  <r>
    <x v="83"/>
    <x v="0"/>
    <x v="4"/>
    <n v="1976300"/>
  </r>
  <r>
    <x v="83"/>
    <x v="0"/>
    <x v="5"/>
    <n v="2001800"/>
  </r>
  <r>
    <x v="83"/>
    <x v="0"/>
    <x v="13"/>
    <n v="1730700"/>
  </r>
  <r>
    <x v="83"/>
    <x v="0"/>
    <x v="14"/>
    <n v="1667400"/>
  </r>
  <r>
    <x v="83"/>
    <x v="0"/>
    <x v="15"/>
    <n v="1816900"/>
  </r>
  <r>
    <x v="83"/>
    <x v="0"/>
    <x v="16"/>
    <n v="1459300"/>
  </r>
  <r>
    <x v="83"/>
    <x v="0"/>
    <x v="17"/>
    <n v="1381900"/>
  </r>
  <r>
    <x v="83"/>
    <x v="0"/>
    <x v="18"/>
    <n v="1358100"/>
  </r>
  <r>
    <x v="83"/>
    <x v="0"/>
    <x v="19"/>
    <n v="1399500"/>
  </r>
  <r>
    <x v="83"/>
    <x v="0"/>
    <x v="20"/>
    <n v="1533700"/>
  </r>
  <r>
    <x v="83"/>
    <x v="0"/>
    <x v="21"/>
    <n v="1190000"/>
  </r>
  <r>
    <x v="83"/>
    <x v="0"/>
    <x v="22"/>
    <n v="1233600"/>
  </r>
  <r>
    <x v="83"/>
    <x v="0"/>
    <x v="23"/>
    <n v="1002400"/>
  </r>
  <r>
    <x v="83"/>
    <x v="0"/>
    <x v="24"/>
    <n v="663700"/>
  </r>
  <r>
    <x v="83"/>
    <x v="0"/>
    <x v="6"/>
    <n v="456600"/>
  </r>
  <r>
    <x v="84"/>
    <x v="0"/>
    <x v="0"/>
    <n v="316500"/>
  </r>
  <r>
    <x v="84"/>
    <x v="0"/>
    <x v="1"/>
    <n v="1218400"/>
  </r>
  <r>
    <x v="84"/>
    <x v="0"/>
    <x v="2"/>
    <n v="1438700"/>
  </r>
  <r>
    <x v="84"/>
    <x v="0"/>
    <x v="3"/>
    <n v="1645600"/>
  </r>
  <r>
    <x v="84"/>
    <x v="0"/>
    <x v="4"/>
    <n v="1934600"/>
  </r>
  <r>
    <x v="84"/>
    <x v="0"/>
    <x v="5"/>
    <n v="2049300"/>
  </r>
  <r>
    <x v="84"/>
    <x v="0"/>
    <x v="13"/>
    <n v="1785500"/>
  </r>
  <r>
    <x v="84"/>
    <x v="0"/>
    <x v="14"/>
    <n v="1651500"/>
  </r>
  <r>
    <x v="84"/>
    <x v="0"/>
    <x v="15"/>
    <n v="1841500"/>
  </r>
  <r>
    <x v="84"/>
    <x v="0"/>
    <x v="16"/>
    <n v="1503400"/>
  </r>
  <r>
    <x v="84"/>
    <x v="0"/>
    <x v="17"/>
    <n v="1390000"/>
  </r>
  <r>
    <x v="84"/>
    <x v="0"/>
    <x v="18"/>
    <n v="1340100"/>
  </r>
  <r>
    <x v="84"/>
    <x v="0"/>
    <x v="19"/>
    <n v="1388700"/>
  </r>
  <r>
    <x v="84"/>
    <x v="0"/>
    <x v="20"/>
    <n v="1469800"/>
  </r>
  <r>
    <x v="84"/>
    <x v="0"/>
    <x v="21"/>
    <n v="1236000"/>
  </r>
  <r>
    <x v="84"/>
    <x v="0"/>
    <x v="22"/>
    <n v="1231700"/>
  </r>
  <r>
    <x v="84"/>
    <x v="0"/>
    <x v="23"/>
    <n v="1009800"/>
  </r>
  <r>
    <x v="84"/>
    <x v="0"/>
    <x v="24"/>
    <n v="678900"/>
  </r>
  <r>
    <x v="84"/>
    <x v="0"/>
    <x v="6"/>
    <n v="476400"/>
  </r>
  <r>
    <x v="85"/>
    <x v="0"/>
    <x v="0"/>
    <n v="318800"/>
  </r>
  <r>
    <x v="85"/>
    <x v="0"/>
    <x v="1"/>
    <n v="1230900"/>
  </r>
  <r>
    <x v="85"/>
    <x v="0"/>
    <x v="2"/>
    <n v="1470100"/>
  </r>
  <r>
    <x v="85"/>
    <x v="0"/>
    <x v="3"/>
    <n v="1562300"/>
  </r>
  <r>
    <x v="85"/>
    <x v="0"/>
    <x v="4"/>
    <n v="1906000"/>
  </r>
  <r>
    <x v="85"/>
    <x v="0"/>
    <x v="5"/>
    <n v="2071900"/>
  </r>
  <r>
    <x v="85"/>
    <x v="0"/>
    <x v="13"/>
    <n v="1849700"/>
  </r>
  <r>
    <x v="85"/>
    <x v="0"/>
    <x v="14"/>
    <n v="1659600"/>
  </r>
  <r>
    <x v="85"/>
    <x v="0"/>
    <x v="15"/>
    <n v="1848900"/>
  </r>
  <r>
    <x v="85"/>
    <x v="0"/>
    <x v="16"/>
    <n v="1568700"/>
  </r>
  <r>
    <x v="85"/>
    <x v="0"/>
    <x v="17"/>
    <n v="1376600"/>
  </r>
  <r>
    <x v="85"/>
    <x v="0"/>
    <x v="18"/>
    <n v="1329400"/>
  </r>
  <r>
    <x v="85"/>
    <x v="0"/>
    <x v="19"/>
    <n v="1376700"/>
  </r>
  <r>
    <x v="85"/>
    <x v="0"/>
    <x v="20"/>
    <n v="1422200"/>
  </r>
  <r>
    <x v="85"/>
    <x v="0"/>
    <x v="21"/>
    <n v="1283500"/>
  </r>
  <r>
    <x v="85"/>
    <x v="0"/>
    <x v="22"/>
    <n v="1214400"/>
  </r>
  <r>
    <x v="85"/>
    <x v="0"/>
    <x v="23"/>
    <n v="1013500"/>
  </r>
  <r>
    <x v="85"/>
    <x v="0"/>
    <x v="24"/>
    <n v="690700"/>
  </r>
  <r>
    <x v="85"/>
    <x v="0"/>
    <x v="6"/>
    <n v="493800"/>
  </r>
  <r>
    <x v="86"/>
    <x v="0"/>
    <x v="0"/>
    <n v="324400"/>
  </r>
  <r>
    <x v="86"/>
    <x v="0"/>
    <x v="1"/>
    <n v="1247100"/>
  </r>
  <r>
    <x v="86"/>
    <x v="0"/>
    <x v="2"/>
    <n v="1506500"/>
  </r>
  <r>
    <x v="86"/>
    <x v="0"/>
    <x v="3"/>
    <n v="1487700"/>
  </r>
  <r>
    <x v="86"/>
    <x v="0"/>
    <x v="4"/>
    <n v="1861300"/>
  </r>
  <r>
    <x v="86"/>
    <x v="0"/>
    <x v="5"/>
    <n v="2071400"/>
  </r>
  <r>
    <x v="86"/>
    <x v="0"/>
    <x v="13"/>
    <n v="1909600"/>
  </r>
  <r>
    <x v="86"/>
    <x v="0"/>
    <x v="14"/>
    <n v="1682300"/>
  </r>
  <r>
    <x v="86"/>
    <x v="0"/>
    <x v="15"/>
    <n v="1759700"/>
  </r>
  <r>
    <x v="86"/>
    <x v="0"/>
    <x v="16"/>
    <n v="1703900"/>
  </r>
  <r>
    <x v="86"/>
    <x v="0"/>
    <x v="17"/>
    <n v="1380900"/>
  </r>
  <r>
    <x v="86"/>
    <x v="0"/>
    <x v="18"/>
    <n v="1328800"/>
  </r>
  <r>
    <x v="86"/>
    <x v="0"/>
    <x v="19"/>
    <n v="1361900"/>
  </r>
  <r>
    <x v="86"/>
    <x v="0"/>
    <x v="20"/>
    <n v="1384400"/>
  </r>
  <r>
    <x v="86"/>
    <x v="0"/>
    <x v="21"/>
    <n v="1332000"/>
  </r>
  <r>
    <x v="86"/>
    <x v="0"/>
    <x v="22"/>
    <n v="1177800"/>
  </r>
  <r>
    <x v="86"/>
    <x v="0"/>
    <x v="23"/>
    <n v="1015600"/>
  </r>
  <r>
    <x v="86"/>
    <x v="0"/>
    <x v="24"/>
    <n v="703500"/>
  </r>
  <r>
    <x v="86"/>
    <x v="0"/>
    <x v="6"/>
    <n v="513500"/>
  </r>
  <r>
    <x v="87"/>
    <x v="0"/>
    <x v="0"/>
    <n v="334600"/>
  </r>
  <r>
    <x v="87"/>
    <x v="0"/>
    <x v="1"/>
    <n v="1266800"/>
  </r>
  <r>
    <x v="87"/>
    <x v="0"/>
    <x v="2"/>
    <n v="1538000"/>
  </r>
  <r>
    <x v="87"/>
    <x v="0"/>
    <x v="3"/>
    <n v="1438400"/>
  </r>
  <r>
    <x v="87"/>
    <x v="0"/>
    <x v="4"/>
    <n v="1805700"/>
  </r>
  <r>
    <x v="87"/>
    <x v="0"/>
    <x v="5"/>
    <n v="2048800"/>
  </r>
  <r>
    <x v="87"/>
    <x v="0"/>
    <x v="13"/>
    <n v="1962800"/>
  </r>
  <r>
    <x v="87"/>
    <x v="0"/>
    <x v="14"/>
    <n v="1710800"/>
  </r>
  <r>
    <x v="87"/>
    <x v="0"/>
    <x v="15"/>
    <n v="1708500"/>
  </r>
  <r>
    <x v="87"/>
    <x v="0"/>
    <x v="16"/>
    <n v="1779300"/>
  </r>
  <r>
    <x v="87"/>
    <x v="0"/>
    <x v="17"/>
    <n v="1406900"/>
  </r>
  <r>
    <x v="87"/>
    <x v="0"/>
    <x v="18"/>
    <n v="1342500"/>
  </r>
  <r>
    <x v="87"/>
    <x v="0"/>
    <x v="19"/>
    <n v="1343900"/>
  </r>
  <r>
    <x v="87"/>
    <x v="0"/>
    <x v="20"/>
    <n v="1358800"/>
  </r>
  <r>
    <x v="87"/>
    <x v="0"/>
    <x v="21"/>
    <n v="1387200"/>
  </r>
  <r>
    <x v="87"/>
    <x v="0"/>
    <x v="22"/>
    <n v="1117500"/>
  </r>
  <r>
    <x v="87"/>
    <x v="0"/>
    <x v="23"/>
    <n v="1018200"/>
  </r>
  <r>
    <x v="87"/>
    <x v="0"/>
    <x v="24"/>
    <n v="717800"/>
  </r>
  <r>
    <x v="87"/>
    <x v="0"/>
    <x v="6"/>
    <n v="533600"/>
  </r>
  <r>
    <x v="88"/>
    <x v="0"/>
    <x v="0"/>
    <n v="332000"/>
  </r>
  <r>
    <x v="88"/>
    <x v="0"/>
    <x v="1"/>
    <n v="1297800"/>
  </r>
  <r>
    <x v="88"/>
    <x v="0"/>
    <x v="2"/>
    <n v="1545300"/>
  </r>
  <r>
    <x v="88"/>
    <x v="0"/>
    <x v="3"/>
    <n v="1434700"/>
  </r>
  <r>
    <x v="88"/>
    <x v="0"/>
    <x v="4"/>
    <n v="1733700"/>
  </r>
  <r>
    <x v="88"/>
    <x v="0"/>
    <x v="5"/>
    <n v="2019500"/>
  </r>
  <r>
    <x v="88"/>
    <x v="0"/>
    <x v="13"/>
    <n v="2016400"/>
  </r>
  <r>
    <x v="88"/>
    <x v="0"/>
    <x v="14"/>
    <n v="1746700"/>
  </r>
  <r>
    <x v="88"/>
    <x v="0"/>
    <x v="15"/>
    <n v="1682800"/>
  </r>
  <r>
    <x v="88"/>
    <x v="0"/>
    <x v="16"/>
    <n v="1812800"/>
  </r>
  <r>
    <x v="88"/>
    <x v="0"/>
    <x v="17"/>
    <n v="1448500"/>
  </r>
  <r>
    <x v="88"/>
    <x v="0"/>
    <x v="18"/>
    <n v="1360200"/>
  </r>
  <r>
    <x v="88"/>
    <x v="0"/>
    <x v="19"/>
    <n v="1322900"/>
  </r>
  <r>
    <x v="88"/>
    <x v="0"/>
    <x v="20"/>
    <n v="1340200"/>
  </r>
  <r>
    <x v="88"/>
    <x v="0"/>
    <x v="21"/>
    <n v="1430300"/>
  </r>
  <r>
    <x v="88"/>
    <x v="0"/>
    <x v="22"/>
    <n v="1062300"/>
  </r>
  <r>
    <x v="88"/>
    <x v="0"/>
    <x v="23"/>
    <n v="1023800"/>
  </r>
  <r>
    <x v="88"/>
    <x v="0"/>
    <x v="24"/>
    <n v="732300"/>
  </r>
  <r>
    <x v="88"/>
    <x v="0"/>
    <x v="6"/>
    <n v="556100"/>
  </r>
  <r>
    <x v="89"/>
    <x v="0"/>
    <x v="0"/>
    <n v="334600"/>
  </r>
  <r>
    <x v="89"/>
    <x v="0"/>
    <x v="1"/>
    <n v="1311400"/>
  </r>
  <r>
    <x v="89"/>
    <x v="0"/>
    <x v="2"/>
    <n v="1553200"/>
  </r>
  <r>
    <x v="89"/>
    <x v="0"/>
    <x v="3"/>
    <n v="1454800"/>
  </r>
  <r>
    <x v="89"/>
    <x v="0"/>
    <x v="4"/>
    <n v="1666100"/>
  </r>
  <r>
    <x v="89"/>
    <x v="0"/>
    <x v="5"/>
    <n v="1971500"/>
  </r>
  <r>
    <x v="89"/>
    <x v="0"/>
    <x v="13"/>
    <n v="2059700"/>
  </r>
  <r>
    <x v="89"/>
    <x v="0"/>
    <x v="14"/>
    <n v="1798900"/>
  </r>
  <r>
    <x v="89"/>
    <x v="0"/>
    <x v="15"/>
    <n v="1666900"/>
  </r>
  <r>
    <x v="89"/>
    <x v="0"/>
    <x v="16"/>
    <n v="1835900"/>
  </r>
  <r>
    <x v="89"/>
    <x v="0"/>
    <x v="17"/>
    <n v="1493100"/>
  </r>
  <r>
    <x v="89"/>
    <x v="0"/>
    <x v="18"/>
    <n v="1367900"/>
  </r>
  <r>
    <x v="89"/>
    <x v="0"/>
    <x v="19"/>
    <n v="1304200"/>
  </r>
  <r>
    <x v="89"/>
    <x v="0"/>
    <x v="20"/>
    <n v="1329800"/>
  </r>
  <r>
    <x v="89"/>
    <x v="0"/>
    <x v="21"/>
    <n v="1370300"/>
  </r>
  <r>
    <x v="89"/>
    <x v="0"/>
    <x v="22"/>
    <n v="1107600"/>
  </r>
  <r>
    <x v="89"/>
    <x v="0"/>
    <x v="23"/>
    <n v="1025200"/>
  </r>
  <r>
    <x v="89"/>
    <x v="0"/>
    <x v="24"/>
    <n v="739400"/>
  </r>
  <r>
    <x v="89"/>
    <x v="0"/>
    <x v="6"/>
    <n v="573400"/>
  </r>
  <r>
    <x v="90"/>
    <x v="0"/>
    <x v="0"/>
    <n v="342400"/>
  </r>
  <r>
    <x v="90"/>
    <x v="0"/>
    <x v="1"/>
    <n v="1327600"/>
  </r>
  <r>
    <x v="90"/>
    <x v="0"/>
    <x v="2"/>
    <n v="1565600"/>
  </r>
  <r>
    <x v="90"/>
    <x v="0"/>
    <x v="3"/>
    <n v="1484700"/>
  </r>
  <r>
    <x v="90"/>
    <x v="0"/>
    <x v="4"/>
    <n v="1586500"/>
  </r>
  <r>
    <x v="90"/>
    <x v="0"/>
    <x v="5"/>
    <n v="1940600"/>
  </r>
  <r>
    <x v="90"/>
    <x v="0"/>
    <x v="13"/>
    <n v="2083300"/>
  </r>
  <r>
    <x v="90"/>
    <x v="0"/>
    <x v="14"/>
    <n v="1859300"/>
  </r>
  <r>
    <x v="90"/>
    <x v="0"/>
    <x v="15"/>
    <n v="1672800"/>
  </r>
  <r>
    <x v="90"/>
    <x v="0"/>
    <x v="16"/>
    <n v="1844500"/>
  </r>
  <r>
    <x v="90"/>
    <x v="0"/>
    <x v="17"/>
    <n v="1559200"/>
  </r>
  <r>
    <x v="90"/>
    <x v="0"/>
    <x v="18"/>
    <n v="1355300"/>
  </r>
  <r>
    <x v="90"/>
    <x v="0"/>
    <x v="19"/>
    <n v="1293400"/>
  </r>
  <r>
    <x v="90"/>
    <x v="0"/>
    <x v="20"/>
    <n v="1319400"/>
  </r>
  <r>
    <x v="90"/>
    <x v="0"/>
    <x v="21"/>
    <n v="1326500"/>
  </r>
  <r>
    <x v="90"/>
    <x v="0"/>
    <x v="22"/>
    <n v="1152600"/>
  </r>
  <r>
    <x v="90"/>
    <x v="0"/>
    <x v="23"/>
    <n v="1014800"/>
  </r>
  <r>
    <x v="90"/>
    <x v="0"/>
    <x v="24"/>
    <n v="745800"/>
  </r>
  <r>
    <x v="90"/>
    <x v="0"/>
    <x v="6"/>
    <n v="592500"/>
  </r>
  <r>
    <x v="91"/>
    <x v="0"/>
    <x v="0"/>
    <n v="338100"/>
  </r>
  <r>
    <x v="91"/>
    <x v="0"/>
    <x v="1"/>
    <n v="1343200"/>
  </r>
  <r>
    <x v="91"/>
    <x v="0"/>
    <x v="2"/>
    <n v="1584200"/>
  </r>
  <r>
    <x v="91"/>
    <x v="0"/>
    <x v="3"/>
    <n v="1518100"/>
  </r>
  <r>
    <x v="91"/>
    <x v="0"/>
    <x v="4"/>
    <n v="1510200"/>
  </r>
  <r>
    <x v="91"/>
    <x v="0"/>
    <x v="5"/>
    <n v="1895500"/>
  </r>
  <r>
    <x v="91"/>
    <x v="0"/>
    <x v="13"/>
    <n v="2082800"/>
  </r>
  <r>
    <x v="91"/>
    <x v="0"/>
    <x v="14"/>
    <n v="1910200"/>
  </r>
  <r>
    <x v="91"/>
    <x v="0"/>
    <x v="15"/>
    <n v="1694700"/>
  </r>
  <r>
    <x v="91"/>
    <x v="0"/>
    <x v="16"/>
    <n v="1755000"/>
  </r>
  <r>
    <x v="91"/>
    <x v="0"/>
    <x v="17"/>
    <n v="1693800"/>
  </r>
  <r>
    <x v="91"/>
    <x v="0"/>
    <x v="18"/>
    <n v="1362500"/>
  </r>
  <r>
    <x v="91"/>
    <x v="0"/>
    <x v="19"/>
    <n v="1296300"/>
  </r>
  <r>
    <x v="91"/>
    <x v="0"/>
    <x v="20"/>
    <n v="1305800"/>
  </r>
  <r>
    <x v="91"/>
    <x v="0"/>
    <x v="21"/>
    <n v="1293500"/>
  </r>
  <r>
    <x v="91"/>
    <x v="0"/>
    <x v="22"/>
    <n v="1195900"/>
  </r>
  <r>
    <x v="91"/>
    <x v="0"/>
    <x v="23"/>
    <n v="986700"/>
  </r>
  <r>
    <x v="91"/>
    <x v="0"/>
    <x v="24"/>
    <n v="751400"/>
  </r>
  <r>
    <x v="91"/>
    <x v="0"/>
    <x v="6"/>
    <n v="614100"/>
  </r>
  <r>
    <x v="81"/>
    <x v="1"/>
    <x v="0"/>
    <n v="317700"/>
  </r>
  <r>
    <x v="81"/>
    <x v="1"/>
    <x v="1"/>
    <n v="1252200"/>
  </r>
  <r>
    <x v="81"/>
    <x v="1"/>
    <x v="2"/>
    <n v="1556900"/>
  </r>
  <r>
    <x v="81"/>
    <x v="1"/>
    <x v="3"/>
    <n v="1941800"/>
  </r>
  <r>
    <x v="81"/>
    <x v="1"/>
    <x v="4"/>
    <n v="2127800"/>
  </r>
  <r>
    <x v="81"/>
    <x v="1"/>
    <x v="5"/>
    <n v="1926800"/>
  </r>
  <r>
    <x v="81"/>
    <x v="1"/>
    <x v="13"/>
    <n v="1700100"/>
  </r>
  <r>
    <x v="81"/>
    <x v="1"/>
    <x v="14"/>
    <n v="1763500"/>
  </r>
  <r>
    <x v="81"/>
    <x v="1"/>
    <x v="15"/>
    <n v="1731500"/>
  </r>
  <r>
    <x v="81"/>
    <x v="1"/>
    <x v="16"/>
    <n v="1418700"/>
  </r>
  <r>
    <x v="81"/>
    <x v="1"/>
    <x v="17"/>
    <n v="1369500"/>
  </r>
  <r>
    <x v="81"/>
    <x v="1"/>
    <x v="18"/>
    <n v="1382200"/>
  </r>
  <r>
    <x v="81"/>
    <x v="1"/>
    <x v="19"/>
    <n v="1383100"/>
  </r>
  <r>
    <x v="81"/>
    <x v="1"/>
    <x v="20"/>
    <n v="1277700"/>
  </r>
  <r>
    <x v="81"/>
    <x v="1"/>
    <x v="21"/>
    <n v="1090000"/>
  </r>
  <r>
    <x v="81"/>
    <x v="1"/>
    <x v="22"/>
    <n v="899700"/>
  </r>
  <r>
    <x v="81"/>
    <x v="1"/>
    <x v="23"/>
    <n v="578000"/>
  </r>
  <r>
    <x v="81"/>
    <x v="1"/>
    <x v="24"/>
    <n v="274200"/>
  </r>
  <r>
    <x v="81"/>
    <x v="1"/>
    <x v="6"/>
    <n v="128300"/>
  </r>
  <r>
    <x v="82"/>
    <x v="1"/>
    <x v="0"/>
    <n v="319100"/>
  </r>
  <r>
    <x v="82"/>
    <x v="1"/>
    <x v="1"/>
    <n v="1278100"/>
  </r>
  <r>
    <x v="82"/>
    <x v="1"/>
    <x v="2"/>
    <n v="1499900"/>
  </r>
  <r>
    <x v="82"/>
    <x v="1"/>
    <x v="3"/>
    <n v="1882500"/>
  </r>
  <r>
    <x v="82"/>
    <x v="1"/>
    <x v="4"/>
    <n v="2111900"/>
  </r>
  <r>
    <x v="82"/>
    <x v="1"/>
    <x v="5"/>
    <n v="1976000"/>
  </r>
  <r>
    <x v="82"/>
    <x v="1"/>
    <x v="13"/>
    <n v="1718100"/>
  </r>
  <r>
    <x v="82"/>
    <x v="1"/>
    <x v="14"/>
    <n v="1710600"/>
  </r>
  <r>
    <x v="82"/>
    <x v="1"/>
    <x v="15"/>
    <n v="1796000"/>
  </r>
  <r>
    <x v="82"/>
    <x v="1"/>
    <x v="16"/>
    <n v="1443200"/>
  </r>
  <r>
    <x v="82"/>
    <x v="1"/>
    <x v="17"/>
    <n v="1383300"/>
  </r>
  <r>
    <x v="82"/>
    <x v="1"/>
    <x v="18"/>
    <n v="1367500"/>
  </r>
  <r>
    <x v="82"/>
    <x v="1"/>
    <x v="19"/>
    <n v="1363800"/>
  </r>
  <r>
    <x v="82"/>
    <x v="1"/>
    <x v="20"/>
    <n v="1335900"/>
  </r>
  <r>
    <x v="82"/>
    <x v="1"/>
    <x v="21"/>
    <n v="1030800"/>
  </r>
  <r>
    <x v="82"/>
    <x v="1"/>
    <x v="22"/>
    <n v="903800"/>
  </r>
  <r>
    <x v="82"/>
    <x v="1"/>
    <x v="23"/>
    <n v="592100"/>
  </r>
  <r>
    <x v="82"/>
    <x v="1"/>
    <x v="24"/>
    <n v="289400"/>
  </r>
  <r>
    <x v="82"/>
    <x v="1"/>
    <x v="6"/>
    <n v="131100"/>
  </r>
  <r>
    <x v="83"/>
    <x v="1"/>
    <x v="0"/>
    <n v="318400"/>
  </r>
  <r>
    <x v="83"/>
    <x v="1"/>
    <x v="1"/>
    <n v="1283800"/>
  </r>
  <r>
    <x v="83"/>
    <x v="1"/>
    <x v="2"/>
    <n v="1495600"/>
  </r>
  <r>
    <x v="83"/>
    <x v="1"/>
    <x v="3"/>
    <n v="1804000"/>
  </r>
  <r>
    <x v="83"/>
    <x v="1"/>
    <x v="4"/>
    <n v="2063600"/>
  </r>
  <r>
    <x v="83"/>
    <x v="1"/>
    <x v="5"/>
    <n v="2043300"/>
  </r>
  <r>
    <x v="83"/>
    <x v="1"/>
    <x v="13"/>
    <n v="1757300"/>
  </r>
  <r>
    <x v="83"/>
    <x v="1"/>
    <x v="14"/>
    <n v="1689300"/>
  </r>
  <r>
    <x v="83"/>
    <x v="1"/>
    <x v="15"/>
    <n v="1827000"/>
  </r>
  <r>
    <x v="83"/>
    <x v="1"/>
    <x v="16"/>
    <n v="1484900"/>
  </r>
  <r>
    <x v="83"/>
    <x v="1"/>
    <x v="17"/>
    <n v="1399000"/>
  </r>
  <r>
    <x v="83"/>
    <x v="1"/>
    <x v="18"/>
    <n v="1351100"/>
  </r>
  <r>
    <x v="83"/>
    <x v="1"/>
    <x v="19"/>
    <n v="1348400"/>
  </r>
  <r>
    <x v="83"/>
    <x v="1"/>
    <x v="20"/>
    <n v="1382800"/>
  </r>
  <r>
    <x v="83"/>
    <x v="1"/>
    <x v="21"/>
    <n v="981700"/>
  </r>
  <r>
    <x v="83"/>
    <x v="1"/>
    <x v="22"/>
    <n v="908600"/>
  </r>
  <r>
    <x v="83"/>
    <x v="1"/>
    <x v="23"/>
    <n v="605900"/>
  </r>
  <r>
    <x v="83"/>
    <x v="1"/>
    <x v="24"/>
    <n v="304600"/>
  </r>
  <r>
    <x v="83"/>
    <x v="1"/>
    <x v="6"/>
    <n v="135400"/>
  </r>
  <r>
    <x v="84"/>
    <x v="1"/>
    <x v="0"/>
    <n v="332000"/>
  </r>
  <r>
    <x v="84"/>
    <x v="1"/>
    <x v="1"/>
    <n v="1278300"/>
  </r>
  <r>
    <x v="84"/>
    <x v="1"/>
    <x v="2"/>
    <n v="1516400"/>
  </r>
  <r>
    <x v="84"/>
    <x v="1"/>
    <x v="3"/>
    <n v="1732400"/>
  </r>
  <r>
    <x v="84"/>
    <x v="1"/>
    <x v="4"/>
    <n v="2016400"/>
  </r>
  <r>
    <x v="84"/>
    <x v="1"/>
    <x v="5"/>
    <n v="2088700"/>
  </r>
  <r>
    <x v="84"/>
    <x v="1"/>
    <x v="13"/>
    <n v="1808200"/>
  </r>
  <r>
    <x v="84"/>
    <x v="1"/>
    <x v="14"/>
    <n v="1675800"/>
  </r>
  <r>
    <x v="84"/>
    <x v="1"/>
    <x v="15"/>
    <n v="1845100"/>
  </r>
  <r>
    <x v="84"/>
    <x v="1"/>
    <x v="16"/>
    <n v="1526500"/>
  </r>
  <r>
    <x v="84"/>
    <x v="1"/>
    <x v="17"/>
    <n v="1405700"/>
  </r>
  <r>
    <x v="84"/>
    <x v="1"/>
    <x v="18"/>
    <n v="1341600"/>
  </r>
  <r>
    <x v="84"/>
    <x v="1"/>
    <x v="19"/>
    <n v="1338600"/>
  </r>
  <r>
    <x v="84"/>
    <x v="1"/>
    <x v="20"/>
    <n v="1334400"/>
  </r>
  <r>
    <x v="84"/>
    <x v="1"/>
    <x v="21"/>
    <n v="1028200"/>
  </r>
  <r>
    <x v="84"/>
    <x v="1"/>
    <x v="22"/>
    <n v="909700"/>
  </r>
  <r>
    <x v="84"/>
    <x v="1"/>
    <x v="23"/>
    <n v="617300"/>
  </r>
  <r>
    <x v="84"/>
    <x v="1"/>
    <x v="24"/>
    <n v="316700"/>
  </r>
  <r>
    <x v="84"/>
    <x v="1"/>
    <x v="6"/>
    <n v="142300"/>
  </r>
  <r>
    <x v="85"/>
    <x v="1"/>
    <x v="0"/>
    <n v="335500"/>
  </r>
  <r>
    <x v="85"/>
    <x v="1"/>
    <x v="1"/>
    <n v="1291700"/>
  </r>
  <r>
    <x v="85"/>
    <x v="1"/>
    <x v="2"/>
    <n v="1547000"/>
  </r>
  <r>
    <x v="85"/>
    <x v="1"/>
    <x v="3"/>
    <n v="1646900"/>
  </r>
  <r>
    <x v="85"/>
    <x v="1"/>
    <x v="4"/>
    <n v="1983500"/>
  </r>
  <r>
    <x v="85"/>
    <x v="1"/>
    <x v="5"/>
    <n v="2099200"/>
  </r>
  <r>
    <x v="85"/>
    <x v="1"/>
    <x v="13"/>
    <n v="1863500"/>
  </r>
  <r>
    <x v="85"/>
    <x v="1"/>
    <x v="14"/>
    <n v="1678800"/>
  </r>
  <r>
    <x v="85"/>
    <x v="1"/>
    <x v="15"/>
    <n v="1849500"/>
  </r>
  <r>
    <x v="85"/>
    <x v="1"/>
    <x v="16"/>
    <n v="1588600"/>
  </r>
  <r>
    <x v="85"/>
    <x v="1"/>
    <x v="17"/>
    <n v="1390600"/>
  </r>
  <r>
    <x v="85"/>
    <x v="1"/>
    <x v="18"/>
    <n v="1334000"/>
  </r>
  <r>
    <x v="85"/>
    <x v="1"/>
    <x v="19"/>
    <n v="1328400"/>
  </r>
  <r>
    <x v="85"/>
    <x v="1"/>
    <x v="20"/>
    <n v="1302500"/>
  </r>
  <r>
    <x v="85"/>
    <x v="1"/>
    <x v="21"/>
    <n v="1071500"/>
  </r>
  <r>
    <x v="85"/>
    <x v="1"/>
    <x v="22"/>
    <n v="900300"/>
  </r>
  <r>
    <x v="85"/>
    <x v="1"/>
    <x v="23"/>
    <n v="624100"/>
  </r>
  <r>
    <x v="85"/>
    <x v="1"/>
    <x v="24"/>
    <n v="326400"/>
  </r>
  <r>
    <x v="85"/>
    <x v="1"/>
    <x v="6"/>
    <n v="149400"/>
  </r>
  <r>
    <x v="86"/>
    <x v="1"/>
    <x v="0"/>
    <n v="339200"/>
  </r>
  <r>
    <x v="86"/>
    <x v="1"/>
    <x v="1"/>
    <n v="1308400"/>
  </r>
  <r>
    <x v="86"/>
    <x v="1"/>
    <x v="2"/>
    <n v="1583000"/>
  </r>
  <r>
    <x v="86"/>
    <x v="1"/>
    <x v="3"/>
    <n v="1567500"/>
  </r>
  <r>
    <x v="86"/>
    <x v="1"/>
    <x v="4"/>
    <n v="1937500"/>
  </r>
  <r>
    <x v="86"/>
    <x v="1"/>
    <x v="5"/>
    <n v="2101400"/>
  </r>
  <r>
    <x v="86"/>
    <x v="1"/>
    <x v="13"/>
    <n v="1918500"/>
  </r>
  <r>
    <x v="86"/>
    <x v="1"/>
    <x v="14"/>
    <n v="1696700"/>
  </r>
  <r>
    <x v="86"/>
    <x v="1"/>
    <x v="15"/>
    <n v="1755200"/>
  </r>
  <r>
    <x v="86"/>
    <x v="1"/>
    <x v="16"/>
    <n v="1720800"/>
  </r>
  <r>
    <x v="86"/>
    <x v="1"/>
    <x v="17"/>
    <n v="1393100"/>
  </r>
  <r>
    <x v="86"/>
    <x v="1"/>
    <x v="18"/>
    <n v="1333800"/>
  </r>
  <r>
    <x v="86"/>
    <x v="1"/>
    <x v="19"/>
    <n v="1318300"/>
  </r>
  <r>
    <x v="86"/>
    <x v="1"/>
    <x v="20"/>
    <n v="1273900"/>
  </r>
  <r>
    <x v="86"/>
    <x v="1"/>
    <x v="21"/>
    <n v="1119600"/>
  </r>
  <r>
    <x v="86"/>
    <x v="1"/>
    <x v="22"/>
    <n v="873600"/>
  </r>
  <r>
    <x v="86"/>
    <x v="1"/>
    <x v="23"/>
    <n v="633700"/>
  </r>
  <r>
    <x v="86"/>
    <x v="1"/>
    <x v="24"/>
    <n v="337900"/>
  </r>
  <r>
    <x v="86"/>
    <x v="1"/>
    <x v="6"/>
    <n v="158500"/>
  </r>
  <r>
    <x v="87"/>
    <x v="1"/>
    <x v="0"/>
    <n v="350000"/>
  </r>
  <r>
    <x v="87"/>
    <x v="1"/>
    <x v="1"/>
    <n v="1327000"/>
  </r>
  <r>
    <x v="87"/>
    <x v="1"/>
    <x v="2"/>
    <n v="1613900"/>
  </r>
  <r>
    <x v="87"/>
    <x v="1"/>
    <x v="3"/>
    <n v="1513600"/>
  </r>
  <r>
    <x v="87"/>
    <x v="1"/>
    <x v="4"/>
    <n v="1883800"/>
  </r>
  <r>
    <x v="87"/>
    <x v="1"/>
    <x v="5"/>
    <n v="2078900"/>
  </r>
  <r>
    <x v="87"/>
    <x v="1"/>
    <x v="13"/>
    <n v="1968600"/>
  </r>
  <r>
    <x v="87"/>
    <x v="1"/>
    <x v="14"/>
    <n v="1717600"/>
  </r>
  <r>
    <x v="87"/>
    <x v="1"/>
    <x v="15"/>
    <n v="1703200"/>
  </r>
  <r>
    <x v="87"/>
    <x v="1"/>
    <x v="16"/>
    <n v="1788300"/>
  </r>
  <r>
    <x v="87"/>
    <x v="1"/>
    <x v="17"/>
    <n v="1418300"/>
  </r>
  <r>
    <x v="87"/>
    <x v="1"/>
    <x v="18"/>
    <n v="1348200"/>
  </r>
  <r>
    <x v="87"/>
    <x v="1"/>
    <x v="19"/>
    <n v="1306000"/>
  </r>
  <r>
    <x v="87"/>
    <x v="1"/>
    <x v="20"/>
    <n v="1258500"/>
  </r>
  <r>
    <x v="87"/>
    <x v="1"/>
    <x v="21"/>
    <n v="1171500"/>
  </r>
  <r>
    <x v="87"/>
    <x v="1"/>
    <x v="22"/>
    <n v="827600"/>
  </r>
  <r>
    <x v="87"/>
    <x v="1"/>
    <x v="23"/>
    <n v="641900"/>
  </r>
  <r>
    <x v="87"/>
    <x v="1"/>
    <x v="24"/>
    <n v="349100"/>
  </r>
  <r>
    <x v="87"/>
    <x v="1"/>
    <x v="6"/>
    <n v="167500"/>
  </r>
  <r>
    <x v="88"/>
    <x v="1"/>
    <x v="0"/>
    <n v="346700"/>
  </r>
  <r>
    <x v="88"/>
    <x v="1"/>
    <x v="1"/>
    <n v="1358400"/>
  </r>
  <r>
    <x v="88"/>
    <x v="1"/>
    <x v="2"/>
    <n v="1618800"/>
  </r>
  <r>
    <x v="88"/>
    <x v="1"/>
    <x v="3"/>
    <n v="1509600"/>
  </r>
  <r>
    <x v="88"/>
    <x v="1"/>
    <x v="4"/>
    <n v="1810300"/>
  </r>
  <r>
    <x v="88"/>
    <x v="1"/>
    <x v="5"/>
    <n v="2044600"/>
  </r>
  <r>
    <x v="88"/>
    <x v="1"/>
    <x v="13"/>
    <n v="2020900"/>
  </r>
  <r>
    <x v="88"/>
    <x v="1"/>
    <x v="14"/>
    <n v="1748700"/>
  </r>
  <r>
    <x v="88"/>
    <x v="1"/>
    <x v="15"/>
    <n v="1678300"/>
  </r>
  <r>
    <x v="88"/>
    <x v="1"/>
    <x v="16"/>
    <n v="1816000"/>
  </r>
  <r>
    <x v="88"/>
    <x v="1"/>
    <x v="17"/>
    <n v="1460100"/>
  </r>
  <r>
    <x v="88"/>
    <x v="1"/>
    <x v="18"/>
    <n v="1364000"/>
  </r>
  <r>
    <x v="88"/>
    <x v="1"/>
    <x v="19"/>
    <n v="1293600"/>
  </r>
  <r>
    <x v="88"/>
    <x v="1"/>
    <x v="20"/>
    <n v="1247100"/>
  </r>
  <r>
    <x v="88"/>
    <x v="1"/>
    <x v="21"/>
    <n v="1213600"/>
  </r>
  <r>
    <x v="88"/>
    <x v="1"/>
    <x v="22"/>
    <n v="790900"/>
  </r>
  <r>
    <x v="88"/>
    <x v="1"/>
    <x v="23"/>
    <n v="650600"/>
  </r>
  <r>
    <x v="88"/>
    <x v="1"/>
    <x v="24"/>
    <n v="360500"/>
  </r>
  <r>
    <x v="88"/>
    <x v="1"/>
    <x v="6"/>
    <n v="176800"/>
  </r>
  <r>
    <x v="89"/>
    <x v="1"/>
    <x v="0"/>
    <n v="349300"/>
  </r>
  <r>
    <x v="89"/>
    <x v="1"/>
    <x v="1"/>
    <n v="1370900"/>
  </r>
  <r>
    <x v="89"/>
    <x v="1"/>
    <x v="2"/>
    <n v="1626100"/>
  </r>
  <r>
    <x v="89"/>
    <x v="1"/>
    <x v="3"/>
    <n v="1529100"/>
  </r>
  <r>
    <x v="89"/>
    <x v="1"/>
    <x v="4"/>
    <n v="1745600"/>
  </r>
  <r>
    <x v="89"/>
    <x v="1"/>
    <x v="5"/>
    <n v="2006200"/>
  </r>
  <r>
    <x v="89"/>
    <x v="1"/>
    <x v="13"/>
    <n v="2064300"/>
  </r>
  <r>
    <x v="89"/>
    <x v="1"/>
    <x v="14"/>
    <n v="1793200"/>
  </r>
  <r>
    <x v="89"/>
    <x v="1"/>
    <x v="15"/>
    <n v="1663200"/>
  </r>
  <r>
    <x v="89"/>
    <x v="1"/>
    <x v="16"/>
    <n v="1833800"/>
  </r>
  <r>
    <x v="89"/>
    <x v="1"/>
    <x v="17"/>
    <n v="1501000"/>
  </r>
  <r>
    <x v="89"/>
    <x v="1"/>
    <x v="18"/>
    <n v="1370400"/>
  </r>
  <r>
    <x v="89"/>
    <x v="1"/>
    <x v="19"/>
    <n v="1285900"/>
  </r>
  <r>
    <x v="89"/>
    <x v="1"/>
    <x v="20"/>
    <n v="1240600"/>
  </r>
  <r>
    <x v="89"/>
    <x v="1"/>
    <x v="21"/>
    <n v="1173200"/>
  </r>
  <r>
    <x v="89"/>
    <x v="1"/>
    <x v="22"/>
    <n v="836800"/>
  </r>
  <r>
    <x v="89"/>
    <x v="1"/>
    <x v="23"/>
    <n v="654800"/>
  </r>
  <r>
    <x v="89"/>
    <x v="1"/>
    <x v="24"/>
    <n v="368600"/>
  </r>
  <r>
    <x v="89"/>
    <x v="1"/>
    <x v="6"/>
    <n v="183800"/>
  </r>
  <r>
    <x v="90"/>
    <x v="1"/>
    <x v="0"/>
    <n v="355700"/>
  </r>
  <r>
    <x v="90"/>
    <x v="1"/>
    <x v="1"/>
    <n v="1385400"/>
  </r>
  <r>
    <x v="90"/>
    <x v="1"/>
    <x v="2"/>
    <n v="1640000"/>
  </r>
  <r>
    <x v="90"/>
    <x v="1"/>
    <x v="3"/>
    <n v="1557600"/>
  </r>
  <r>
    <x v="90"/>
    <x v="1"/>
    <x v="4"/>
    <n v="1667200"/>
  </r>
  <r>
    <x v="90"/>
    <x v="1"/>
    <x v="5"/>
    <n v="1970800"/>
  </r>
  <r>
    <x v="90"/>
    <x v="1"/>
    <x v="13"/>
    <n v="2070800"/>
  </r>
  <r>
    <x v="90"/>
    <x v="1"/>
    <x v="14"/>
    <n v="1848800"/>
  </r>
  <r>
    <x v="90"/>
    <x v="1"/>
    <x v="15"/>
    <n v="1665200"/>
  </r>
  <r>
    <x v="90"/>
    <x v="1"/>
    <x v="16"/>
    <n v="1839300"/>
  </r>
  <r>
    <x v="90"/>
    <x v="1"/>
    <x v="17"/>
    <n v="1562900"/>
  </r>
  <r>
    <x v="90"/>
    <x v="1"/>
    <x v="18"/>
    <n v="1356300"/>
  </r>
  <r>
    <x v="90"/>
    <x v="1"/>
    <x v="19"/>
    <n v="1279700"/>
  </r>
  <r>
    <x v="90"/>
    <x v="1"/>
    <x v="20"/>
    <n v="1233800"/>
  </r>
  <r>
    <x v="90"/>
    <x v="1"/>
    <x v="21"/>
    <n v="1148900"/>
  </r>
  <r>
    <x v="90"/>
    <x v="1"/>
    <x v="22"/>
    <n v="878500"/>
  </r>
  <r>
    <x v="90"/>
    <x v="1"/>
    <x v="23"/>
    <n v="652800"/>
  </r>
  <r>
    <x v="90"/>
    <x v="1"/>
    <x v="24"/>
    <n v="376600"/>
  </r>
  <r>
    <x v="90"/>
    <x v="1"/>
    <x v="6"/>
    <n v="191300"/>
  </r>
  <r>
    <x v="91"/>
    <x v="1"/>
    <x v="0"/>
    <n v="355400"/>
  </r>
  <r>
    <x v="91"/>
    <x v="1"/>
    <x v="1"/>
    <n v="1399400"/>
  </r>
  <r>
    <x v="91"/>
    <x v="1"/>
    <x v="2"/>
    <n v="1656000"/>
  </r>
  <r>
    <x v="91"/>
    <x v="1"/>
    <x v="3"/>
    <n v="1583000"/>
  </r>
  <r>
    <x v="91"/>
    <x v="1"/>
    <x v="4"/>
    <n v="1569800"/>
  </r>
  <r>
    <x v="91"/>
    <x v="1"/>
    <x v="5"/>
    <n v="1920900"/>
  </r>
  <r>
    <x v="91"/>
    <x v="1"/>
    <x v="13"/>
    <n v="2071200"/>
  </r>
  <r>
    <x v="91"/>
    <x v="1"/>
    <x v="14"/>
    <n v="1899700"/>
  </r>
  <r>
    <x v="91"/>
    <x v="1"/>
    <x v="15"/>
    <n v="1682900"/>
  </r>
  <r>
    <x v="91"/>
    <x v="1"/>
    <x v="16"/>
    <n v="1743300"/>
  </r>
  <r>
    <x v="91"/>
    <x v="1"/>
    <x v="17"/>
    <n v="1695200"/>
  </r>
  <r>
    <x v="91"/>
    <x v="1"/>
    <x v="18"/>
    <n v="1360900"/>
  </r>
  <r>
    <x v="91"/>
    <x v="1"/>
    <x v="19"/>
    <n v="1282500"/>
  </r>
  <r>
    <x v="91"/>
    <x v="1"/>
    <x v="20"/>
    <n v="1227900"/>
  </r>
  <r>
    <x v="91"/>
    <x v="1"/>
    <x v="21"/>
    <n v="1129000"/>
  </r>
  <r>
    <x v="91"/>
    <x v="1"/>
    <x v="22"/>
    <n v="920400"/>
  </r>
  <r>
    <x v="91"/>
    <x v="1"/>
    <x v="23"/>
    <n v="637800"/>
  </r>
  <r>
    <x v="91"/>
    <x v="1"/>
    <x v="24"/>
    <n v="385300"/>
  </r>
  <r>
    <x v="91"/>
    <x v="1"/>
    <x v="6"/>
    <n v="201600"/>
  </r>
  <r>
    <x v="92"/>
    <x v="0"/>
    <x v="0"/>
    <n v="325800"/>
  </r>
  <r>
    <x v="92"/>
    <x v="0"/>
    <x v="1"/>
    <n v="1343600"/>
  </r>
  <r>
    <x v="92"/>
    <x v="0"/>
    <x v="2"/>
    <n v="1611900"/>
  </r>
  <r>
    <x v="92"/>
    <x v="0"/>
    <x v="3"/>
    <n v="1549400"/>
  </r>
  <r>
    <x v="92"/>
    <x v="0"/>
    <x v="4"/>
    <n v="1458900"/>
  </r>
  <r>
    <x v="92"/>
    <x v="0"/>
    <x v="5"/>
    <n v="1842600"/>
  </r>
  <r>
    <x v="92"/>
    <x v="0"/>
    <x v="13"/>
    <n v="2062900"/>
  </r>
  <r>
    <x v="92"/>
    <x v="0"/>
    <x v="14"/>
    <n v="1956200"/>
  </r>
  <r>
    <x v="92"/>
    <x v="0"/>
    <x v="15"/>
    <n v="1723700"/>
  </r>
  <r>
    <x v="92"/>
    <x v="0"/>
    <x v="16"/>
    <n v="1704600"/>
  </r>
  <r>
    <x v="92"/>
    <x v="0"/>
    <x v="17"/>
    <n v="1768900"/>
  </r>
  <r>
    <x v="92"/>
    <x v="0"/>
    <x v="18"/>
    <n v="1390800"/>
  </r>
  <r>
    <x v="92"/>
    <x v="0"/>
    <x v="19"/>
    <n v="1312300"/>
  </r>
  <r>
    <x v="92"/>
    <x v="0"/>
    <x v="20"/>
    <n v="1291200"/>
  </r>
  <r>
    <x v="92"/>
    <x v="0"/>
    <x v="21"/>
    <n v="1271000"/>
  </r>
  <r>
    <x v="92"/>
    <x v="0"/>
    <x v="22"/>
    <n v="1247300"/>
  </r>
  <r>
    <x v="92"/>
    <x v="0"/>
    <x v="23"/>
    <n v="935900"/>
  </r>
  <r>
    <x v="92"/>
    <x v="0"/>
    <x v="24"/>
    <n v="756900"/>
  </r>
  <r>
    <x v="92"/>
    <x v="0"/>
    <x v="6"/>
    <n v="639400"/>
  </r>
  <r>
    <x v="92"/>
    <x v="1"/>
    <x v="0"/>
    <n v="342600"/>
  </r>
  <r>
    <x v="92"/>
    <x v="1"/>
    <x v="1"/>
    <n v="1402700"/>
  </r>
  <r>
    <x v="92"/>
    <x v="1"/>
    <x v="2"/>
    <n v="1685800"/>
  </r>
  <r>
    <x v="92"/>
    <x v="1"/>
    <x v="3"/>
    <n v="1619400"/>
  </r>
  <r>
    <x v="92"/>
    <x v="1"/>
    <x v="4"/>
    <n v="1513600"/>
  </r>
  <r>
    <x v="92"/>
    <x v="1"/>
    <x v="5"/>
    <n v="1874600"/>
  </r>
  <r>
    <x v="92"/>
    <x v="1"/>
    <x v="13"/>
    <n v="2051400"/>
  </r>
  <r>
    <x v="92"/>
    <x v="1"/>
    <x v="14"/>
    <n v="1940300"/>
  </r>
  <r>
    <x v="92"/>
    <x v="1"/>
    <x v="15"/>
    <n v="1706100"/>
  </r>
  <r>
    <x v="92"/>
    <x v="1"/>
    <x v="16"/>
    <n v="1690200"/>
  </r>
  <r>
    <x v="92"/>
    <x v="1"/>
    <x v="17"/>
    <n v="1762700"/>
  </r>
  <r>
    <x v="92"/>
    <x v="1"/>
    <x v="18"/>
    <n v="1386300"/>
  </r>
  <r>
    <x v="92"/>
    <x v="1"/>
    <x v="19"/>
    <n v="1299300"/>
  </r>
  <r>
    <x v="92"/>
    <x v="1"/>
    <x v="20"/>
    <n v="1219100"/>
  </r>
  <r>
    <x v="92"/>
    <x v="1"/>
    <x v="21"/>
    <n v="1117500"/>
  </r>
  <r>
    <x v="92"/>
    <x v="1"/>
    <x v="22"/>
    <n v="965400"/>
  </r>
  <r>
    <x v="92"/>
    <x v="1"/>
    <x v="23"/>
    <n v="606200"/>
  </r>
  <r>
    <x v="92"/>
    <x v="1"/>
    <x v="24"/>
    <n v="395100"/>
  </r>
  <r>
    <x v="92"/>
    <x v="1"/>
    <x v="6"/>
    <n v="214500"/>
  </r>
  <r>
    <x v="93"/>
    <x v="0"/>
    <x v="0"/>
    <n v="325100"/>
  </r>
  <r>
    <x v="93"/>
    <x v="0"/>
    <x v="1"/>
    <n v="1336800"/>
  </r>
  <r>
    <x v="93"/>
    <x v="0"/>
    <x v="2"/>
    <n v="1636000"/>
  </r>
  <r>
    <x v="93"/>
    <x v="0"/>
    <x v="3"/>
    <n v="1555800"/>
  </r>
  <r>
    <x v="93"/>
    <x v="0"/>
    <x v="4"/>
    <n v="1454100"/>
  </r>
  <r>
    <x v="93"/>
    <x v="0"/>
    <x v="5"/>
    <n v="1774300"/>
  </r>
  <r>
    <x v="93"/>
    <x v="0"/>
    <x v="13"/>
    <n v="2041300"/>
  </r>
  <r>
    <x v="93"/>
    <x v="0"/>
    <x v="14"/>
    <n v="2008000"/>
  </r>
  <r>
    <x v="93"/>
    <x v="0"/>
    <x v="15"/>
    <n v="1760000"/>
  </r>
  <r>
    <x v="93"/>
    <x v="0"/>
    <x v="16"/>
    <n v="1683300"/>
  </r>
  <r>
    <x v="93"/>
    <x v="0"/>
    <x v="17"/>
    <n v="1802500"/>
  </r>
  <r>
    <x v="93"/>
    <x v="0"/>
    <x v="18"/>
    <n v="1432700"/>
  </r>
  <r>
    <x v="93"/>
    <x v="0"/>
    <x v="19"/>
    <n v="1332000"/>
  </r>
  <r>
    <x v="93"/>
    <x v="0"/>
    <x v="20"/>
    <n v="1273200"/>
  </r>
  <r>
    <x v="93"/>
    <x v="0"/>
    <x v="21"/>
    <n v="1255700"/>
  </r>
  <r>
    <x v="93"/>
    <x v="0"/>
    <x v="22"/>
    <n v="1282900"/>
  </r>
  <r>
    <x v="93"/>
    <x v="0"/>
    <x v="23"/>
    <n v="892700"/>
  </r>
  <r>
    <x v="93"/>
    <x v="0"/>
    <x v="24"/>
    <n v="762900"/>
  </r>
  <r>
    <x v="93"/>
    <x v="0"/>
    <x v="6"/>
    <n v="654000"/>
  </r>
  <r>
    <x v="93"/>
    <x v="1"/>
    <x v="0"/>
    <n v="343000"/>
  </r>
  <r>
    <x v="93"/>
    <x v="1"/>
    <x v="1"/>
    <n v="1398300"/>
  </r>
  <r>
    <x v="93"/>
    <x v="1"/>
    <x v="2"/>
    <n v="1710700"/>
  </r>
  <r>
    <x v="93"/>
    <x v="1"/>
    <x v="3"/>
    <n v="1624300"/>
  </r>
  <r>
    <x v="93"/>
    <x v="1"/>
    <x v="4"/>
    <n v="1503200"/>
  </r>
  <r>
    <x v="93"/>
    <x v="1"/>
    <x v="5"/>
    <n v="1801300"/>
  </r>
  <r>
    <x v="93"/>
    <x v="1"/>
    <x v="13"/>
    <n v="2024000"/>
  </r>
  <r>
    <x v="93"/>
    <x v="1"/>
    <x v="14"/>
    <n v="1985600"/>
  </r>
  <r>
    <x v="93"/>
    <x v="1"/>
    <x v="15"/>
    <n v="1736000"/>
  </r>
  <r>
    <x v="93"/>
    <x v="1"/>
    <x v="16"/>
    <n v="1665400"/>
  </r>
  <r>
    <x v="93"/>
    <x v="1"/>
    <x v="17"/>
    <n v="1791800"/>
  </r>
  <r>
    <x v="93"/>
    <x v="1"/>
    <x v="18"/>
    <n v="1426900"/>
  </r>
  <r>
    <x v="93"/>
    <x v="1"/>
    <x v="19"/>
    <n v="1316700"/>
  </r>
  <r>
    <x v="93"/>
    <x v="1"/>
    <x v="20"/>
    <n v="1210400"/>
  </r>
  <r>
    <x v="93"/>
    <x v="1"/>
    <x v="21"/>
    <n v="1109800"/>
  </r>
  <r>
    <x v="93"/>
    <x v="1"/>
    <x v="22"/>
    <n v="998700"/>
  </r>
  <r>
    <x v="93"/>
    <x v="1"/>
    <x v="23"/>
    <n v="582700"/>
  </r>
  <r>
    <x v="93"/>
    <x v="1"/>
    <x v="24"/>
    <n v="401900"/>
  </r>
  <r>
    <x v="93"/>
    <x v="1"/>
    <x v="6"/>
    <n v="222300"/>
  </r>
  <r>
    <x v="94"/>
    <x v="0"/>
    <x v="0"/>
    <n v="315600"/>
  </r>
  <r>
    <x v="94"/>
    <x v="0"/>
    <x v="1"/>
    <n v="1327300"/>
  </r>
  <r>
    <x v="94"/>
    <x v="0"/>
    <x v="2"/>
    <n v="1650100"/>
  </r>
  <r>
    <x v="94"/>
    <x v="0"/>
    <x v="3"/>
    <n v="1562600"/>
  </r>
  <r>
    <x v="94"/>
    <x v="0"/>
    <x v="4"/>
    <n v="1473800"/>
  </r>
  <r>
    <x v="94"/>
    <x v="0"/>
    <x v="5"/>
    <n v="1712000"/>
  </r>
  <r>
    <x v="94"/>
    <x v="0"/>
    <x v="13"/>
    <n v="2004900"/>
  </r>
  <r>
    <x v="94"/>
    <x v="0"/>
    <x v="14"/>
    <n v="2051000"/>
  </r>
  <r>
    <x v="94"/>
    <x v="0"/>
    <x v="15"/>
    <n v="1802500"/>
  </r>
  <r>
    <x v="94"/>
    <x v="0"/>
    <x v="16"/>
    <n v="1667700"/>
  </r>
  <r>
    <x v="94"/>
    <x v="0"/>
    <x v="17"/>
    <n v="1821800"/>
  </r>
  <r>
    <x v="94"/>
    <x v="0"/>
    <x v="18"/>
    <n v="1479200"/>
  </r>
  <r>
    <x v="94"/>
    <x v="0"/>
    <x v="19"/>
    <n v="1341800"/>
  </r>
  <r>
    <x v="94"/>
    <x v="0"/>
    <x v="20"/>
    <n v="1258900"/>
  </r>
  <r>
    <x v="94"/>
    <x v="0"/>
    <x v="21"/>
    <n v="1247900"/>
  </r>
  <r>
    <x v="94"/>
    <x v="0"/>
    <x v="22"/>
    <n v="1235300"/>
  </r>
  <r>
    <x v="94"/>
    <x v="0"/>
    <x v="23"/>
    <n v="933200"/>
  </r>
  <r>
    <x v="94"/>
    <x v="0"/>
    <x v="24"/>
    <n v="767800"/>
  </r>
  <r>
    <x v="94"/>
    <x v="0"/>
    <x v="6"/>
    <n v="672200"/>
  </r>
  <r>
    <x v="94"/>
    <x v="1"/>
    <x v="0"/>
    <n v="332100"/>
  </r>
  <r>
    <x v="94"/>
    <x v="1"/>
    <x v="1"/>
    <n v="1392200"/>
  </r>
  <r>
    <x v="94"/>
    <x v="1"/>
    <x v="2"/>
    <n v="1724700"/>
  </r>
  <r>
    <x v="94"/>
    <x v="1"/>
    <x v="3"/>
    <n v="1633400"/>
  </r>
  <r>
    <x v="94"/>
    <x v="1"/>
    <x v="4"/>
    <n v="1518800"/>
  </r>
  <r>
    <x v="94"/>
    <x v="1"/>
    <x v="5"/>
    <n v="1737300"/>
  </r>
  <r>
    <x v="94"/>
    <x v="1"/>
    <x v="13"/>
    <n v="1994300"/>
  </r>
  <r>
    <x v="94"/>
    <x v="1"/>
    <x v="14"/>
    <n v="2027900"/>
  </r>
  <r>
    <x v="94"/>
    <x v="1"/>
    <x v="15"/>
    <n v="1781900"/>
  </r>
  <r>
    <x v="94"/>
    <x v="1"/>
    <x v="16"/>
    <n v="1650800"/>
  </r>
  <r>
    <x v="94"/>
    <x v="1"/>
    <x v="17"/>
    <n v="1808500"/>
  </r>
  <r>
    <x v="94"/>
    <x v="1"/>
    <x v="18"/>
    <n v="1471100"/>
  </r>
  <r>
    <x v="94"/>
    <x v="1"/>
    <x v="19"/>
    <n v="1324300"/>
  </r>
  <r>
    <x v="94"/>
    <x v="1"/>
    <x v="20"/>
    <n v="1206700"/>
  </r>
  <r>
    <x v="94"/>
    <x v="1"/>
    <x v="21"/>
    <n v="1107100"/>
  </r>
  <r>
    <x v="94"/>
    <x v="1"/>
    <x v="22"/>
    <n v="971300"/>
  </r>
  <r>
    <x v="94"/>
    <x v="1"/>
    <x v="23"/>
    <n v="623000"/>
  </r>
  <r>
    <x v="94"/>
    <x v="1"/>
    <x v="24"/>
    <n v="407900"/>
  </r>
  <r>
    <x v="94"/>
    <x v="1"/>
    <x v="6"/>
    <n v="233100"/>
  </r>
  <r>
    <x v="95"/>
    <x v="0"/>
    <x v="0"/>
    <n v="309800"/>
  </r>
  <r>
    <x v="95"/>
    <x v="0"/>
    <x v="1"/>
    <n v="1300300"/>
  </r>
  <r>
    <x v="95"/>
    <x v="0"/>
    <x v="2"/>
    <n v="1671000"/>
  </r>
  <r>
    <x v="95"/>
    <x v="0"/>
    <x v="3"/>
    <n v="1571600"/>
  </r>
  <r>
    <x v="95"/>
    <x v="0"/>
    <x v="4"/>
    <n v="1501400"/>
  </r>
  <r>
    <x v="95"/>
    <x v="0"/>
    <x v="5"/>
    <n v="1633000"/>
  </r>
  <r>
    <x v="95"/>
    <x v="0"/>
    <x v="13"/>
    <n v="1979700"/>
  </r>
  <r>
    <x v="95"/>
    <x v="0"/>
    <x v="14"/>
    <n v="2075800"/>
  </r>
  <r>
    <x v="95"/>
    <x v="0"/>
    <x v="15"/>
    <n v="1853900"/>
  </r>
  <r>
    <x v="95"/>
    <x v="0"/>
    <x v="16"/>
    <n v="1673800"/>
  </r>
  <r>
    <x v="95"/>
    <x v="0"/>
    <x v="17"/>
    <n v="1825400"/>
  </r>
  <r>
    <x v="95"/>
    <x v="0"/>
    <x v="18"/>
    <n v="1544400"/>
  </r>
  <r>
    <x v="95"/>
    <x v="0"/>
    <x v="19"/>
    <n v="1333900"/>
  </r>
  <r>
    <x v="95"/>
    <x v="0"/>
    <x v="20"/>
    <n v="1252200"/>
  </r>
  <r>
    <x v="95"/>
    <x v="0"/>
    <x v="21"/>
    <n v="1240200"/>
  </r>
  <r>
    <x v="95"/>
    <x v="0"/>
    <x v="22"/>
    <n v="1196500"/>
  </r>
  <r>
    <x v="95"/>
    <x v="0"/>
    <x v="23"/>
    <n v="975400"/>
  </r>
  <r>
    <x v="95"/>
    <x v="0"/>
    <x v="24"/>
    <n v="758600"/>
  </r>
  <r>
    <x v="95"/>
    <x v="0"/>
    <x v="6"/>
    <n v="683700"/>
  </r>
  <r>
    <x v="95"/>
    <x v="1"/>
    <x v="0"/>
    <n v="326800"/>
  </r>
  <r>
    <x v="95"/>
    <x v="1"/>
    <x v="1"/>
    <n v="1367900"/>
  </r>
  <r>
    <x v="95"/>
    <x v="1"/>
    <x v="2"/>
    <n v="1747300"/>
  </r>
  <r>
    <x v="95"/>
    <x v="1"/>
    <x v="3"/>
    <n v="1645900"/>
  </r>
  <r>
    <x v="95"/>
    <x v="1"/>
    <x v="4"/>
    <n v="1543600"/>
  </r>
  <r>
    <x v="95"/>
    <x v="1"/>
    <x v="5"/>
    <n v="1658300"/>
  </r>
  <r>
    <x v="95"/>
    <x v="1"/>
    <x v="13"/>
    <n v="1969900"/>
  </r>
  <r>
    <x v="95"/>
    <x v="1"/>
    <x v="14"/>
    <n v="2050200"/>
  </r>
  <r>
    <x v="95"/>
    <x v="1"/>
    <x v="15"/>
    <n v="1833700"/>
  </r>
  <r>
    <x v="95"/>
    <x v="1"/>
    <x v="16"/>
    <n v="1655400"/>
  </r>
  <r>
    <x v="95"/>
    <x v="1"/>
    <x v="17"/>
    <n v="1809800"/>
  </r>
  <r>
    <x v="95"/>
    <x v="1"/>
    <x v="18"/>
    <n v="1534200"/>
  </r>
  <r>
    <x v="95"/>
    <x v="1"/>
    <x v="19"/>
    <n v="1314800"/>
  </r>
  <r>
    <x v="95"/>
    <x v="1"/>
    <x v="20"/>
    <n v="1205000"/>
  </r>
  <r>
    <x v="95"/>
    <x v="1"/>
    <x v="21"/>
    <n v="1105600"/>
  </r>
  <r>
    <x v="95"/>
    <x v="1"/>
    <x v="22"/>
    <n v="953600"/>
  </r>
  <r>
    <x v="95"/>
    <x v="1"/>
    <x v="23"/>
    <n v="659900"/>
  </r>
  <r>
    <x v="95"/>
    <x v="1"/>
    <x v="24"/>
    <n v="407300"/>
  </r>
  <r>
    <x v="95"/>
    <x v="1"/>
    <x v="6"/>
    <n v="240500"/>
  </r>
  <r>
    <x v="96"/>
    <x v="0"/>
    <x v="0"/>
    <n v="316300"/>
  </r>
  <r>
    <x v="96"/>
    <x v="0"/>
    <x v="1"/>
    <n v="1273000"/>
  </r>
  <r>
    <x v="96"/>
    <x v="0"/>
    <x v="2"/>
    <n v="1680400"/>
  </r>
  <r>
    <x v="96"/>
    <x v="0"/>
    <x v="3"/>
    <n v="1590900"/>
  </r>
  <r>
    <x v="96"/>
    <x v="0"/>
    <x v="4"/>
    <n v="1534300"/>
  </r>
  <r>
    <x v="96"/>
    <x v="0"/>
    <x v="5"/>
    <n v="1560600"/>
  </r>
  <r>
    <x v="96"/>
    <x v="0"/>
    <x v="13"/>
    <n v="1945200"/>
  </r>
  <r>
    <x v="96"/>
    <x v="0"/>
    <x v="14"/>
    <n v="2087900"/>
  </r>
  <r>
    <x v="96"/>
    <x v="0"/>
    <x v="15"/>
    <n v="1903400"/>
  </r>
  <r>
    <x v="96"/>
    <x v="0"/>
    <x v="16"/>
    <n v="1695600"/>
  </r>
  <r>
    <x v="96"/>
    <x v="0"/>
    <x v="17"/>
    <n v="1744400"/>
  </r>
  <r>
    <x v="96"/>
    <x v="0"/>
    <x v="18"/>
    <n v="1672600"/>
  </r>
  <r>
    <x v="96"/>
    <x v="0"/>
    <x v="19"/>
    <n v="1340100"/>
  </r>
  <r>
    <x v="96"/>
    <x v="0"/>
    <x v="20"/>
    <n v="1256600"/>
  </r>
  <r>
    <x v="96"/>
    <x v="0"/>
    <x v="21"/>
    <n v="1230300"/>
  </r>
  <r>
    <x v="96"/>
    <x v="0"/>
    <x v="22"/>
    <n v="1168600"/>
  </r>
  <r>
    <x v="96"/>
    <x v="0"/>
    <x v="23"/>
    <n v="1015000"/>
  </r>
  <r>
    <x v="96"/>
    <x v="0"/>
    <x v="24"/>
    <n v="736900"/>
  </r>
  <r>
    <x v="96"/>
    <x v="0"/>
    <x v="6"/>
    <n v="694300"/>
  </r>
  <r>
    <x v="96"/>
    <x v="1"/>
    <x v="0"/>
    <n v="332900"/>
  </r>
  <r>
    <x v="96"/>
    <x v="1"/>
    <x v="1"/>
    <n v="1340500"/>
  </r>
  <r>
    <x v="96"/>
    <x v="1"/>
    <x v="2"/>
    <n v="1760200"/>
  </r>
  <r>
    <x v="96"/>
    <x v="1"/>
    <x v="3"/>
    <n v="1666600"/>
  </r>
  <r>
    <x v="96"/>
    <x v="1"/>
    <x v="4"/>
    <n v="1576700"/>
  </r>
  <r>
    <x v="96"/>
    <x v="1"/>
    <x v="5"/>
    <n v="1580200"/>
  </r>
  <r>
    <x v="96"/>
    <x v="1"/>
    <x v="13"/>
    <n v="1931900"/>
  </r>
  <r>
    <x v="96"/>
    <x v="1"/>
    <x v="14"/>
    <n v="2063500"/>
  </r>
  <r>
    <x v="96"/>
    <x v="1"/>
    <x v="15"/>
    <n v="1879900"/>
  </r>
  <r>
    <x v="96"/>
    <x v="1"/>
    <x v="16"/>
    <n v="1675700"/>
  </r>
  <r>
    <x v="96"/>
    <x v="1"/>
    <x v="17"/>
    <n v="1723400"/>
  </r>
  <r>
    <x v="96"/>
    <x v="1"/>
    <x v="18"/>
    <n v="1659900"/>
  </r>
  <r>
    <x v="96"/>
    <x v="1"/>
    <x v="19"/>
    <n v="1317800"/>
  </r>
  <r>
    <x v="96"/>
    <x v="1"/>
    <x v="20"/>
    <n v="1212500"/>
  </r>
  <r>
    <x v="96"/>
    <x v="1"/>
    <x v="21"/>
    <n v="1104400"/>
  </r>
  <r>
    <x v="96"/>
    <x v="1"/>
    <x v="22"/>
    <n v="942800"/>
  </r>
  <r>
    <x v="96"/>
    <x v="1"/>
    <x v="23"/>
    <n v="695100"/>
  </r>
  <r>
    <x v="96"/>
    <x v="1"/>
    <x v="24"/>
    <n v="399900"/>
  </r>
  <r>
    <x v="96"/>
    <x v="1"/>
    <x v="6"/>
    <n v="249300"/>
  </r>
  <r>
    <x v="97"/>
    <x v="0"/>
    <x v="0"/>
    <n v="308000"/>
  </r>
  <r>
    <x v="97"/>
    <x v="0"/>
    <x v="1"/>
    <n v="1263600"/>
  </r>
  <r>
    <x v="97"/>
    <x v="0"/>
    <x v="2"/>
    <n v="1670700"/>
  </r>
  <r>
    <x v="97"/>
    <x v="0"/>
    <x v="3"/>
    <n v="1618800"/>
  </r>
  <r>
    <x v="97"/>
    <x v="0"/>
    <x v="4"/>
    <n v="1560700"/>
  </r>
  <r>
    <x v="97"/>
    <x v="0"/>
    <x v="5"/>
    <n v="1516700"/>
  </r>
  <r>
    <x v="97"/>
    <x v="0"/>
    <x v="13"/>
    <n v="1902300"/>
  </r>
  <r>
    <x v="97"/>
    <x v="0"/>
    <x v="14"/>
    <n v="2080700"/>
  </r>
  <r>
    <x v="97"/>
    <x v="0"/>
    <x v="15"/>
    <n v="1951900"/>
  </r>
  <r>
    <x v="97"/>
    <x v="0"/>
    <x v="16"/>
    <n v="1725000"/>
  </r>
  <r>
    <x v="97"/>
    <x v="0"/>
    <x v="17"/>
    <n v="1693200"/>
  </r>
  <r>
    <x v="97"/>
    <x v="0"/>
    <x v="18"/>
    <n v="1747000"/>
  </r>
  <r>
    <x v="97"/>
    <x v="0"/>
    <x v="19"/>
    <n v="1367500"/>
  </r>
  <r>
    <x v="97"/>
    <x v="0"/>
    <x v="20"/>
    <n v="1272400"/>
  </r>
  <r>
    <x v="97"/>
    <x v="0"/>
    <x v="21"/>
    <n v="1220500"/>
  </r>
  <r>
    <x v="97"/>
    <x v="0"/>
    <x v="22"/>
    <n v="1149600"/>
  </r>
  <r>
    <x v="97"/>
    <x v="0"/>
    <x v="23"/>
    <n v="1059700"/>
  </r>
  <r>
    <x v="97"/>
    <x v="0"/>
    <x v="24"/>
    <n v="699900"/>
  </r>
  <r>
    <x v="97"/>
    <x v="0"/>
    <x v="6"/>
    <n v="711200"/>
  </r>
  <r>
    <x v="97"/>
    <x v="1"/>
    <x v="0"/>
    <n v="323400"/>
  </r>
  <r>
    <x v="97"/>
    <x v="1"/>
    <x v="1"/>
    <n v="1330600"/>
  </r>
  <r>
    <x v="97"/>
    <x v="1"/>
    <x v="2"/>
    <n v="1752200"/>
  </r>
  <r>
    <x v="97"/>
    <x v="1"/>
    <x v="3"/>
    <n v="1698700"/>
  </r>
  <r>
    <x v="97"/>
    <x v="1"/>
    <x v="4"/>
    <n v="1604200"/>
  </r>
  <r>
    <x v="97"/>
    <x v="1"/>
    <x v="5"/>
    <n v="1530300"/>
  </r>
  <r>
    <x v="97"/>
    <x v="1"/>
    <x v="13"/>
    <n v="1886600"/>
  </r>
  <r>
    <x v="97"/>
    <x v="1"/>
    <x v="14"/>
    <n v="2055700"/>
  </r>
  <r>
    <x v="97"/>
    <x v="1"/>
    <x v="15"/>
    <n v="1924200"/>
  </r>
  <r>
    <x v="97"/>
    <x v="1"/>
    <x v="16"/>
    <n v="1703200"/>
  </r>
  <r>
    <x v="97"/>
    <x v="1"/>
    <x v="17"/>
    <n v="1671400"/>
  </r>
  <r>
    <x v="97"/>
    <x v="1"/>
    <x v="18"/>
    <n v="1729000"/>
  </r>
  <r>
    <x v="97"/>
    <x v="1"/>
    <x v="19"/>
    <n v="1343500"/>
  </r>
  <r>
    <x v="97"/>
    <x v="1"/>
    <x v="20"/>
    <n v="1230500"/>
  </r>
  <r>
    <x v="97"/>
    <x v="1"/>
    <x v="21"/>
    <n v="1102600"/>
  </r>
  <r>
    <x v="97"/>
    <x v="1"/>
    <x v="22"/>
    <n v="938600"/>
  </r>
  <r>
    <x v="97"/>
    <x v="1"/>
    <x v="23"/>
    <n v="732400"/>
  </r>
  <r>
    <x v="97"/>
    <x v="1"/>
    <x v="24"/>
    <n v="383100"/>
  </r>
  <r>
    <x v="97"/>
    <x v="1"/>
    <x v="6"/>
    <n v="260500"/>
  </r>
  <r>
    <x v="98"/>
    <x v="0"/>
    <x v="0"/>
    <n v="304500"/>
  </r>
  <r>
    <x v="98"/>
    <x v="0"/>
    <x v="1"/>
    <n v="1251100"/>
  </r>
  <r>
    <x v="98"/>
    <x v="0"/>
    <x v="2"/>
    <n v="1663600"/>
  </r>
  <r>
    <x v="98"/>
    <x v="0"/>
    <x v="3"/>
    <n v="1644400"/>
  </r>
  <r>
    <x v="98"/>
    <x v="0"/>
    <x v="4"/>
    <n v="1566600"/>
  </r>
  <r>
    <x v="98"/>
    <x v="0"/>
    <x v="5"/>
    <n v="1516900"/>
  </r>
  <r>
    <x v="98"/>
    <x v="0"/>
    <x v="13"/>
    <n v="1850900"/>
  </r>
  <r>
    <x v="98"/>
    <x v="0"/>
    <x v="14"/>
    <n v="2069200"/>
  </r>
  <r>
    <x v="98"/>
    <x v="0"/>
    <x v="15"/>
    <n v="2004000"/>
  </r>
  <r>
    <x v="98"/>
    <x v="0"/>
    <x v="16"/>
    <n v="1759100"/>
  </r>
  <r>
    <x v="98"/>
    <x v="0"/>
    <x v="17"/>
    <n v="1673900"/>
  </r>
  <r>
    <x v="98"/>
    <x v="0"/>
    <x v="18"/>
    <n v="1781900"/>
  </r>
  <r>
    <x v="98"/>
    <x v="0"/>
    <x v="19"/>
    <n v="1407000"/>
  </r>
  <r>
    <x v="98"/>
    <x v="0"/>
    <x v="20"/>
    <n v="1292100"/>
  </r>
  <r>
    <x v="98"/>
    <x v="0"/>
    <x v="21"/>
    <n v="1206700"/>
  </r>
  <r>
    <x v="98"/>
    <x v="0"/>
    <x v="22"/>
    <n v="1138000"/>
  </r>
  <r>
    <x v="98"/>
    <x v="0"/>
    <x v="23"/>
    <n v="1084100"/>
  </r>
  <r>
    <x v="98"/>
    <x v="0"/>
    <x v="24"/>
    <n v="675000"/>
  </r>
  <r>
    <x v="98"/>
    <x v="0"/>
    <x v="6"/>
    <n v="721100"/>
  </r>
  <r>
    <x v="98"/>
    <x v="1"/>
    <x v="0"/>
    <n v="320600"/>
  </r>
  <r>
    <x v="98"/>
    <x v="1"/>
    <x v="1"/>
    <n v="1315100"/>
  </r>
  <r>
    <x v="98"/>
    <x v="1"/>
    <x v="2"/>
    <n v="1747100"/>
  </r>
  <r>
    <x v="98"/>
    <x v="1"/>
    <x v="3"/>
    <n v="1724100"/>
  </r>
  <r>
    <x v="98"/>
    <x v="1"/>
    <x v="4"/>
    <n v="1614500"/>
  </r>
  <r>
    <x v="98"/>
    <x v="1"/>
    <x v="5"/>
    <n v="1530000"/>
  </r>
  <r>
    <x v="98"/>
    <x v="1"/>
    <x v="13"/>
    <n v="1836100"/>
  </r>
  <r>
    <x v="98"/>
    <x v="1"/>
    <x v="14"/>
    <n v="2044200"/>
  </r>
  <r>
    <x v="98"/>
    <x v="1"/>
    <x v="15"/>
    <n v="1974000"/>
  </r>
  <r>
    <x v="98"/>
    <x v="1"/>
    <x v="16"/>
    <n v="1737400"/>
  </r>
  <r>
    <x v="98"/>
    <x v="1"/>
    <x v="17"/>
    <n v="1649700"/>
  </r>
  <r>
    <x v="98"/>
    <x v="1"/>
    <x v="18"/>
    <n v="1760500"/>
  </r>
  <r>
    <x v="98"/>
    <x v="1"/>
    <x v="19"/>
    <n v="1383000"/>
  </r>
  <r>
    <x v="98"/>
    <x v="1"/>
    <x v="20"/>
    <n v="1249900"/>
  </r>
  <r>
    <x v="98"/>
    <x v="1"/>
    <x v="21"/>
    <n v="1098800"/>
  </r>
  <r>
    <x v="98"/>
    <x v="1"/>
    <x v="22"/>
    <n v="937500"/>
  </r>
  <r>
    <x v="98"/>
    <x v="1"/>
    <x v="23"/>
    <n v="755400"/>
  </r>
  <r>
    <x v="98"/>
    <x v="1"/>
    <x v="24"/>
    <n v="376300"/>
  </r>
  <r>
    <x v="98"/>
    <x v="1"/>
    <x v="6"/>
    <n v="269300"/>
  </r>
  <r>
    <x v="99"/>
    <x v="0"/>
    <x v="0"/>
    <n v="296000"/>
  </r>
  <r>
    <x v="99"/>
    <x v="0"/>
    <x v="1"/>
    <n v="1241300"/>
  </r>
  <r>
    <x v="99"/>
    <x v="0"/>
    <x v="2"/>
    <n v="1639700"/>
  </r>
  <r>
    <x v="99"/>
    <x v="0"/>
    <x v="3"/>
    <n v="1655800"/>
  </r>
  <r>
    <x v="99"/>
    <x v="0"/>
    <x v="4"/>
    <n v="1562700"/>
  </r>
  <r>
    <x v="99"/>
    <x v="0"/>
    <x v="5"/>
    <n v="1540000"/>
  </r>
  <r>
    <x v="99"/>
    <x v="0"/>
    <x v="13"/>
    <n v="1809900"/>
  </r>
  <r>
    <x v="99"/>
    <x v="0"/>
    <x v="14"/>
    <n v="2049300"/>
  </r>
  <r>
    <x v="99"/>
    <x v="0"/>
    <x v="15"/>
    <n v="2053700"/>
  </r>
  <r>
    <x v="99"/>
    <x v="0"/>
    <x v="16"/>
    <n v="1805200"/>
  </r>
  <r>
    <x v="99"/>
    <x v="0"/>
    <x v="17"/>
    <n v="1664600"/>
  </r>
  <r>
    <x v="99"/>
    <x v="0"/>
    <x v="18"/>
    <n v="1803400"/>
  </r>
  <r>
    <x v="99"/>
    <x v="0"/>
    <x v="19"/>
    <n v="1454500"/>
  </r>
  <r>
    <x v="99"/>
    <x v="0"/>
    <x v="20"/>
    <n v="1304400"/>
  </r>
  <r>
    <x v="99"/>
    <x v="0"/>
    <x v="21"/>
    <n v="1198100"/>
  </r>
  <r>
    <x v="99"/>
    <x v="0"/>
    <x v="22"/>
    <n v="1134000"/>
  </r>
  <r>
    <x v="99"/>
    <x v="0"/>
    <x v="23"/>
    <n v="1049800"/>
  </r>
  <r>
    <x v="99"/>
    <x v="0"/>
    <x v="24"/>
    <n v="708500"/>
  </r>
  <r>
    <x v="99"/>
    <x v="0"/>
    <x v="6"/>
    <n v="731000"/>
  </r>
  <r>
    <x v="99"/>
    <x v="1"/>
    <x v="0"/>
    <n v="310700"/>
  </r>
  <r>
    <x v="99"/>
    <x v="1"/>
    <x v="1"/>
    <n v="1302600"/>
  </r>
  <r>
    <x v="99"/>
    <x v="1"/>
    <x v="2"/>
    <n v="1725300"/>
  </r>
  <r>
    <x v="99"/>
    <x v="1"/>
    <x v="3"/>
    <n v="1736600"/>
  </r>
  <r>
    <x v="99"/>
    <x v="1"/>
    <x v="4"/>
    <n v="1624100"/>
  </r>
  <r>
    <x v="99"/>
    <x v="1"/>
    <x v="5"/>
    <n v="1547800"/>
  </r>
  <r>
    <x v="99"/>
    <x v="1"/>
    <x v="13"/>
    <n v="1795600"/>
  </r>
  <r>
    <x v="99"/>
    <x v="1"/>
    <x v="14"/>
    <n v="2027100"/>
  </r>
  <r>
    <x v="99"/>
    <x v="1"/>
    <x v="15"/>
    <n v="2019100"/>
  </r>
  <r>
    <x v="99"/>
    <x v="1"/>
    <x v="16"/>
    <n v="1782700"/>
  </r>
  <r>
    <x v="99"/>
    <x v="1"/>
    <x v="17"/>
    <n v="1636900"/>
  </r>
  <r>
    <x v="99"/>
    <x v="1"/>
    <x v="18"/>
    <n v="1775900"/>
  </r>
  <r>
    <x v="99"/>
    <x v="1"/>
    <x v="19"/>
    <n v="1428700"/>
  </r>
  <r>
    <x v="99"/>
    <x v="1"/>
    <x v="20"/>
    <n v="1259200"/>
  </r>
  <r>
    <x v="99"/>
    <x v="1"/>
    <x v="21"/>
    <n v="1099700"/>
  </r>
  <r>
    <x v="99"/>
    <x v="1"/>
    <x v="22"/>
    <n v="940500"/>
  </r>
  <r>
    <x v="99"/>
    <x v="1"/>
    <x v="23"/>
    <n v="740900"/>
  </r>
  <r>
    <x v="99"/>
    <x v="1"/>
    <x v="24"/>
    <n v="407600"/>
  </r>
  <r>
    <x v="99"/>
    <x v="1"/>
    <x v="6"/>
    <n v="27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32C36-2D2E-4193-BFF4-B34C70267295}" name="PivotTable1" cacheId="13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L106" firstHeaderRow="1" firstDataRow="3" firstDataCol="1" rowPageCount="1" colPageCount="1"/>
  <pivotFields count="5">
    <pivotField axis="axisRow" compact="0" outline="0" showAll="0" includeNewItemsInFilter="1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Col" compact="0" outline="0" showAll="0" includeNewItemsInFilter="1">
      <items count="3">
        <item n="Male" x="1"/>
        <item n="Female" x="0"/>
        <item t="default"/>
      </items>
    </pivotField>
    <pivotField axis="axisPage" compact="0" outline="0" showAll="0" includeNewItemsInFilter="1">
      <items count="27">
        <item x="0"/>
        <item x="1"/>
        <item x="2"/>
        <item x="3"/>
        <item x="4"/>
        <item x="5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4"/>
        <item x="6"/>
        <item x="7"/>
        <item x="8"/>
        <item x="9"/>
        <item x="10"/>
        <item x="11"/>
        <item x="12"/>
        <item t="default"/>
      </items>
    </pivotField>
    <pivotField dataField="1" compact="0" outline="0" showAll="0" includeNewItemsInFilter="1"/>
    <pivotField axis="axisCol" compact="0" outline="0" showAll="0" includeNewItemsInFilter="1">
      <items count="5">
        <item n="Upto 19" sd="0" x="3"/>
        <item n="20 to 30" sd="0" x="0"/>
        <item n="30 to 65" sd="0" x="1"/>
        <item n="Over 65" sd="0" x="2"/>
        <item t="default"/>
      </items>
    </pivotField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2">
    <field x="1"/>
    <field x="4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pageFields count="1">
    <pageField fld="2" hier="-1"/>
  </pageFields>
  <dataFields count="1">
    <dataField name="Sum of POP" fld="3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C5C7-9A4E-4CFE-997D-31C6F3C2929D}">
  <dimension ref="A1:B13"/>
  <sheetViews>
    <sheetView workbookViewId="0">
      <selection activeCell="A12" sqref="A12"/>
    </sheetView>
  </sheetViews>
  <sheetFormatPr defaultRowHeight="12.75" x14ac:dyDescent="0.2"/>
  <sheetData>
    <row r="1" spans="1:2" x14ac:dyDescent="0.2">
      <c r="A1" t="s">
        <v>32</v>
      </c>
    </row>
    <row r="3" spans="1:2" x14ac:dyDescent="0.2">
      <c r="A3" s="4" t="s">
        <v>33</v>
      </c>
    </row>
    <row r="5" spans="1:2" x14ac:dyDescent="0.2">
      <c r="A5" t="s">
        <v>34</v>
      </c>
      <c r="B5" t="s">
        <v>35</v>
      </c>
    </row>
    <row r="7" spans="1:2" x14ac:dyDescent="0.2">
      <c r="A7" t="s">
        <v>36</v>
      </c>
      <c r="B7" t="s">
        <v>37</v>
      </c>
    </row>
    <row r="9" spans="1:2" x14ac:dyDescent="0.2">
      <c r="A9" t="s">
        <v>38</v>
      </c>
      <c r="B9" t="s">
        <v>39</v>
      </c>
    </row>
    <row r="10" spans="1:2" x14ac:dyDescent="0.2">
      <c r="B10" t="s">
        <v>40</v>
      </c>
    </row>
    <row r="12" spans="1:2" x14ac:dyDescent="0.2">
      <c r="A12" t="s">
        <v>41</v>
      </c>
      <c r="B12" t="s">
        <v>42</v>
      </c>
    </row>
    <row r="13" spans="1:2" x14ac:dyDescent="0.2">
      <c r="B13" t="s">
        <v>43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FBDD9-9B21-4BCB-8E5E-34C20E421EC1}">
  <dimension ref="A1:T106"/>
  <sheetViews>
    <sheetView topLeftCell="A22" workbookViewId="0">
      <selection activeCell="M110" sqref="M110"/>
    </sheetView>
  </sheetViews>
  <sheetFormatPr defaultRowHeight="12.75" x14ac:dyDescent="0.2"/>
  <cols>
    <col min="1" max="1" width="11.42578125" bestFit="1" customWidth="1"/>
    <col min="2" max="5" width="10" bestFit="1" customWidth="1"/>
    <col min="6" max="6" width="11" bestFit="1" customWidth="1"/>
    <col min="7" max="10" width="10" bestFit="1" customWidth="1"/>
    <col min="11" max="11" width="11.7109375" bestFit="1" customWidth="1"/>
    <col min="12" max="12" width="11" bestFit="1" customWidth="1"/>
    <col min="13" max="16" width="10" bestFit="1" customWidth="1"/>
    <col min="17" max="17" width="11.5703125" bestFit="1" customWidth="1"/>
    <col min="18" max="18" width="14" bestFit="1" customWidth="1"/>
    <col min="19" max="20" width="10" bestFit="1" customWidth="1"/>
    <col min="21" max="21" width="11.7109375" bestFit="1" customWidth="1"/>
    <col min="22" max="22" width="11" bestFit="1" customWidth="1"/>
    <col min="23" max="23" width="11.7109375" bestFit="1" customWidth="1"/>
    <col min="24" max="24" width="11" bestFit="1" customWidth="1"/>
    <col min="25" max="32" width="10" bestFit="1" customWidth="1"/>
    <col min="33" max="33" width="11.5703125" bestFit="1" customWidth="1"/>
    <col min="34" max="34" width="10" bestFit="1" customWidth="1"/>
    <col min="35" max="36" width="11" bestFit="1" customWidth="1"/>
    <col min="37" max="37" width="11.5703125" bestFit="1" customWidth="1"/>
    <col min="38" max="38" width="10" bestFit="1" customWidth="1"/>
    <col min="39" max="39" width="8.5703125" bestFit="1" customWidth="1"/>
    <col min="40" max="40" width="11.140625" bestFit="1" customWidth="1"/>
    <col min="41" max="41" width="8.5703125" bestFit="1" customWidth="1"/>
    <col min="42" max="42" width="11.140625" bestFit="1" customWidth="1"/>
    <col min="43" max="44" width="11" bestFit="1" customWidth="1"/>
    <col min="45" max="45" width="8.5703125" bestFit="1" customWidth="1"/>
    <col min="46" max="46" width="11.140625" bestFit="1" customWidth="1"/>
    <col min="47" max="47" width="8.5703125" bestFit="1" customWidth="1"/>
    <col min="48" max="48" width="11.140625" bestFit="1" customWidth="1"/>
    <col min="49" max="50" width="11" bestFit="1" customWidth="1"/>
    <col min="51" max="51" width="8.5703125" bestFit="1" customWidth="1"/>
    <col min="52" max="52" width="11.140625" bestFit="1" customWidth="1"/>
    <col min="53" max="53" width="8.5703125" bestFit="1" customWidth="1"/>
    <col min="54" max="54" width="11.140625" bestFit="1" customWidth="1"/>
    <col min="55" max="56" width="11" bestFit="1" customWidth="1"/>
    <col min="57" max="57" width="8.5703125" bestFit="1" customWidth="1"/>
    <col min="58" max="58" width="11.140625" bestFit="1" customWidth="1"/>
    <col min="59" max="59" width="8.5703125" bestFit="1" customWidth="1"/>
    <col min="60" max="60" width="11.140625" bestFit="1" customWidth="1"/>
    <col min="61" max="62" width="11" bestFit="1" customWidth="1"/>
    <col min="63" max="63" width="9" bestFit="1" customWidth="1"/>
    <col min="64" max="64" width="11.140625" bestFit="1" customWidth="1"/>
    <col min="65" max="65" width="9" bestFit="1" customWidth="1"/>
    <col min="66" max="66" width="11.140625" bestFit="1" customWidth="1"/>
    <col min="67" max="67" width="9" bestFit="1" customWidth="1"/>
    <col min="68" max="68" width="11.140625" bestFit="1" customWidth="1"/>
    <col min="69" max="69" width="9" bestFit="1" customWidth="1"/>
    <col min="70" max="70" width="11.140625" bestFit="1" customWidth="1"/>
    <col min="71" max="71" width="8.5703125" bestFit="1" customWidth="1"/>
    <col min="72" max="72" width="11.140625" bestFit="1" customWidth="1"/>
    <col min="73" max="73" width="8.5703125" bestFit="1" customWidth="1"/>
    <col min="74" max="74" width="11.140625" bestFit="1" customWidth="1"/>
    <col min="75" max="76" width="11" bestFit="1" customWidth="1"/>
    <col min="77" max="77" width="9" bestFit="1" customWidth="1"/>
    <col min="78" max="78" width="11.140625" bestFit="1" customWidth="1"/>
    <col min="79" max="79" width="9" bestFit="1" customWidth="1"/>
    <col min="80" max="80" width="11.140625" bestFit="1" customWidth="1"/>
    <col min="81" max="81" width="9" bestFit="1" customWidth="1"/>
    <col min="82" max="82" width="11.140625" bestFit="1" customWidth="1"/>
    <col min="83" max="83" width="8.5703125" bestFit="1" customWidth="1"/>
    <col min="84" max="84" width="11.140625" bestFit="1" customWidth="1"/>
    <col min="85" max="85" width="8.5703125" bestFit="1" customWidth="1"/>
    <col min="86" max="86" width="11.140625" bestFit="1" customWidth="1"/>
    <col min="87" max="88" width="11" bestFit="1" customWidth="1"/>
    <col min="89" max="89" width="8.5703125" bestFit="1" customWidth="1"/>
    <col min="90" max="90" width="11.140625" bestFit="1" customWidth="1"/>
    <col min="91" max="92" width="11" bestFit="1" customWidth="1"/>
    <col min="93" max="93" width="9" bestFit="1" customWidth="1"/>
    <col min="94" max="94" width="11.140625" bestFit="1" customWidth="1"/>
    <col min="95" max="95" width="8.5703125" bestFit="1" customWidth="1"/>
    <col min="96" max="96" width="11.140625" bestFit="1" customWidth="1"/>
    <col min="97" max="97" width="8.5703125" bestFit="1" customWidth="1"/>
    <col min="98" max="98" width="11.140625" bestFit="1" customWidth="1"/>
    <col min="99" max="102" width="11" bestFit="1" customWidth="1"/>
  </cols>
  <sheetData>
    <row r="1" spans="1:19" x14ac:dyDescent="0.2">
      <c r="A1" s="25" t="s">
        <v>2</v>
      </c>
      <c r="B1" s="26" t="s">
        <v>55</v>
      </c>
    </row>
    <row r="3" spans="1:19" x14ac:dyDescent="0.2">
      <c r="A3" s="9" t="s">
        <v>45</v>
      </c>
      <c r="B3" s="9" t="s">
        <v>1</v>
      </c>
      <c r="C3" s="14" t="s">
        <v>46</v>
      </c>
      <c r="D3" s="6"/>
      <c r="E3" s="6"/>
      <c r="F3" s="6"/>
      <c r="G3" s="6"/>
      <c r="H3" s="6"/>
      <c r="I3" s="6"/>
      <c r="J3" s="6"/>
      <c r="K3" s="6"/>
      <c r="L3" s="7"/>
    </row>
    <row r="4" spans="1:19" x14ac:dyDescent="0.2">
      <c r="A4" s="8"/>
      <c r="B4" s="5" t="s">
        <v>53</v>
      </c>
      <c r="C4" s="6"/>
      <c r="D4" s="6"/>
      <c r="E4" s="6"/>
      <c r="F4" s="5" t="s">
        <v>54</v>
      </c>
      <c r="G4" s="5" t="s">
        <v>51</v>
      </c>
      <c r="H4" s="6"/>
      <c r="I4" s="6"/>
      <c r="J4" s="6"/>
      <c r="K4" s="5" t="s">
        <v>52</v>
      </c>
      <c r="L4" s="13" t="s">
        <v>44</v>
      </c>
      <c r="M4" s="28" t="s">
        <v>56</v>
      </c>
    </row>
    <row r="5" spans="1:19" x14ac:dyDescent="0.2">
      <c r="A5" s="9" t="s">
        <v>0</v>
      </c>
      <c r="B5" s="5" t="s">
        <v>47</v>
      </c>
      <c r="C5" s="12" t="s">
        <v>50</v>
      </c>
      <c r="D5" s="12" t="s">
        <v>49</v>
      </c>
      <c r="E5" s="12" t="s">
        <v>48</v>
      </c>
      <c r="F5" s="8"/>
      <c r="G5" s="5" t="s">
        <v>47</v>
      </c>
      <c r="H5" s="12" t="s">
        <v>50</v>
      </c>
      <c r="I5" s="12" t="s">
        <v>49</v>
      </c>
      <c r="J5" s="12" t="s">
        <v>48</v>
      </c>
      <c r="K5" s="8"/>
      <c r="L5" s="15"/>
      <c r="M5" s="27" t="s">
        <v>53</v>
      </c>
      <c r="N5" s="27" t="s">
        <v>51</v>
      </c>
      <c r="O5" s="27" t="s">
        <v>57</v>
      </c>
      <c r="P5" s="27" t="s">
        <v>58</v>
      </c>
      <c r="Q5" s="27" t="s">
        <v>59</v>
      </c>
      <c r="R5" s="27" t="s">
        <v>60</v>
      </c>
      <c r="S5" s="27" t="s">
        <v>61</v>
      </c>
    </row>
    <row r="6" spans="1:19" x14ac:dyDescent="0.2">
      <c r="A6" s="5">
        <v>1901</v>
      </c>
      <c r="B6" s="16">
        <v>6880300</v>
      </c>
      <c r="C6" s="17">
        <v>3967600</v>
      </c>
      <c r="D6" s="17">
        <v>4257100</v>
      </c>
      <c r="E6" s="17">
        <v>664600</v>
      </c>
      <c r="F6" s="16">
        <v>15769600</v>
      </c>
      <c r="G6" s="16">
        <v>6925700</v>
      </c>
      <c r="H6" s="17">
        <v>4427200</v>
      </c>
      <c r="I6" s="17">
        <v>4627900</v>
      </c>
      <c r="J6" s="17">
        <v>861700</v>
      </c>
      <c r="K6" s="16">
        <v>16842500</v>
      </c>
      <c r="L6" s="18">
        <v>32612100</v>
      </c>
      <c r="M6">
        <f>SUM(C6:E6)+(2*(B6/19))</f>
        <v>9613542.1052631587</v>
      </c>
      <c r="N6">
        <f>SUM(H6:J6)</f>
        <v>9916800</v>
      </c>
      <c r="O6">
        <f>N6+M6</f>
        <v>19530342.105263159</v>
      </c>
      <c r="P6" s="29">
        <v>0.6</v>
      </c>
      <c r="Q6" s="30">
        <f>(M6*P6)/O6</f>
        <v>0.29534174220140591</v>
      </c>
      <c r="R6" s="30">
        <f>M6*P6/M6</f>
        <v>0.6</v>
      </c>
    </row>
    <row r="7" spans="1:19" x14ac:dyDescent="0.2">
      <c r="A7" s="10">
        <v>1902</v>
      </c>
      <c r="B7" s="19">
        <v>6910200</v>
      </c>
      <c r="C7" s="20">
        <v>4003400</v>
      </c>
      <c r="D7" s="20">
        <v>4341200</v>
      </c>
      <c r="E7" s="20">
        <v>678800</v>
      </c>
      <c r="F7" s="19">
        <v>15933600</v>
      </c>
      <c r="G7" s="19">
        <v>6952800</v>
      </c>
      <c r="H7" s="20">
        <v>4463400</v>
      </c>
      <c r="I7" s="20">
        <v>4718900</v>
      </c>
      <c r="J7" s="20">
        <v>882100</v>
      </c>
      <c r="K7" s="19">
        <v>17017200</v>
      </c>
      <c r="L7" s="21">
        <v>32950800</v>
      </c>
      <c r="M7">
        <f t="shared" ref="M7:M70" si="0">SUM(C7:E7)</f>
        <v>9023400</v>
      </c>
      <c r="N7">
        <f t="shared" ref="N7:N70" si="1">SUM(H7:J7)</f>
        <v>10064400</v>
      </c>
      <c r="O7">
        <f t="shared" ref="O7:O70" si="2">N7+M7</f>
        <v>19087800</v>
      </c>
      <c r="P7" s="29">
        <v>0.61</v>
      </c>
      <c r="Q7" s="30">
        <f t="shared" ref="Q7:Q33" si="3">(M7*P7)/O7</f>
        <v>0.28836607676107251</v>
      </c>
      <c r="R7" s="30">
        <f t="shared" ref="R7:R22" si="4">M7*P7/M7</f>
        <v>0.61</v>
      </c>
    </row>
    <row r="8" spans="1:19" x14ac:dyDescent="0.2">
      <c r="A8" s="10">
        <v>1903</v>
      </c>
      <c r="B8" s="19">
        <v>6940600</v>
      </c>
      <c r="C8" s="20">
        <v>4039800</v>
      </c>
      <c r="D8" s="20">
        <v>4426200</v>
      </c>
      <c r="E8" s="20">
        <v>693200</v>
      </c>
      <c r="F8" s="19">
        <v>16099800</v>
      </c>
      <c r="G8" s="19">
        <v>6980100</v>
      </c>
      <c r="H8" s="20">
        <v>4500100</v>
      </c>
      <c r="I8" s="20">
        <v>4810800</v>
      </c>
      <c r="J8" s="20">
        <v>902600</v>
      </c>
      <c r="K8" s="19">
        <v>17193600</v>
      </c>
      <c r="L8" s="21">
        <v>33293400</v>
      </c>
      <c r="M8">
        <f t="shared" si="0"/>
        <v>9159200</v>
      </c>
      <c r="N8">
        <f t="shared" si="1"/>
        <v>10213500</v>
      </c>
      <c r="O8">
        <f t="shared" si="2"/>
        <v>19372700</v>
      </c>
      <c r="P8" s="29">
        <v>0.62</v>
      </c>
      <c r="Q8" s="30">
        <f t="shared" si="3"/>
        <v>0.2931291972724504</v>
      </c>
      <c r="R8" s="30">
        <f t="shared" si="4"/>
        <v>0.62</v>
      </c>
    </row>
    <row r="9" spans="1:19" x14ac:dyDescent="0.2">
      <c r="A9" s="10">
        <v>1904</v>
      </c>
      <c r="B9" s="19">
        <v>6990100</v>
      </c>
      <c r="C9" s="20">
        <v>4087600</v>
      </c>
      <c r="D9" s="20">
        <v>4524500</v>
      </c>
      <c r="E9" s="20">
        <v>709500</v>
      </c>
      <c r="F9" s="19">
        <v>16311700</v>
      </c>
      <c r="G9" s="19">
        <v>7026900</v>
      </c>
      <c r="H9" s="20">
        <v>4549700</v>
      </c>
      <c r="I9" s="20">
        <v>4917200</v>
      </c>
      <c r="J9" s="20">
        <v>925800</v>
      </c>
      <c r="K9" s="19">
        <v>17419600</v>
      </c>
      <c r="L9" s="21">
        <v>33731300</v>
      </c>
      <c r="M9">
        <f t="shared" si="0"/>
        <v>9321600</v>
      </c>
      <c r="N9">
        <f t="shared" si="1"/>
        <v>10392700</v>
      </c>
      <c r="O9">
        <f t="shared" si="2"/>
        <v>19714300</v>
      </c>
      <c r="P9" s="29">
        <v>0.64</v>
      </c>
      <c r="Q9" s="30">
        <f t="shared" si="3"/>
        <v>0.30261404158402783</v>
      </c>
      <c r="R9" s="30">
        <f t="shared" si="4"/>
        <v>0.64</v>
      </c>
    </row>
    <row r="10" spans="1:19" x14ac:dyDescent="0.2">
      <c r="A10" s="10">
        <v>1905</v>
      </c>
      <c r="B10" s="19">
        <v>7002000</v>
      </c>
      <c r="C10" s="20">
        <v>4113500</v>
      </c>
      <c r="D10" s="20">
        <v>4599000</v>
      </c>
      <c r="E10" s="20">
        <v>722200</v>
      </c>
      <c r="F10" s="19">
        <v>16436700</v>
      </c>
      <c r="G10" s="19">
        <v>7035600</v>
      </c>
      <c r="H10" s="20">
        <v>4574700</v>
      </c>
      <c r="I10" s="20">
        <v>4997600</v>
      </c>
      <c r="J10" s="20">
        <v>944300</v>
      </c>
      <c r="K10" s="19">
        <v>17552200</v>
      </c>
      <c r="L10" s="21">
        <v>33988900</v>
      </c>
      <c r="M10">
        <f t="shared" si="0"/>
        <v>9434700</v>
      </c>
      <c r="N10">
        <f t="shared" si="1"/>
        <v>10516600</v>
      </c>
      <c r="O10">
        <f t="shared" si="2"/>
        <v>19951300</v>
      </c>
      <c r="P10" s="29">
        <v>0.65</v>
      </c>
      <c r="Q10" s="30">
        <f t="shared" si="3"/>
        <v>0.30737621107396512</v>
      </c>
      <c r="R10" s="30">
        <f t="shared" si="4"/>
        <v>0.65</v>
      </c>
    </row>
    <row r="11" spans="1:19" x14ac:dyDescent="0.2">
      <c r="A11" s="10">
        <v>1906</v>
      </c>
      <c r="B11" s="19">
        <v>7033200</v>
      </c>
      <c r="C11" s="20">
        <v>4151000</v>
      </c>
      <c r="D11" s="20">
        <v>4686700</v>
      </c>
      <c r="E11" s="20">
        <v>737000</v>
      </c>
      <c r="F11" s="19">
        <v>16607900</v>
      </c>
      <c r="G11" s="19">
        <v>7063700</v>
      </c>
      <c r="H11" s="20">
        <v>4612500</v>
      </c>
      <c r="I11" s="20">
        <v>5092400</v>
      </c>
      <c r="J11" s="20">
        <v>965500</v>
      </c>
      <c r="K11" s="19">
        <v>17734100</v>
      </c>
      <c r="L11" s="21">
        <v>34342000</v>
      </c>
      <c r="M11">
        <f t="shared" si="0"/>
        <v>9574700</v>
      </c>
      <c r="N11">
        <f t="shared" si="1"/>
        <v>10670400</v>
      </c>
      <c r="O11">
        <f t="shared" si="2"/>
        <v>20245100</v>
      </c>
      <c r="P11" s="29">
        <v>0.66</v>
      </c>
      <c r="Q11" s="30">
        <f t="shared" si="3"/>
        <v>0.31213982642713545</v>
      </c>
      <c r="R11" s="30">
        <f t="shared" si="4"/>
        <v>0.66</v>
      </c>
    </row>
    <row r="12" spans="1:19" x14ac:dyDescent="0.2">
      <c r="A12" s="10">
        <v>1907</v>
      </c>
      <c r="B12" s="19">
        <v>7064800</v>
      </c>
      <c r="C12" s="20">
        <v>4188800</v>
      </c>
      <c r="D12" s="20">
        <v>4775300</v>
      </c>
      <c r="E12" s="20">
        <v>752000</v>
      </c>
      <c r="F12" s="19">
        <v>16780900</v>
      </c>
      <c r="G12" s="19">
        <v>7092100</v>
      </c>
      <c r="H12" s="20">
        <v>4650800</v>
      </c>
      <c r="I12" s="20">
        <v>5188300</v>
      </c>
      <c r="J12" s="20">
        <v>986900</v>
      </c>
      <c r="K12" s="19">
        <v>17918100</v>
      </c>
      <c r="L12" s="21">
        <v>34699000</v>
      </c>
      <c r="M12">
        <f t="shared" si="0"/>
        <v>9716100</v>
      </c>
      <c r="N12">
        <f t="shared" si="1"/>
        <v>10826000</v>
      </c>
      <c r="O12">
        <f t="shared" si="2"/>
        <v>20542100</v>
      </c>
      <c r="P12" s="29">
        <v>0.67</v>
      </c>
      <c r="Q12" s="30">
        <f t="shared" si="3"/>
        <v>0.31689978142448921</v>
      </c>
      <c r="R12" s="30">
        <f t="shared" si="4"/>
        <v>0.67</v>
      </c>
    </row>
    <row r="13" spans="1:19" x14ac:dyDescent="0.2">
      <c r="A13" s="10">
        <v>1908</v>
      </c>
      <c r="B13" s="19">
        <v>7116100</v>
      </c>
      <c r="C13" s="20">
        <v>4238700</v>
      </c>
      <c r="D13" s="20">
        <v>4878200</v>
      </c>
      <c r="E13" s="20">
        <v>769100</v>
      </c>
      <c r="F13" s="19">
        <v>17002100</v>
      </c>
      <c r="G13" s="19">
        <v>7140400</v>
      </c>
      <c r="H13" s="20">
        <v>4702200</v>
      </c>
      <c r="I13" s="20">
        <v>5299500</v>
      </c>
      <c r="J13" s="20">
        <v>1011200</v>
      </c>
      <c r="K13" s="19">
        <v>18153300</v>
      </c>
      <c r="L13" s="21">
        <v>35155400</v>
      </c>
      <c r="M13">
        <f t="shared" si="0"/>
        <v>9886000</v>
      </c>
      <c r="N13">
        <f t="shared" si="1"/>
        <v>11012900</v>
      </c>
      <c r="O13">
        <f t="shared" si="2"/>
        <v>20898900</v>
      </c>
      <c r="P13" s="29">
        <v>0.68</v>
      </c>
      <c r="Q13" s="30">
        <f t="shared" si="3"/>
        <v>0.32166669059137087</v>
      </c>
      <c r="R13" s="30">
        <f t="shared" si="4"/>
        <v>0.68</v>
      </c>
    </row>
    <row r="14" spans="1:19" x14ac:dyDescent="0.2">
      <c r="A14" s="10">
        <v>1909</v>
      </c>
      <c r="B14" s="19">
        <v>7128600</v>
      </c>
      <c r="C14" s="20">
        <v>4265700</v>
      </c>
      <c r="D14" s="20">
        <v>4955400</v>
      </c>
      <c r="E14" s="20">
        <v>782400</v>
      </c>
      <c r="F14" s="19">
        <v>17132100</v>
      </c>
      <c r="G14" s="19">
        <v>7150000</v>
      </c>
      <c r="H14" s="20">
        <v>4728300</v>
      </c>
      <c r="I14" s="20">
        <v>5383000</v>
      </c>
      <c r="J14" s="20">
        <v>1030300</v>
      </c>
      <c r="K14" s="19">
        <v>18291600</v>
      </c>
      <c r="L14" s="21">
        <v>35423700</v>
      </c>
      <c r="M14">
        <f t="shared" si="0"/>
        <v>10003500</v>
      </c>
      <c r="N14">
        <f t="shared" si="1"/>
        <v>11141600</v>
      </c>
      <c r="O14">
        <f t="shared" si="2"/>
        <v>21145100</v>
      </c>
      <c r="P14" s="29">
        <v>0.7</v>
      </c>
      <c r="Q14" s="30">
        <f t="shared" si="3"/>
        <v>0.33116182945457812</v>
      </c>
      <c r="R14" s="30">
        <f t="shared" si="4"/>
        <v>0.7</v>
      </c>
    </row>
    <row r="15" spans="1:19" x14ac:dyDescent="0.2">
      <c r="A15" s="10">
        <v>1910</v>
      </c>
      <c r="B15" s="19">
        <v>7161400</v>
      </c>
      <c r="C15" s="20">
        <v>4304800</v>
      </c>
      <c r="D15" s="20">
        <v>5046800</v>
      </c>
      <c r="E15" s="20">
        <v>797700</v>
      </c>
      <c r="F15" s="19">
        <v>17310700</v>
      </c>
      <c r="G15" s="19">
        <v>7179300</v>
      </c>
      <c r="H15" s="20">
        <v>4767800</v>
      </c>
      <c r="I15" s="20">
        <v>5481700</v>
      </c>
      <c r="J15" s="20">
        <v>1052500</v>
      </c>
      <c r="K15" s="19">
        <v>18481300</v>
      </c>
      <c r="L15" s="21">
        <v>35792000</v>
      </c>
      <c r="M15">
        <f t="shared" si="0"/>
        <v>10149300</v>
      </c>
      <c r="N15">
        <f t="shared" si="1"/>
        <v>11302000</v>
      </c>
      <c r="O15">
        <f t="shared" si="2"/>
        <v>21451300</v>
      </c>
      <c r="P15" s="29">
        <v>0.71</v>
      </c>
      <c r="Q15" s="30">
        <f t="shared" si="3"/>
        <v>0.33592383678378468</v>
      </c>
      <c r="R15" s="30">
        <f t="shared" si="4"/>
        <v>0.71</v>
      </c>
    </row>
    <row r="16" spans="1:19" x14ac:dyDescent="0.2">
      <c r="A16" s="10">
        <v>1911</v>
      </c>
      <c r="B16" s="19">
        <v>7202000</v>
      </c>
      <c r="C16" s="20">
        <v>2951000</v>
      </c>
      <c r="D16" s="20">
        <v>6503000</v>
      </c>
      <c r="E16" s="20">
        <v>820000</v>
      </c>
      <c r="F16" s="19">
        <v>17476000</v>
      </c>
      <c r="G16" s="19">
        <v>7242000</v>
      </c>
      <c r="H16" s="20">
        <v>3247000</v>
      </c>
      <c r="I16" s="20">
        <v>7090000</v>
      </c>
      <c r="J16" s="20">
        <v>1081000</v>
      </c>
      <c r="K16" s="19">
        <v>18660000</v>
      </c>
      <c r="L16" s="21">
        <v>36136000</v>
      </c>
      <c r="M16">
        <f t="shared" si="0"/>
        <v>10274000</v>
      </c>
      <c r="N16">
        <f t="shared" si="1"/>
        <v>11418000</v>
      </c>
      <c r="O16">
        <f t="shared" si="2"/>
        <v>21692000</v>
      </c>
      <c r="P16" s="29">
        <v>0.72</v>
      </c>
      <c r="Q16" s="30">
        <f t="shared" si="3"/>
        <v>0.34101419878296146</v>
      </c>
      <c r="R16" s="30">
        <f t="shared" si="4"/>
        <v>0.72</v>
      </c>
    </row>
    <row r="17" spans="1:20" x14ac:dyDescent="0.2">
      <c r="A17" s="10">
        <v>1912</v>
      </c>
      <c r="B17" s="19">
        <v>7194000</v>
      </c>
      <c r="C17" s="20">
        <v>2938000</v>
      </c>
      <c r="D17" s="20">
        <v>6608000</v>
      </c>
      <c r="E17" s="20">
        <v>836000</v>
      </c>
      <c r="F17" s="19">
        <v>17576000</v>
      </c>
      <c r="G17" s="19">
        <v>7226000</v>
      </c>
      <c r="H17" s="20">
        <v>3229000</v>
      </c>
      <c r="I17" s="20">
        <v>7196000</v>
      </c>
      <c r="J17" s="20">
        <v>1100000</v>
      </c>
      <c r="K17" s="19">
        <v>18751000</v>
      </c>
      <c r="L17" s="21">
        <v>36327000</v>
      </c>
      <c r="M17">
        <f t="shared" si="0"/>
        <v>10382000</v>
      </c>
      <c r="N17">
        <f t="shared" si="1"/>
        <v>11525000</v>
      </c>
      <c r="O17">
        <f t="shared" si="2"/>
        <v>21907000</v>
      </c>
      <c r="P17" s="29">
        <v>0.74</v>
      </c>
      <c r="Q17" s="30">
        <f>7700000/GETPIVOTDATA("POP",$A$3,"YR",1912)</f>
        <v>0.21196355327992952</v>
      </c>
      <c r="R17" s="30">
        <f t="shared" si="4"/>
        <v>0.74</v>
      </c>
    </row>
    <row r="18" spans="1:20" x14ac:dyDescent="0.2">
      <c r="A18" s="10">
        <v>1913</v>
      </c>
      <c r="B18" s="19">
        <v>7207000</v>
      </c>
      <c r="C18" s="20">
        <v>2934000</v>
      </c>
      <c r="D18" s="20">
        <v>6704000</v>
      </c>
      <c r="E18" s="20">
        <v>848000</v>
      </c>
      <c r="F18" s="19">
        <v>17693000</v>
      </c>
      <c r="G18" s="19">
        <v>7235000</v>
      </c>
      <c r="H18" s="20">
        <v>3219000</v>
      </c>
      <c r="I18" s="20">
        <v>7306000</v>
      </c>
      <c r="J18" s="20">
        <v>1121000</v>
      </c>
      <c r="K18" s="19">
        <v>18881000</v>
      </c>
      <c r="L18" s="21">
        <v>36574000</v>
      </c>
      <c r="M18">
        <f t="shared" si="0"/>
        <v>10486000</v>
      </c>
      <c r="N18">
        <f t="shared" si="1"/>
        <v>11646000</v>
      </c>
      <c r="O18">
        <f t="shared" si="2"/>
        <v>22132000</v>
      </c>
      <c r="P18" s="29">
        <v>0.75</v>
      </c>
      <c r="Q18" s="30">
        <f t="shared" si="3"/>
        <v>0.35534520151816373</v>
      </c>
      <c r="R18" s="30">
        <f t="shared" si="4"/>
        <v>0.75</v>
      </c>
    </row>
    <row r="19" spans="1:20" x14ac:dyDescent="0.2">
      <c r="A19" s="10">
        <v>1914</v>
      </c>
      <c r="B19" s="19">
        <v>7247000</v>
      </c>
      <c r="C19" s="20">
        <v>2956000</v>
      </c>
      <c r="D19" s="20">
        <v>6826000</v>
      </c>
      <c r="E19" s="20">
        <v>864000</v>
      </c>
      <c r="F19" s="19">
        <v>17893000</v>
      </c>
      <c r="G19" s="19">
        <v>7263000</v>
      </c>
      <c r="H19" s="20">
        <v>3233000</v>
      </c>
      <c r="I19" s="20">
        <v>7442000</v>
      </c>
      <c r="J19" s="20">
        <v>1136000</v>
      </c>
      <c r="K19" s="19">
        <v>19074000</v>
      </c>
      <c r="L19" s="21">
        <v>36967000</v>
      </c>
      <c r="M19">
        <f t="shared" si="0"/>
        <v>10646000</v>
      </c>
      <c r="N19">
        <f t="shared" si="1"/>
        <v>11811000</v>
      </c>
      <c r="O19">
        <f t="shared" si="2"/>
        <v>22457000</v>
      </c>
      <c r="P19" s="29">
        <v>0.76</v>
      </c>
      <c r="Q19" s="30">
        <f t="shared" si="3"/>
        <v>0.36028677027207551</v>
      </c>
      <c r="R19" s="30">
        <f t="shared" si="4"/>
        <v>0.76</v>
      </c>
    </row>
    <row r="20" spans="1:20" x14ac:dyDescent="0.2">
      <c r="A20" s="10">
        <v>1915</v>
      </c>
      <c r="B20" s="19">
        <v>7012000</v>
      </c>
      <c r="C20" s="20">
        <v>1766000</v>
      </c>
      <c r="D20" s="20">
        <v>6360000</v>
      </c>
      <c r="E20" s="20">
        <v>871000</v>
      </c>
      <c r="F20" s="19">
        <v>16009000</v>
      </c>
      <c r="G20" s="19">
        <v>7284000</v>
      </c>
      <c r="H20" s="20">
        <v>3248000</v>
      </c>
      <c r="I20" s="20">
        <v>7591000</v>
      </c>
      <c r="J20" s="20">
        <v>1152000</v>
      </c>
      <c r="K20" s="19">
        <v>19275000</v>
      </c>
      <c r="L20" s="21">
        <v>35284000</v>
      </c>
      <c r="M20">
        <f t="shared" si="0"/>
        <v>8997000</v>
      </c>
      <c r="N20">
        <f t="shared" si="1"/>
        <v>11991000</v>
      </c>
      <c r="O20">
        <f t="shared" si="2"/>
        <v>20988000</v>
      </c>
      <c r="P20" s="29">
        <v>0.78</v>
      </c>
      <c r="Q20" s="30">
        <f t="shared" si="3"/>
        <v>0.33436535162950259</v>
      </c>
      <c r="R20" s="30">
        <f t="shared" si="4"/>
        <v>0.78</v>
      </c>
    </row>
    <row r="21" spans="1:20" x14ac:dyDescent="0.2">
      <c r="A21" s="10">
        <v>1916</v>
      </c>
      <c r="B21" s="19">
        <v>6946000</v>
      </c>
      <c r="C21" s="20">
        <v>1306000</v>
      </c>
      <c r="D21" s="20">
        <v>6090000</v>
      </c>
      <c r="E21" s="20">
        <v>884000</v>
      </c>
      <c r="F21" s="19">
        <v>15226000</v>
      </c>
      <c r="G21" s="19">
        <v>7262000</v>
      </c>
      <c r="H21" s="20">
        <v>3267000</v>
      </c>
      <c r="I21" s="20">
        <v>7717000</v>
      </c>
      <c r="J21" s="20">
        <v>1170000</v>
      </c>
      <c r="K21" s="19">
        <v>19416000</v>
      </c>
      <c r="L21" s="21">
        <v>34642000</v>
      </c>
      <c r="M21">
        <f t="shared" si="0"/>
        <v>8280000</v>
      </c>
      <c r="N21">
        <f t="shared" si="1"/>
        <v>12154000</v>
      </c>
      <c r="O21">
        <f t="shared" si="2"/>
        <v>20434000</v>
      </c>
      <c r="P21" s="29">
        <v>0.79</v>
      </c>
      <c r="Q21" s="30">
        <f t="shared" si="3"/>
        <v>0.32011353626309091</v>
      </c>
      <c r="R21" s="30">
        <f t="shared" si="4"/>
        <v>0.79</v>
      </c>
    </row>
    <row r="22" spans="1:20" x14ac:dyDescent="0.2">
      <c r="A22" s="10">
        <v>1917</v>
      </c>
      <c r="B22" s="19">
        <v>6857000</v>
      </c>
      <c r="C22" s="20">
        <v>1043000</v>
      </c>
      <c r="D22" s="20">
        <v>5869000</v>
      </c>
      <c r="E22" s="20">
        <v>896000</v>
      </c>
      <c r="F22" s="19">
        <v>14665000</v>
      </c>
      <c r="G22" s="19">
        <v>7212000</v>
      </c>
      <c r="H22" s="20">
        <v>3283000</v>
      </c>
      <c r="I22" s="20">
        <v>7845000</v>
      </c>
      <c r="J22" s="20">
        <v>1192000</v>
      </c>
      <c r="K22" s="19">
        <v>19532000</v>
      </c>
      <c r="L22" s="21">
        <v>34197000</v>
      </c>
      <c r="M22">
        <f t="shared" si="0"/>
        <v>7808000</v>
      </c>
      <c r="N22">
        <f t="shared" si="1"/>
        <v>12320000</v>
      </c>
      <c r="O22">
        <f t="shared" si="2"/>
        <v>20128000</v>
      </c>
      <c r="P22" s="29">
        <v>0.8</v>
      </c>
      <c r="Q22" s="30">
        <f t="shared" si="3"/>
        <v>0.31033386327503976</v>
      </c>
      <c r="R22" s="30">
        <f t="shared" si="4"/>
        <v>0.8</v>
      </c>
    </row>
    <row r="23" spans="1:20" x14ac:dyDescent="0.2">
      <c r="A23" s="10">
        <v>1918</v>
      </c>
      <c r="B23" s="19">
        <v>6817000</v>
      </c>
      <c r="C23" s="20">
        <v>965000</v>
      </c>
      <c r="D23" s="20">
        <v>5743000</v>
      </c>
      <c r="E23" s="20">
        <v>911000</v>
      </c>
      <c r="F23" s="19">
        <v>14436000</v>
      </c>
      <c r="G23" s="19">
        <v>7117000</v>
      </c>
      <c r="H23" s="20">
        <v>3291000</v>
      </c>
      <c r="I23" s="20">
        <v>7959000</v>
      </c>
      <c r="J23" s="20">
        <v>1221000</v>
      </c>
      <c r="K23" s="19">
        <v>19588000</v>
      </c>
      <c r="L23" s="21">
        <v>34024000</v>
      </c>
      <c r="M23">
        <f t="shared" si="0"/>
        <v>7619000</v>
      </c>
      <c r="N23">
        <f t="shared" si="1"/>
        <v>12471000</v>
      </c>
      <c r="O23">
        <f t="shared" si="2"/>
        <v>20090000</v>
      </c>
      <c r="P23" s="29">
        <v>1</v>
      </c>
      <c r="Q23">
        <f t="shared" si="3"/>
        <v>0.37924340467894474</v>
      </c>
      <c r="R23">
        <f>12900000/M23</f>
        <v>1.6931355820973881</v>
      </c>
      <c r="S23">
        <f>8500000/N23</f>
        <v>0.68158126854301981</v>
      </c>
      <c r="T23">
        <f>(GETPIVOTDATA("POP",$A$3,"YR",1918,"SEX","Female","AGE2","30 to 65")+GETPIVOTDATA("POP",$A$3,"YR",1918,"SEX","Female","AGE2","Over 65"))/N23</f>
        <v>0.73610777002646144</v>
      </c>
    </row>
    <row r="24" spans="1:20" x14ac:dyDescent="0.2">
      <c r="A24" s="10">
        <v>1919</v>
      </c>
      <c r="B24" s="19">
        <v>6846000</v>
      </c>
      <c r="C24" s="20">
        <v>1776000</v>
      </c>
      <c r="D24" s="20">
        <v>6320000</v>
      </c>
      <c r="E24" s="20">
        <v>929000</v>
      </c>
      <c r="F24" s="19">
        <v>15871000</v>
      </c>
      <c r="G24" s="19">
        <v>6988000</v>
      </c>
      <c r="H24" s="20">
        <v>3280000</v>
      </c>
      <c r="I24" s="20">
        <v>8036000</v>
      </c>
      <c r="J24" s="20">
        <v>1252000</v>
      </c>
      <c r="K24" s="19">
        <v>19556000</v>
      </c>
      <c r="L24" s="21">
        <v>35427000</v>
      </c>
      <c r="M24">
        <f t="shared" si="0"/>
        <v>9025000</v>
      </c>
      <c r="N24">
        <f t="shared" si="1"/>
        <v>12568000</v>
      </c>
      <c r="O24">
        <f t="shared" si="2"/>
        <v>21593000</v>
      </c>
      <c r="P24" s="29">
        <v>1</v>
      </c>
      <c r="Q24">
        <f t="shared" si="3"/>
        <v>0.4179595239197888</v>
      </c>
      <c r="R24">
        <f t="shared" ref="R24:R33" si="5">12900000/M24</f>
        <v>1.4293628808864265</v>
      </c>
      <c r="S24">
        <f t="shared" ref="S24:S33" si="6">8500000/N24</f>
        <v>0.67632081476766392</v>
      </c>
      <c r="T24">
        <f t="shared" ref="T24:T33" si="7">(GETPIVOTDATA("POP",$A$3,"YR",1918,"SEX","Female","AGE2","30 to 65")+GETPIVOTDATA("POP",$A$3,"YR",1918,"SEX","Female","AGE2","Over 65"))/N24</f>
        <v>0.73042647994907706</v>
      </c>
    </row>
    <row r="25" spans="1:20" x14ac:dyDescent="0.2">
      <c r="A25" s="10">
        <v>1920</v>
      </c>
      <c r="B25" s="19">
        <v>6967000</v>
      </c>
      <c r="C25" s="20">
        <v>2595000</v>
      </c>
      <c r="D25" s="20">
        <v>7065000</v>
      </c>
      <c r="E25" s="20">
        <v>956000</v>
      </c>
      <c r="F25" s="19">
        <v>17583000</v>
      </c>
      <c r="G25" s="19">
        <v>7014000</v>
      </c>
      <c r="H25" s="20">
        <v>3256000</v>
      </c>
      <c r="I25" s="20">
        <v>8108000</v>
      </c>
      <c r="J25" s="20">
        <v>1286000</v>
      </c>
      <c r="K25" s="19">
        <v>19664000</v>
      </c>
      <c r="L25" s="21">
        <v>37247000</v>
      </c>
      <c r="M25">
        <f t="shared" si="0"/>
        <v>10616000</v>
      </c>
      <c r="N25">
        <f t="shared" si="1"/>
        <v>12650000</v>
      </c>
      <c r="O25">
        <f t="shared" si="2"/>
        <v>23266000</v>
      </c>
      <c r="P25" s="29">
        <v>1</v>
      </c>
      <c r="Q25">
        <f t="shared" si="3"/>
        <v>0.45628814579214305</v>
      </c>
      <c r="R25">
        <f t="shared" si="5"/>
        <v>1.2151469480030144</v>
      </c>
      <c r="S25">
        <f t="shared" si="6"/>
        <v>0.67193675889328064</v>
      </c>
      <c r="T25">
        <f t="shared" si="7"/>
        <v>0.72569169960474311</v>
      </c>
    </row>
    <row r="26" spans="1:20" x14ac:dyDescent="0.2">
      <c r="A26" s="10">
        <v>1921</v>
      </c>
      <c r="B26" s="19">
        <v>7036000</v>
      </c>
      <c r="C26" s="20">
        <v>2788000</v>
      </c>
      <c r="D26" s="20">
        <v>7293000</v>
      </c>
      <c r="E26" s="20">
        <v>981000</v>
      </c>
      <c r="F26" s="19">
        <v>18098000</v>
      </c>
      <c r="G26" s="19">
        <v>7013000</v>
      </c>
      <c r="H26" s="20">
        <v>3323000</v>
      </c>
      <c r="I26" s="20">
        <v>8187000</v>
      </c>
      <c r="J26" s="20">
        <v>1311000</v>
      </c>
      <c r="K26" s="19">
        <v>19834000</v>
      </c>
      <c r="L26" s="21">
        <v>37932000</v>
      </c>
      <c r="M26">
        <f t="shared" si="0"/>
        <v>11062000</v>
      </c>
      <c r="N26">
        <f t="shared" si="1"/>
        <v>12821000</v>
      </c>
      <c r="O26">
        <f t="shared" si="2"/>
        <v>23883000</v>
      </c>
      <c r="P26" s="29">
        <v>1</v>
      </c>
      <c r="Q26">
        <f t="shared" si="3"/>
        <v>0.46317464305154293</v>
      </c>
      <c r="R26">
        <f t="shared" si="5"/>
        <v>1.1661544024588681</v>
      </c>
      <c r="S26">
        <f t="shared" si="6"/>
        <v>0.66297480695733557</v>
      </c>
      <c r="T26">
        <f t="shared" si="7"/>
        <v>0.7160127915139225</v>
      </c>
    </row>
    <row r="27" spans="1:20" x14ac:dyDescent="0.2">
      <c r="A27" s="10">
        <v>1922</v>
      </c>
      <c r="B27" s="19">
        <v>7054000</v>
      </c>
      <c r="C27" s="20">
        <v>2821000</v>
      </c>
      <c r="D27" s="20">
        <v>7370000</v>
      </c>
      <c r="E27" s="20">
        <v>1004000</v>
      </c>
      <c r="F27" s="19">
        <v>18249000</v>
      </c>
      <c r="G27" s="19">
        <v>6998000</v>
      </c>
      <c r="H27" s="20">
        <v>3340000</v>
      </c>
      <c r="I27" s="20">
        <v>8278000</v>
      </c>
      <c r="J27" s="20">
        <v>1340000</v>
      </c>
      <c r="K27" s="19">
        <v>19956000</v>
      </c>
      <c r="L27" s="21">
        <v>38205000</v>
      </c>
      <c r="M27">
        <f t="shared" si="0"/>
        <v>11195000</v>
      </c>
      <c r="N27">
        <f t="shared" si="1"/>
        <v>12958000</v>
      </c>
      <c r="O27">
        <f t="shared" si="2"/>
        <v>24153000</v>
      </c>
      <c r="P27" s="29">
        <v>1</v>
      </c>
      <c r="Q27">
        <f t="shared" si="3"/>
        <v>0.46350349853020328</v>
      </c>
      <c r="R27">
        <f t="shared" si="5"/>
        <v>1.1523001339883876</v>
      </c>
      <c r="S27">
        <f t="shared" si="6"/>
        <v>0.65596542676338943</v>
      </c>
      <c r="T27">
        <f t="shared" si="7"/>
        <v>0.70844266090446062</v>
      </c>
    </row>
    <row r="28" spans="1:20" x14ac:dyDescent="0.2">
      <c r="A28" s="10">
        <v>1923</v>
      </c>
      <c r="B28" s="19">
        <v>7031000</v>
      </c>
      <c r="C28" s="20">
        <v>2857000</v>
      </c>
      <c r="D28" s="20">
        <v>7445000</v>
      </c>
      <c r="E28" s="20">
        <v>1033000</v>
      </c>
      <c r="F28" s="19">
        <v>18366000</v>
      </c>
      <c r="G28" s="19">
        <v>6964000</v>
      </c>
      <c r="H28" s="20">
        <v>3354000</v>
      </c>
      <c r="I28" s="20">
        <v>8385000</v>
      </c>
      <c r="J28" s="20">
        <v>1380000</v>
      </c>
      <c r="K28" s="19">
        <v>20083000</v>
      </c>
      <c r="L28" s="21">
        <v>38449000</v>
      </c>
      <c r="M28">
        <f t="shared" si="0"/>
        <v>11335000</v>
      </c>
      <c r="N28">
        <f t="shared" si="1"/>
        <v>13119000</v>
      </c>
      <c r="O28">
        <f t="shared" si="2"/>
        <v>24454000</v>
      </c>
      <c r="P28" s="29">
        <v>1</v>
      </c>
      <c r="Q28">
        <f t="shared" si="3"/>
        <v>0.46352334996319622</v>
      </c>
      <c r="R28">
        <f t="shared" si="5"/>
        <v>1.1380679311865902</v>
      </c>
      <c r="S28">
        <f t="shared" si="6"/>
        <v>0.64791523744187818</v>
      </c>
      <c r="T28">
        <f t="shared" si="7"/>
        <v>0.69974845643722849</v>
      </c>
    </row>
    <row r="29" spans="1:20" x14ac:dyDescent="0.2">
      <c r="A29" s="10">
        <v>1924</v>
      </c>
      <c r="B29" s="19">
        <v>7029000</v>
      </c>
      <c r="C29" s="20">
        <v>2945000</v>
      </c>
      <c r="D29" s="20">
        <v>7542000</v>
      </c>
      <c r="E29" s="20">
        <v>1055000</v>
      </c>
      <c r="F29" s="19">
        <v>18571000</v>
      </c>
      <c r="G29" s="19">
        <v>6933000</v>
      </c>
      <c r="H29" s="20">
        <v>3386000</v>
      </c>
      <c r="I29" s="20">
        <v>8499000</v>
      </c>
      <c r="J29" s="20">
        <v>1406000</v>
      </c>
      <c r="K29" s="19">
        <v>20224000</v>
      </c>
      <c r="L29" s="21">
        <v>38795000</v>
      </c>
      <c r="M29">
        <f t="shared" si="0"/>
        <v>11542000</v>
      </c>
      <c r="N29">
        <f t="shared" si="1"/>
        <v>13291000</v>
      </c>
      <c r="O29">
        <f t="shared" si="2"/>
        <v>24833000</v>
      </c>
      <c r="P29" s="29">
        <v>1</v>
      </c>
      <c r="Q29">
        <f t="shared" si="3"/>
        <v>0.46478476221157333</v>
      </c>
      <c r="R29">
        <f t="shared" si="5"/>
        <v>1.1176572517761221</v>
      </c>
      <c r="S29">
        <f t="shared" si="6"/>
        <v>0.63953050936724098</v>
      </c>
      <c r="T29">
        <f t="shared" si="7"/>
        <v>0.69069295011662024</v>
      </c>
    </row>
    <row r="30" spans="1:20" x14ac:dyDescent="0.2">
      <c r="A30" s="10">
        <v>1925</v>
      </c>
      <c r="B30" s="19">
        <v>6956000</v>
      </c>
      <c r="C30" s="20">
        <v>2983000</v>
      </c>
      <c r="D30" s="20">
        <v>7608000</v>
      </c>
      <c r="E30" s="20">
        <v>1078000</v>
      </c>
      <c r="F30" s="19">
        <v>18625000</v>
      </c>
      <c r="G30" s="19">
        <v>6872000</v>
      </c>
      <c r="H30" s="20">
        <v>3394000</v>
      </c>
      <c r="I30" s="20">
        <v>8608000</v>
      </c>
      <c r="J30" s="20">
        <v>1436000</v>
      </c>
      <c r="K30" s="19">
        <v>20310000</v>
      </c>
      <c r="L30" s="21">
        <v>38935000</v>
      </c>
      <c r="M30">
        <f t="shared" si="0"/>
        <v>11669000</v>
      </c>
      <c r="N30">
        <f t="shared" si="1"/>
        <v>13438000</v>
      </c>
      <c r="O30">
        <f t="shared" si="2"/>
        <v>25107000</v>
      </c>
      <c r="P30" s="29">
        <v>1</v>
      </c>
      <c r="Q30">
        <f t="shared" si="3"/>
        <v>0.4647707810570757</v>
      </c>
      <c r="R30">
        <f t="shared" si="5"/>
        <v>1.1054931870768703</v>
      </c>
      <c r="S30">
        <f t="shared" si="6"/>
        <v>0.63253460336359579</v>
      </c>
      <c r="T30">
        <f t="shared" si="7"/>
        <v>0.6831373716326834</v>
      </c>
    </row>
    <row r="31" spans="1:20" x14ac:dyDescent="0.2">
      <c r="A31" s="10">
        <v>1926</v>
      </c>
      <c r="B31" s="19">
        <v>6898000</v>
      </c>
      <c r="C31" s="20">
        <v>3043000</v>
      </c>
      <c r="D31" s="20">
        <v>7660000</v>
      </c>
      <c r="E31" s="20">
        <v>1121000</v>
      </c>
      <c r="F31" s="19">
        <v>18722000</v>
      </c>
      <c r="G31" s="19">
        <v>6809000</v>
      </c>
      <c r="H31" s="20">
        <v>3410000</v>
      </c>
      <c r="I31" s="20">
        <v>8682000</v>
      </c>
      <c r="J31" s="20">
        <v>1491000</v>
      </c>
      <c r="K31" s="19">
        <v>20392000</v>
      </c>
      <c r="L31" s="21">
        <v>39114000</v>
      </c>
      <c r="M31">
        <f t="shared" si="0"/>
        <v>11824000</v>
      </c>
      <c r="N31">
        <f t="shared" si="1"/>
        <v>13583000</v>
      </c>
      <c r="O31">
        <f t="shared" si="2"/>
        <v>25407000</v>
      </c>
      <c r="P31" s="29">
        <v>1</v>
      </c>
      <c r="Q31">
        <f t="shared" si="3"/>
        <v>0.4653835557129925</v>
      </c>
      <c r="R31">
        <f t="shared" si="5"/>
        <v>1.0910013531799729</v>
      </c>
      <c r="S31">
        <f t="shared" si="6"/>
        <v>0.62578222778473092</v>
      </c>
      <c r="T31">
        <f t="shared" si="7"/>
        <v>0.6758448060075094</v>
      </c>
    </row>
    <row r="32" spans="1:20" x14ac:dyDescent="0.2">
      <c r="A32" s="10">
        <v>1927</v>
      </c>
      <c r="B32" s="19">
        <v>6823000</v>
      </c>
      <c r="C32" s="20">
        <v>3111000</v>
      </c>
      <c r="D32" s="20">
        <v>7720000</v>
      </c>
      <c r="E32" s="20">
        <v>1148000</v>
      </c>
      <c r="F32" s="19">
        <v>18802000</v>
      </c>
      <c r="G32" s="19">
        <v>6743000</v>
      </c>
      <c r="H32" s="20">
        <v>3428000</v>
      </c>
      <c r="I32" s="20">
        <v>8786000</v>
      </c>
      <c r="J32" s="20">
        <v>1527000</v>
      </c>
      <c r="K32" s="19">
        <v>20484000</v>
      </c>
      <c r="L32" s="21">
        <v>39286000</v>
      </c>
      <c r="M32">
        <f t="shared" si="0"/>
        <v>11979000</v>
      </c>
      <c r="N32">
        <f t="shared" si="1"/>
        <v>13741000</v>
      </c>
      <c r="O32">
        <f t="shared" si="2"/>
        <v>25720000</v>
      </c>
      <c r="P32" s="29">
        <v>1</v>
      </c>
      <c r="Q32">
        <f t="shared" si="3"/>
        <v>0.46574650077760499</v>
      </c>
      <c r="R32">
        <f t="shared" si="5"/>
        <v>1.0768845479589282</v>
      </c>
      <c r="S32">
        <f t="shared" si="6"/>
        <v>0.61858671130194309</v>
      </c>
      <c r="T32">
        <f t="shared" si="7"/>
        <v>0.66807364820609849</v>
      </c>
    </row>
    <row r="33" spans="1:20" x14ac:dyDescent="0.2">
      <c r="A33" s="10">
        <v>1928</v>
      </c>
      <c r="B33" s="19">
        <v>6742000</v>
      </c>
      <c r="C33" s="20">
        <v>3185000</v>
      </c>
      <c r="D33" s="20">
        <v>7781000</v>
      </c>
      <c r="E33" s="20">
        <v>1189000</v>
      </c>
      <c r="F33" s="19">
        <v>18897000</v>
      </c>
      <c r="G33" s="19">
        <v>6662000</v>
      </c>
      <c r="H33" s="20">
        <v>3459000</v>
      </c>
      <c r="I33" s="20">
        <v>8884000</v>
      </c>
      <c r="J33" s="20">
        <v>1581000</v>
      </c>
      <c r="K33" s="19">
        <v>20586000</v>
      </c>
      <c r="L33" s="21">
        <v>39483000</v>
      </c>
      <c r="M33">
        <f t="shared" si="0"/>
        <v>12155000</v>
      </c>
      <c r="N33">
        <f t="shared" si="1"/>
        <v>13924000</v>
      </c>
      <c r="O33">
        <f t="shared" si="2"/>
        <v>26079000</v>
      </c>
      <c r="P33" s="29">
        <v>1</v>
      </c>
      <c r="Q33">
        <f t="shared" si="3"/>
        <v>0.46608382223244754</v>
      </c>
      <c r="R33">
        <f t="shared" si="5"/>
        <v>1.0612916495269435</v>
      </c>
      <c r="S33">
        <f t="shared" si="6"/>
        <v>0.6104567652973284</v>
      </c>
      <c r="T33">
        <f t="shared" si="7"/>
        <v>0.65929330652111462</v>
      </c>
    </row>
    <row r="34" spans="1:20" x14ac:dyDescent="0.2">
      <c r="A34" s="10">
        <v>1929</v>
      </c>
      <c r="B34" s="19">
        <v>6656000</v>
      </c>
      <c r="C34" s="20">
        <v>3260000</v>
      </c>
      <c r="D34" s="20">
        <v>7839000</v>
      </c>
      <c r="E34" s="20">
        <v>1206000</v>
      </c>
      <c r="F34" s="19">
        <v>18961000</v>
      </c>
      <c r="G34" s="19">
        <v>6575000</v>
      </c>
      <c r="H34" s="20">
        <v>3488000</v>
      </c>
      <c r="I34" s="20">
        <v>8975000</v>
      </c>
      <c r="J34" s="20">
        <v>1601000</v>
      </c>
      <c r="K34" s="19">
        <v>20639000</v>
      </c>
      <c r="L34" s="21">
        <v>39600000</v>
      </c>
      <c r="M34">
        <f t="shared" si="0"/>
        <v>12305000</v>
      </c>
      <c r="N34">
        <f t="shared" si="1"/>
        <v>14064000</v>
      </c>
      <c r="O34">
        <f t="shared" si="2"/>
        <v>26369000</v>
      </c>
      <c r="Q34">
        <f>O34/GETPIVOTDATA("POP",$A$3,"YR",1929)</f>
        <v>0.66588383838383836</v>
      </c>
    </row>
    <row r="35" spans="1:20" x14ac:dyDescent="0.2">
      <c r="A35" s="10">
        <v>1930</v>
      </c>
      <c r="B35" s="19">
        <v>6587000</v>
      </c>
      <c r="C35" s="20">
        <v>3310000</v>
      </c>
      <c r="D35" s="20">
        <v>7925000</v>
      </c>
      <c r="E35" s="20">
        <v>1250000</v>
      </c>
      <c r="F35" s="19">
        <v>19072000</v>
      </c>
      <c r="G35" s="19">
        <v>6498000</v>
      </c>
      <c r="H35" s="20">
        <v>3499000</v>
      </c>
      <c r="I35" s="20">
        <v>9074000</v>
      </c>
      <c r="J35" s="20">
        <v>1658000</v>
      </c>
      <c r="K35" s="19">
        <v>20729000</v>
      </c>
      <c r="L35" s="21">
        <v>39801000</v>
      </c>
      <c r="M35">
        <f t="shared" si="0"/>
        <v>12485000</v>
      </c>
      <c r="N35">
        <f t="shared" si="1"/>
        <v>14231000</v>
      </c>
      <c r="O35">
        <f t="shared" si="2"/>
        <v>26716000</v>
      </c>
      <c r="Q35">
        <f t="shared" ref="Q35:Q98" si="8">O35/GETPIVOTDATA("POP",$A$3,"YR",1929)</f>
        <v>0.67464646464646461</v>
      </c>
    </row>
    <row r="36" spans="1:20" x14ac:dyDescent="0.2">
      <c r="A36" s="10">
        <v>1931</v>
      </c>
      <c r="B36" s="19">
        <v>6520100</v>
      </c>
      <c r="C36" s="20">
        <v>3349800</v>
      </c>
      <c r="D36" s="20">
        <v>8012600</v>
      </c>
      <c r="E36" s="20">
        <v>1277500</v>
      </c>
      <c r="F36" s="19">
        <v>19160000</v>
      </c>
      <c r="G36" s="19">
        <v>6435700</v>
      </c>
      <c r="H36" s="20">
        <v>3520500</v>
      </c>
      <c r="I36" s="20">
        <v>9177400</v>
      </c>
      <c r="J36" s="20">
        <v>1694400</v>
      </c>
      <c r="K36" s="19">
        <v>20828000</v>
      </c>
      <c r="L36" s="21">
        <v>39988000</v>
      </c>
      <c r="M36">
        <f t="shared" si="0"/>
        <v>12639900</v>
      </c>
      <c r="N36">
        <f t="shared" si="1"/>
        <v>14392300</v>
      </c>
      <c r="O36">
        <f t="shared" si="2"/>
        <v>27032200</v>
      </c>
      <c r="Q36">
        <f t="shared" si="8"/>
        <v>0.68263131313131309</v>
      </c>
    </row>
    <row r="37" spans="1:20" x14ac:dyDescent="0.2">
      <c r="A37" s="10">
        <v>1932</v>
      </c>
      <c r="B37" s="19">
        <v>6459800</v>
      </c>
      <c r="C37" s="20">
        <v>3370300</v>
      </c>
      <c r="D37" s="20">
        <v>8138100</v>
      </c>
      <c r="E37" s="20">
        <v>1311800</v>
      </c>
      <c r="F37" s="19">
        <v>19280000</v>
      </c>
      <c r="G37" s="19">
        <v>6364700</v>
      </c>
      <c r="H37" s="20">
        <v>3532000</v>
      </c>
      <c r="I37" s="20">
        <v>9283900</v>
      </c>
      <c r="J37" s="20">
        <v>1740400</v>
      </c>
      <c r="K37" s="19">
        <v>20921000</v>
      </c>
      <c r="L37" s="21">
        <v>40201000</v>
      </c>
      <c r="M37">
        <f t="shared" si="0"/>
        <v>12820200</v>
      </c>
      <c r="N37">
        <f t="shared" si="1"/>
        <v>14556300</v>
      </c>
      <c r="O37">
        <f t="shared" si="2"/>
        <v>27376500</v>
      </c>
      <c r="Q37">
        <f t="shared" si="8"/>
        <v>0.69132575757575754</v>
      </c>
    </row>
    <row r="38" spans="1:20" x14ac:dyDescent="0.2">
      <c r="A38" s="10">
        <v>1933</v>
      </c>
      <c r="B38" s="19">
        <v>6382300</v>
      </c>
      <c r="C38" s="20">
        <v>3379700</v>
      </c>
      <c r="D38" s="20">
        <v>8248000</v>
      </c>
      <c r="E38" s="20">
        <v>1346500</v>
      </c>
      <c r="F38" s="19">
        <v>19356500</v>
      </c>
      <c r="G38" s="19">
        <v>6280100</v>
      </c>
      <c r="H38" s="20">
        <v>3539100</v>
      </c>
      <c r="I38" s="20">
        <v>9387900</v>
      </c>
      <c r="J38" s="20">
        <v>1785900</v>
      </c>
      <c r="K38" s="19">
        <v>20993000</v>
      </c>
      <c r="L38" s="21">
        <v>40349500</v>
      </c>
      <c r="M38">
        <f t="shared" si="0"/>
        <v>12974200</v>
      </c>
      <c r="N38">
        <f t="shared" si="1"/>
        <v>14712900</v>
      </c>
      <c r="O38">
        <f t="shared" si="2"/>
        <v>27687100</v>
      </c>
      <c r="Q38">
        <f t="shared" si="8"/>
        <v>0.69916919191919191</v>
      </c>
    </row>
    <row r="39" spans="1:20" x14ac:dyDescent="0.2">
      <c r="A39" s="10">
        <v>1934</v>
      </c>
      <c r="B39" s="19">
        <v>6288700</v>
      </c>
      <c r="C39" s="20">
        <v>3388000</v>
      </c>
      <c r="D39" s="20">
        <v>8347900</v>
      </c>
      <c r="E39" s="20">
        <v>1387400</v>
      </c>
      <c r="F39" s="19">
        <v>19412000</v>
      </c>
      <c r="G39" s="19">
        <v>6182700</v>
      </c>
      <c r="H39" s="20">
        <v>3544000</v>
      </c>
      <c r="I39" s="20">
        <v>9489500</v>
      </c>
      <c r="J39" s="20">
        <v>1838800</v>
      </c>
      <c r="K39" s="19">
        <v>21055000</v>
      </c>
      <c r="L39" s="21">
        <v>40467000</v>
      </c>
      <c r="M39">
        <f t="shared" si="0"/>
        <v>13123300</v>
      </c>
      <c r="N39">
        <f t="shared" si="1"/>
        <v>14872300</v>
      </c>
      <c r="O39">
        <f t="shared" si="2"/>
        <v>27995600</v>
      </c>
      <c r="Q39">
        <f t="shared" si="8"/>
        <v>0.70695959595959601</v>
      </c>
    </row>
    <row r="40" spans="1:20" x14ac:dyDescent="0.2">
      <c r="A40" s="10">
        <v>1935</v>
      </c>
      <c r="B40" s="19">
        <v>6217300</v>
      </c>
      <c r="C40" s="20">
        <v>3394600</v>
      </c>
      <c r="D40" s="20">
        <v>8456400</v>
      </c>
      <c r="E40" s="20">
        <v>1431700</v>
      </c>
      <c r="F40" s="19">
        <v>19500000</v>
      </c>
      <c r="G40" s="19">
        <v>6106700</v>
      </c>
      <c r="H40" s="20">
        <v>3538400</v>
      </c>
      <c r="I40" s="20">
        <v>9603400</v>
      </c>
      <c r="J40" s="20">
        <v>1896500</v>
      </c>
      <c r="K40" s="19">
        <v>21145000</v>
      </c>
      <c r="L40" s="21">
        <v>40645000</v>
      </c>
      <c r="M40">
        <f t="shared" si="0"/>
        <v>13282700</v>
      </c>
      <c r="N40">
        <f t="shared" si="1"/>
        <v>15038300</v>
      </c>
      <c r="O40">
        <f t="shared" si="2"/>
        <v>28321000</v>
      </c>
      <c r="Q40">
        <f t="shared" si="8"/>
        <v>0.71517676767676763</v>
      </c>
    </row>
    <row r="41" spans="1:20" x14ac:dyDescent="0.2">
      <c r="A41" s="10">
        <v>1936</v>
      </c>
      <c r="B41" s="19">
        <v>6184400</v>
      </c>
      <c r="C41" s="20">
        <v>3367400</v>
      </c>
      <c r="D41" s="20">
        <v>8569900</v>
      </c>
      <c r="E41" s="20">
        <v>1469900</v>
      </c>
      <c r="F41" s="19">
        <v>19591600</v>
      </c>
      <c r="G41" s="19">
        <v>6069700</v>
      </c>
      <c r="H41" s="20">
        <v>3506600</v>
      </c>
      <c r="I41" s="20">
        <v>9719700</v>
      </c>
      <c r="J41" s="20">
        <v>1952000</v>
      </c>
      <c r="K41" s="19">
        <v>21248000</v>
      </c>
      <c r="L41" s="21">
        <v>40839600</v>
      </c>
      <c r="M41">
        <f t="shared" si="0"/>
        <v>13407200</v>
      </c>
      <c r="N41">
        <f t="shared" si="1"/>
        <v>15178300</v>
      </c>
      <c r="O41">
        <f t="shared" si="2"/>
        <v>28585500</v>
      </c>
      <c r="Q41">
        <f t="shared" si="8"/>
        <v>0.72185606060606056</v>
      </c>
    </row>
    <row r="42" spans="1:20" x14ac:dyDescent="0.2">
      <c r="A42" s="10">
        <v>1937</v>
      </c>
      <c r="B42" s="19">
        <v>6171100</v>
      </c>
      <c r="C42" s="20">
        <v>3339800</v>
      </c>
      <c r="D42" s="20">
        <v>8686400</v>
      </c>
      <c r="E42" s="20">
        <v>1507700</v>
      </c>
      <c r="F42" s="19">
        <v>19705000</v>
      </c>
      <c r="G42" s="19">
        <v>6051600</v>
      </c>
      <c r="H42" s="20">
        <v>3449200</v>
      </c>
      <c r="I42" s="20">
        <v>9820500</v>
      </c>
      <c r="J42" s="20">
        <v>2004700</v>
      </c>
      <c r="K42" s="19">
        <v>21326000</v>
      </c>
      <c r="L42" s="21">
        <v>41031000</v>
      </c>
      <c r="M42">
        <f t="shared" si="0"/>
        <v>13533900</v>
      </c>
      <c r="N42">
        <f t="shared" si="1"/>
        <v>15274400</v>
      </c>
      <c r="O42">
        <f t="shared" si="2"/>
        <v>28808300</v>
      </c>
      <c r="Q42">
        <f t="shared" si="8"/>
        <v>0.7274823232323232</v>
      </c>
    </row>
    <row r="43" spans="1:20" x14ac:dyDescent="0.2">
      <c r="A43" s="10">
        <v>1938</v>
      </c>
      <c r="B43" s="19">
        <v>6186500</v>
      </c>
      <c r="C43" s="20">
        <v>3263900</v>
      </c>
      <c r="D43" s="20">
        <v>8790900</v>
      </c>
      <c r="E43" s="20">
        <v>1550700</v>
      </c>
      <c r="F43" s="19">
        <v>19792000</v>
      </c>
      <c r="G43" s="19">
        <v>6074100</v>
      </c>
      <c r="H43" s="20">
        <v>3354400</v>
      </c>
      <c r="I43" s="20">
        <v>9926200</v>
      </c>
      <c r="J43" s="20">
        <v>2068300</v>
      </c>
      <c r="K43" s="19">
        <v>21423000</v>
      </c>
      <c r="L43" s="21">
        <v>41215000</v>
      </c>
      <c r="M43">
        <f t="shared" si="0"/>
        <v>13605500</v>
      </c>
      <c r="N43">
        <f t="shared" si="1"/>
        <v>15348900</v>
      </c>
      <c r="O43">
        <f t="shared" si="2"/>
        <v>28954400</v>
      </c>
      <c r="Q43">
        <f t="shared" si="8"/>
        <v>0.73117171717171714</v>
      </c>
    </row>
    <row r="44" spans="1:20" x14ac:dyDescent="0.2">
      <c r="A44" s="10">
        <v>1939</v>
      </c>
      <c r="B44" s="19">
        <v>6171400</v>
      </c>
      <c r="C44" s="20">
        <v>3058100</v>
      </c>
      <c r="D44" s="20">
        <v>8859800</v>
      </c>
      <c r="E44" s="20">
        <v>1598200</v>
      </c>
      <c r="F44" s="19">
        <v>19687500</v>
      </c>
      <c r="G44" s="19">
        <v>6105700</v>
      </c>
      <c r="H44" s="20">
        <v>3268900</v>
      </c>
      <c r="I44" s="20">
        <v>10050200</v>
      </c>
      <c r="J44" s="20">
        <v>2133700</v>
      </c>
      <c r="K44" s="19">
        <v>21558500</v>
      </c>
      <c r="L44" s="21">
        <v>41246000</v>
      </c>
      <c r="M44">
        <f t="shared" si="0"/>
        <v>13516100</v>
      </c>
      <c r="N44">
        <f t="shared" si="1"/>
        <v>15452800</v>
      </c>
      <c r="O44">
        <f t="shared" si="2"/>
        <v>28968900</v>
      </c>
      <c r="Q44">
        <f t="shared" si="8"/>
        <v>0.73153787878787879</v>
      </c>
    </row>
    <row r="45" spans="1:20" x14ac:dyDescent="0.2">
      <c r="A45" s="10">
        <v>1940</v>
      </c>
      <c r="B45" s="19">
        <v>5980000</v>
      </c>
      <c r="C45" s="20">
        <v>2043000</v>
      </c>
      <c r="D45" s="20">
        <v>8600000</v>
      </c>
      <c r="E45" s="20">
        <v>1620000</v>
      </c>
      <c r="F45" s="19">
        <v>18243000</v>
      </c>
      <c r="G45" s="19">
        <v>5992000</v>
      </c>
      <c r="H45" s="20">
        <v>3328000</v>
      </c>
      <c r="I45" s="20">
        <v>10155000</v>
      </c>
      <c r="J45" s="20">
        <v>2171000</v>
      </c>
      <c r="K45" s="19">
        <v>21646000</v>
      </c>
      <c r="L45" s="21">
        <v>39889000</v>
      </c>
      <c r="M45">
        <f t="shared" si="0"/>
        <v>12263000</v>
      </c>
      <c r="N45">
        <f t="shared" si="1"/>
        <v>15654000</v>
      </c>
      <c r="O45">
        <f t="shared" si="2"/>
        <v>27917000</v>
      </c>
      <c r="Q45">
        <f t="shared" si="8"/>
        <v>0.70497474747474742</v>
      </c>
    </row>
    <row r="46" spans="1:20" x14ac:dyDescent="0.2">
      <c r="A46" s="10">
        <v>1941</v>
      </c>
      <c r="B46" s="19">
        <v>5774000</v>
      </c>
      <c r="C46" s="20">
        <v>1459000</v>
      </c>
      <c r="D46" s="20">
        <v>8344000</v>
      </c>
      <c r="E46" s="20">
        <v>1651000</v>
      </c>
      <c r="F46" s="19">
        <v>17228000</v>
      </c>
      <c r="G46" s="19">
        <v>5829000</v>
      </c>
      <c r="H46" s="20">
        <v>3278000</v>
      </c>
      <c r="I46" s="20">
        <v>10196000</v>
      </c>
      <c r="J46" s="20">
        <v>2212000</v>
      </c>
      <c r="K46" s="19">
        <v>21515000</v>
      </c>
      <c r="L46" s="21">
        <v>38743000</v>
      </c>
      <c r="M46">
        <f t="shared" si="0"/>
        <v>11454000</v>
      </c>
      <c r="N46">
        <f t="shared" si="1"/>
        <v>15686000</v>
      </c>
      <c r="O46">
        <f t="shared" si="2"/>
        <v>27140000</v>
      </c>
      <c r="Q46">
        <f t="shared" si="8"/>
        <v>0.68535353535353538</v>
      </c>
    </row>
    <row r="47" spans="1:20" x14ac:dyDescent="0.2">
      <c r="A47" s="10">
        <v>1942</v>
      </c>
      <c r="B47" s="19">
        <v>5675000</v>
      </c>
      <c r="C47" s="20">
        <v>1323000</v>
      </c>
      <c r="D47" s="20">
        <v>8103000</v>
      </c>
      <c r="E47" s="20">
        <v>1701000</v>
      </c>
      <c r="F47" s="19">
        <v>16802000</v>
      </c>
      <c r="G47" s="19">
        <v>5718000</v>
      </c>
      <c r="H47" s="20">
        <v>3164000</v>
      </c>
      <c r="I47" s="20">
        <v>10275000</v>
      </c>
      <c r="J47" s="20">
        <v>2284000</v>
      </c>
      <c r="K47" s="19">
        <v>21441000</v>
      </c>
      <c r="L47" s="21">
        <v>38243000</v>
      </c>
      <c r="M47">
        <f t="shared" si="0"/>
        <v>11127000</v>
      </c>
      <c r="N47">
        <f t="shared" si="1"/>
        <v>15723000</v>
      </c>
      <c r="O47">
        <f t="shared" si="2"/>
        <v>26850000</v>
      </c>
      <c r="Q47">
        <f t="shared" si="8"/>
        <v>0.67803030303030298</v>
      </c>
    </row>
    <row r="48" spans="1:20" x14ac:dyDescent="0.2">
      <c r="A48" s="10">
        <v>1943</v>
      </c>
      <c r="B48" s="19">
        <v>5553000</v>
      </c>
      <c r="C48" s="20">
        <v>1136000</v>
      </c>
      <c r="D48" s="20">
        <v>7884000</v>
      </c>
      <c r="E48" s="20">
        <v>1761000</v>
      </c>
      <c r="F48" s="19">
        <v>16334000</v>
      </c>
      <c r="G48" s="19">
        <v>5697000</v>
      </c>
      <c r="H48" s="20">
        <v>3056000</v>
      </c>
      <c r="I48" s="20">
        <v>10361000</v>
      </c>
      <c r="J48" s="20">
        <v>2370000</v>
      </c>
      <c r="K48" s="19">
        <v>21484000</v>
      </c>
      <c r="L48" s="21">
        <v>37818000</v>
      </c>
      <c r="M48">
        <f t="shared" si="0"/>
        <v>10781000</v>
      </c>
      <c r="N48">
        <f t="shared" si="1"/>
        <v>15787000</v>
      </c>
      <c r="O48">
        <f t="shared" si="2"/>
        <v>26568000</v>
      </c>
      <c r="Q48">
        <f t="shared" si="8"/>
        <v>0.6709090909090909</v>
      </c>
    </row>
    <row r="49" spans="1:17" x14ac:dyDescent="0.2">
      <c r="A49" s="10">
        <v>1944</v>
      </c>
      <c r="B49" s="19">
        <v>5564000</v>
      </c>
      <c r="C49" s="20">
        <v>1031000</v>
      </c>
      <c r="D49" s="20">
        <v>7788000</v>
      </c>
      <c r="E49" s="20">
        <v>1805000</v>
      </c>
      <c r="F49" s="19">
        <v>16188000</v>
      </c>
      <c r="G49" s="19">
        <v>5724000</v>
      </c>
      <c r="H49" s="20">
        <v>2998000</v>
      </c>
      <c r="I49" s="20">
        <v>10437000</v>
      </c>
      <c r="J49" s="20">
        <v>2438000</v>
      </c>
      <c r="K49" s="19">
        <v>21597000</v>
      </c>
      <c r="L49" s="21">
        <v>37785000</v>
      </c>
      <c r="M49">
        <f t="shared" si="0"/>
        <v>10624000</v>
      </c>
      <c r="N49">
        <f t="shared" si="1"/>
        <v>15873000</v>
      </c>
      <c r="O49">
        <f t="shared" si="2"/>
        <v>26497000</v>
      </c>
      <c r="Q49">
        <f t="shared" si="8"/>
        <v>0.66911616161616161</v>
      </c>
    </row>
    <row r="50" spans="1:17" x14ac:dyDescent="0.2">
      <c r="A50" s="10">
        <v>1945</v>
      </c>
      <c r="B50" s="19">
        <v>5601000</v>
      </c>
      <c r="C50" s="20">
        <v>1013000</v>
      </c>
      <c r="D50" s="20">
        <v>7740000</v>
      </c>
      <c r="E50" s="20">
        <v>1846000</v>
      </c>
      <c r="F50" s="19">
        <v>16200000</v>
      </c>
      <c r="G50" s="19">
        <v>5742000</v>
      </c>
      <c r="H50" s="20">
        <v>2957000</v>
      </c>
      <c r="I50" s="20">
        <v>10504000</v>
      </c>
      <c r="J50" s="20">
        <v>2513000</v>
      </c>
      <c r="K50" s="19">
        <v>21716000</v>
      </c>
      <c r="L50" s="21">
        <v>37916000</v>
      </c>
      <c r="M50">
        <f t="shared" si="0"/>
        <v>10599000</v>
      </c>
      <c r="N50">
        <f t="shared" si="1"/>
        <v>15974000</v>
      </c>
      <c r="O50">
        <f t="shared" si="2"/>
        <v>26573000</v>
      </c>
      <c r="Q50">
        <f t="shared" si="8"/>
        <v>0.67103535353535348</v>
      </c>
    </row>
    <row r="51" spans="1:17" x14ac:dyDescent="0.2">
      <c r="A51" s="10">
        <v>1946</v>
      </c>
      <c r="B51" s="19">
        <v>5661000</v>
      </c>
      <c r="C51" s="20">
        <v>1977000</v>
      </c>
      <c r="D51" s="20">
        <v>9093000</v>
      </c>
      <c r="E51" s="20">
        <v>1885000</v>
      </c>
      <c r="F51" s="19">
        <v>18616000</v>
      </c>
      <c r="G51" s="19">
        <v>5777000</v>
      </c>
      <c r="H51" s="20">
        <v>3153000</v>
      </c>
      <c r="I51" s="20">
        <v>10489000</v>
      </c>
      <c r="J51" s="20">
        <v>2560000</v>
      </c>
      <c r="K51" s="19">
        <v>21979000</v>
      </c>
      <c r="L51" s="21">
        <v>40595000</v>
      </c>
      <c r="M51">
        <f t="shared" si="0"/>
        <v>12955000</v>
      </c>
      <c r="N51">
        <f t="shared" si="1"/>
        <v>16202000</v>
      </c>
      <c r="O51">
        <f t="shared" si="2"/>
        <v>29157000</v>
      </c>
      <c r="Q51">
        <f t="shared" si="8"/>
        <v>0.73628787878787882</v>
      </c>
    </row>
    <row r="52" spans="1:17" x14ac:dyDescent="0.2">
      <c r="A52" s="10">
        <v>1947</v>
      </c>
      <c r="B52" s="19">
        <v>5747000</v>
      </c>
      <c r="C52" s="20">
        <v>2563000</v>
      </c>
      <c r="D52" s="20">
        <v>9397000</v>
      </c>
      <c r="E52" s="20">
        <v>1905000</v>
      </c>
      <c r="F52" s="19">
        <v>19612000</v>
      </c>
      <c r="G52" s="19">
        <v>5886000</v>
      </c>
      <c r="H52" s="20">
        <v>3184000</v>
      </c>
      <c r="I52" s="20">
        <v>10486000</v>
      </c>
      <c r="J52" s="20">
        <v>2618000</v>
      </c>
      <c r="K52" s="19">
        <v>22174000</v>
      </c>
      <c r="L52" s="21">
        <v>41786000</v>
      </c>
      <c r="M52">
        <f t="shared" si="0"/>
        <v>13865000</v>
      </c>
      <c r="N52">
        <f t="shared" si="1"/>
        <v>16288000</v>
      </c>
      <c r="O52">
        <f t="shared" si="2"/>
        <v>30153000</v>
      </c>
      <c r="Q52">
        <f t="shared" si="8"/>
        <v>0.76143939393939397</v>
      </c>
    </row>
    <row r="53" spans="1:17" x14ac:dyDescent="0.2">
      <c r="A53" s="10">
        <v>1948</v>
      </c>
      <c r="B53" s="19">
        <v>5903000</v>
      </c>
      <c r="C53" s="20">
        <v>3010000</v>
      </c>
      <c r="D53" s="20">
        <v>9510000</v>
      </c>
      <c r="E53" s="20">
        <v>1947000</v>
      </c>
      <c r="F53" s="19">
        <v>20370000</v>
      </c>
      <c r="G53" s="19">
        <v>5974000</v>
      </c>
      <c r="H53" s="20">
        <v>3239000</v>
      </c>
      <c r="I53" s="20">
        <v>10471000</v>
      </c>
      <c r="J53" s="20">
        <v>2696000</v>
      </c>
      <c r="K53" s="19">
        <v>22380000</v>
      </c>
      <c r="L53" s="21">
        <v>42750000</v>
      </c>
      <c r="M53">
        <f t="shared" si="0"/>
        <v>14467000</v>
      </c>
      <c r="N53">
        <f t="shared" si="1"/>
        <v>16406000</v>
      </c>
      <c r="O53">
        <f t="shared" si="2"/>
        <v>30873000</v>
      </c>
      <c r="Q53">
        <f t="shared" si="8"/>
        <v>0.77962121212121216</v>
      </c>
    </row>
    <row r="54" spans="1:17" x14ac:dyDescent="0.2">
      <c r="A54" s="10">
        <v>1949</v>
      </c>
      <c r="B54" s="19">
        <v>5987000</v>
      </c>
      <c r="C54" s="20">
        <v>3091000</v>
      </c>
      <c r="D54" s="20">
        <v>9534000</v>
      </c>
      <c r="E54" s="20">
        <v>1968000</v>
      </c>
      <c r="F54" s="19">
        <v>20580000</v>
      </c>
      <c r="G54" s="19">
        <v>6044000</v>
      </c>
      <c r="H54" s="20">
        <v>3277000</v>
      </c>
      <c r="I54" s="20">
        <v>10451000</v>
      </c>
      <c r="J54" s="20">
        <v>2748000</v>
      </c>
      <c r="K54" s="19">
        <v>22520000</v>
      </c>
      <c r="L54" s="21">
        <v>43100000</v>
      </c>
      <c r="M54">
        <f t="shared" si="0"/>
        <v>14593000</v>
      </c>
      <c r="N54">
        <f t="shared" si="1"/>
        <v>16476000</v>
      </c>
      <c r="O54">
        <f t="shared" si="2"/>
        <v>31069000</v>
      </c>
      <c r="Q54">
        <f t="shared" si="8"/>
        <v>0.78457070707070709</v>
      </c>
    </row>
    <row r="55" spans="1:17" x14ac:dyDescent="0.2">
      <c r="A55" s="10">
        <v>1950</v>
      </c>
      <c r="B55" s="19">
        <v>6264000</v>
      </c>
      <c r="C55" s="20">
        <v>3159000</v>
      </c>
      <c r="D55" s="20">
        <v>9756000</v>
      </c>
      <c r="E55" s="20">
        <v>1990000</v>
      </c>
      <c r="F55" s="19">
        <v>21169000</v>
      </c>
      <c r="G55" s="19">
        <v>6102000</v>
      </c>
      <c r="H55" s="20">
        <v>3190000</v>
      </c>
      <c r="I55" s="20">
        <v>10571000</v>
      </c>
      <c r="J55" s="20">
        <v>2798000</v>
      </c>
      <c r="K55" s="19">
        <v>22661000</v>
      </c>
      <c r="L55" s="21">
        <v>43830000</v>
      </c>
      <c r="M55">
        <f t="shared" si="0"/>
        <v>14905000</v>
      </c>
      <c r="N55">
        <f t="shared" si="1"/>
        <v>16559000</v>
      </c>
      <c r="O55">
        <f t="shared" si="2"/>
        <v>31464000</v>
      </c>
      <c r="Q55">
        <f t="shared" si="8"/>
        <v>0.79454545454545455</v>
      </c>
    </row>
    <row r="56" spans="1:17" x14ac:dyDescent="0.2">
      <c r="A56" s="10">
        <v>1951</v>
      </c>
      <c r="B56" s="19">
        <v>6307000</v>
      </c>
      <c r="C56" s="20">
        <v>3032000</v>
      </c>
      <c r="D56" s="20">
        <v>9729000</v>
      </c>
      <c r="E56" s="20">
        <v>1976000</v>
      </c>
      <c r="F56" s="19">
        <v>21044000</v>
      </c>
      <c r="G56" s="19">
        <v>6134000</v>
      </c>
      <c r="H56" s="20">
        <v>3127000</v>
      </c>
      <c r="I56" s="20">
        <v>10646000</v>
      </c>
      <c r="J56" s="20">
        <v>2864000</v>
      </c>
      <c r="K56" s="19">
        <v>22771000</v>
      </c>
      <c r="L56" s="21">
        <v>43815000</v>
      </c>
      <c r="M56">
        <f t="shared" si="0"/>
        <v>14737000</v>
      </c>
      <c r="N56">
        <f t="shared" si="1"/>
        <v>16637000</v>
      </c>
      <c r="O56">
        <f t="shared" si="2"/>
        <v>31374000</v>
      </c>
      <c r="Q56">
        <f t="shared" si="8"/>
        <v>0.79227272727272724</v>
      </c>
    </row>
    <row r="57" spans="1:17" x14ac:dyDescent="0.2">
      <c r="A57" s="10">
        <v>1952</v>
      </c>
      <c r="B57" s="19">
        <v>6341000</v>
      </c>
      <c r="C57" s="20">
        <v>2958000</v>
      </c>
      <c r="D57" s="20">
        <v>9814000</v>
      </c>
      <c r="E57" s="20">
        <v>1997000</v>
      </c>
      <c r="F57" s="19">
        <v>21110000</v>
      </c>
      <c r="G57" s="19">
        <v>6164000</v>
      </c>
      <c r="H57" s="20">
        <v>3060000</v>
      </c>
      <c r="I57" s="20">
        <v>10696000</v>
      </c>
      <c r="J57" s="20">
        <v>2925000</v>
      </c>
      <c r="K57" s="19">
        <v>22845000</v>
      </c>
      <c r="L57" s="21">
        <v>43955000</v>
      </c>
      <c r="M57">
        <f t="shared" si="0"/>
        <v>14769000</v>
      </c>
      <c r="N57">
        <f t="shared" si="1"/>
        <v>16681000</v>
      </c>
      <c r="O57">
        <f t="shared" si="2"/>
        <v>31450000</v>
      </c>
      <c r="Q57">
        <f t="shared" si="8"/>
        <v>0.79419191919191923</v>
      </c>
    </row>
    <row r="58" spans="1:17" x14ac:dyDescent="0.2">
      <c r="A58" s="10">
        <v>1953</v>
      </c>
      <c r="B58" s="19">
        <v>6388000</v>
      </c>
      <c r="C58" s="20">
        <v>2938000</v>
      </c>
      <c r="D58" s="20">
        <v>9875000</v>
      </c>
      <c r="E58" s="20">
        <v>2005000</v>
      </c>
      <c r="F58" s="19">
        <v>21206000</v>
      </c>
      <c r="G58" s="19">
        <v>6208000</v>
      </c>
      <c r="H58" s="20">
        <v>2999000</v>
      </c>
      <c r="I58" s="20">
        <v>10726000</v>
      </c>
      <c r="J58" s="20">
        <v>2970000</v>
      </c>
      <c r="K58" s="19">
        <v>22903000</v>
      </c>
      <c r="L58" s="21">
        <v>44109000</v>
      </c>
      <c r="M58">
        <f t="shared" si="0"/>
        <v>14818000</v>
      </c>
      <c r="N58">
        <f t="shared" si="1"/>
        <v>16695000</v>
      </c>
      <c r="O58">
        <f t="shared" si="2"/>
        <v>31513000</v>
      </c>
      <c r="Q58">
        <f t="shared" si="8"/>
        <v>0.79578282828282831</v>
      </c>
    </row>
    <row r="59" spans="1:17" x14ac:dyDescent="0.2">
      <c r="A59" s="10">
        <v>1954</v>
      </c>
      <c r="B59" s="19">
        <v>6438000</v>
      </c>
      <c r="C59" s="20">
        <v>2886000</v>
      </c>
      <c r="D59" s="20">
        <v>9939000</v>
      </c>
      <c r="E59" s="20">
        <v>2025000</v>
      </c>
      <c r="F59" s="19">
        <v>21288000</v>
      </c>
      <c r="G59" s="19">
        <v>6262000</v>
      </c>
      <c r="H59" s="20">
        <v>2941000</v>
      </c>
      <c r="I59" s="20">
        <v>10751000</v>
      </c>
      <c r="J59" s="20">
        <v>3032000</v>
      </c>
      <c r="K59" s="19">
        <v>22986000</v>
      </c>
      <c r="L59" s="21">
        <v>44274000</v>
      </c>
      <c r="M59">
        <f t="shared" si="0"/>
        <v>14850000</v>
      </c>
      <c r="N59">
        <f t="shared" si="1"/>
        <v>16724000</v>
      </c>
      <c r="O59">
        <f t="shared" si="2"/>
        <v>31574000</v>
      </c>
      <c r="Q59">
        <f t="shared" si="8"/>
        <v>0.79732323232323232</v>
      </c>
    </row>
    <row r="60" spans="1:17" x14ac:dyDescent="0.2">
      <c r="A60" s="10">
        <v>1955</v>
      </c>
      <c r="B60" s="19">
        <v>6504000</v>
      </c>
      <c r="C60" s="20">
        <v>2852000</v>
      </c>
      <c r="D60" s="20">
        <v>10000000</v>
      </c>
      <c r="E60" s="20">
        <v>2033000</v>
      </c>
      <c r="F60" s="19">
        <v>21389000</v>
      </c>
      <c r="G60" s="19">
        <v>6296000</v>
      </c>
      <c r="H60" s="20">
        <v>2902000</v>
      </c>
      <c r="I60" s="20">
        <v>10779000</v>
      </c>
      <c r="J60" s="20">
        <v>3075000</v>
      </c>
      <c r="K60" s="19">
        <v>23052000</v>
      </c>
      <c r="L60" s="21">
        <v>44441000</v>
      </c>
      <c r="M60">
        <f t="shared" si="0"/>
        <v>14885000</v>
      </c>
      <c r="N60">
        <f t="shared" si="1"/>
        <v>16756000</v>
      </c>
      <c r="O60">
        <f t="shared" si="2"/>
        <v>31641000</v>
      </c>
      <c r="Q60">
        <f t="shared" si="8"/>
        <v>0.79901515151515157</v>
      </c>
    </row>
    <row r="61" spans="1:17" x14ac:dyDescent="0.2">
      <c r="A61" s="10">
        <v>1956</v>
      </c>
      <c r="B61" s="19">
        <v>6569000</v>
      </c>
      <c r="C61" s="20">
        <v>2848000</v>
      </c>
      <c r="D61" s="20">
        <v>10055000</v>
      </c>
      <c r="E61" s="20">
        <v>2045000</v>
      </c>
      <c r="F61" s="19">
        <v>21517000</v>
      </c>
      <c r="G61" s="19">
        <v>6351000</v>
      </c>
      <c r="H61" s="20">
        <v>2868000</v>
      </c>
      <c r="I61" s="20">
        <v>10803000</v>
      </c>
      <c r="J61" s="20">
        <v>3128000</v>
      </c>
      <c r="K61" s="19">
        <v>23150000</v>
      </c>
      <c r="L61" s="21">
        <v>44667000</v>
      </c>
      <c r="M61">
        <f t="shared" si="0"/>
        <v>14948000</v>
      </c>
      <c r="N61">
        <f t="shared" si="1"/>
        <v>16799000</v>
      </c>
      <c r="O61">
        <f t="shared" si="2"/>
        <v>31747000</v>
      </c>
      <c r="Q61">
        <f t="shared" si="8"/>
        <v>0.80169191919191918</v>
      </c>
    </row>
    <row r="62" spans="1:17" x14ac:dyDescent="0.2">
      <c r="A62" s="10">
        <v>1957</v>
      </c>
      <c r="B62" s="19">
        <v>6649000</v>
      </c>
      <c r="C62" s="20">
        <v>2833000</v>
      </c>
      <c r="D62" s="20">
        <v>10096000</v>
      </c>
      <c r="E62" s="20">
        <v>2070000</v>
      </c>
      <c r="F62" s="19">
        <v>21648000</v>
      </c>
      <c r="G62" s="19">
        <v>6397000</v>
      </c>
      <c r="H62" s="20">
        <v>2851000</v>
      </c>
      <c r="I62" s="20">
        <v>10815000</v>
      </c>
      <c r="J62" s="20">
        <v>3196000</v>
      </c>
      <c r="K62" s="19">
        <v>23259000</v>
      </c>
      <c r="L62" s="21">
        <v>44907000</v>
      </c>
      <c r="M62">
        <f t="shared" si="0"/>
        <v>14999000</v>
      </c>
      <c r="N62">
        <f t="shared" si="1"/>
        <v>16862000</v>
      </c>
      <c r="O62">
        <f t="shared" si="2"/>
        <v>31861000</v>
      </c>
      <c r="Q62">
        <f t="shared" si="8"/>
        <v>0.8045707070707071</v>
      </c>
    </row>
    <row r="63" spans="1:17" x14ac:dyDescent="0.2">
      <c r="A63" s="10">
        <v>1958</v>
      </c>
      <c r="B63" s="19">
        <v>6718000</v>
      </c>
      <c r="C63" s="20">
        <v>2832000</v>
      </c>
      <c r="D63" s="20">
        <v>10122000</v>
      </c>
      <c r="E63" s="20">
        <v>2072000</v>
      </c>
      <c r="F63" s="19">
        <v>21744000</v>
      </c>
      <c r="G63" s="19">
        <v>6455000</v>
      </c>
      <c r="H63" s="20">
        <v>2851000</v>
      </c>
      <c r="I63" s="20">
        <v>10820000</v>
      </c>
      <c r="J63" s="20">
        <v>3239000</v>
      </c>
      <c r="K63" s="19">
        <v>23365000</v>
      </c>
      <c r="L63" s="21">
        <v>45109000</v>
      </c>
      <c r="M63">
        <f t="shared" si="0"/>
        <v>15026000</v>
      </c>
      <c r="N63">
        <f t="shared" si="1"/>
        <v>16910000</v>
      </c>
      <c r="O63">
        <f t="shared" si="2"/>
        <v>31936000</v>
      </c>
      <c r="Q63">
        <f t="shared" si="8"/>
        <v>0.80646464646464644</v>
      </c>
    </row>
    <row r="64" spans="1:17" x14ac:dyDescent="0.2">
      <c r="A64" s="10">
        <v>1959</v>
      </c>
      <c r="B64" s="19">
        <v>6815000</v>
      </c>
      <c r="C64" s="20">
        <v>2834000</v>
      </c>
      <c r="D64" s="20">
        <v>10156000</v>
      </c>
      <c r="E64" s="20">
        <v>2080000</v>
      </c>
      <c r="F64" s="19">
        <v>21885000</v>
      </c>
      <c r="G64" s="19">
        <v>6526000</v>
      </c>
      <c r="H64" s="20">
        <v>2855000</v>
      </c>
      <c r="I64" s="20">
        <v>10831000</v>
      </c>
      <c r="J64" s="20">
        <v>3289000</v>
      </c>
      <c r="K64" s="19">
        <v>23501000</v>
      </c>
      <c r="L64" s="21">
        <v>45386000</v>
      </c>
      <c r="M64">
        <f t="shared" si="0"/>
        <v>15070000</v>
      </c>
      <c r="N64">
        <f t="shared" si="1"/>
        <v>16975000</v>
      </c>
      <c r="O64">
        <f t="shared" si="2"/>
        <v>32045000</v>
      </c>
      <c r="Q64">
        <f t="shared" si="8"/>
        <v>0.80921717171717167</v>
      </c>
    </row>
    <row r="65" spans="1:17" x14ac:dyDescent="0.2">
      <c r="A65" s="10">
        <v>1960</v>
      </c>
      <c r="B65" s="19">
        <v>6932000</v>
      </c>
      <c r="C65" s="20">
        <v>2863000</v>
      </c>
      <c r="D65" s="20">
        <v>10204000</v>
      </c>
      <c r="E65" s="20">
        <v>2098000</v>
      </c>
      <c r="F65" s="19">
        <v>22097000</v>
      </c>
      <c r="G65" s="19">
        <v>6631000</v>
      </c>
      <c r="H65" s="20">
        <v>2863000</v>
      </c>
      <c r="I65" s="20">
        <v>10828000</v>
      </c>
      <c r="J65" s="20">
        <v>3356000</v>
      </c>
      <c r="K65" s="19">
        <v>23678000</v>
      </c>
      <c r="L65" s="21">
        <v>45775000</v>
      </c>
      <c r="M65">
        <f t="shared" si="0"/>
        <v>15165000</v>
      </c>
      <c r="N65">
        <f t="shared" si="1"/>
        <v>17047000</v>
      </c>
      <c r="O65">
        <f t="shared" si="2"/>
        <v>32212000</v>
      </c>
      <c r="Q65">
        <f t="shared" si="8"/>
        <v>0.8134343434343434</v>
      </c>
    </row>
    <row r="66" spans="1:17" x14ac:dyDescent="0.2">
      <c r="A66" s="10">
        <v>1961</v>
      </c>
      <c r="B66" s="19">
        <v>7084300</v>
      </c>
      <c r="C66" s="20">
        <v>2878900</v>
      </c>
      <c r="D66" s="20">
        <v>10275900</v>
      </c>
      <c r="E66" s="20">
        <v>2107900</v>
      </c>
      <c r="F66" s="19">
        <v>22347000</v>
      </c>
      <c r="G66" s="19">
        <v>6772100</v>
      </c>
      <c r="H66" s="20">
        <v>2852200</v>
      </c>
      <c r="I66" s="20">
        <v>10819800</v>
      </c>
      <c r="J66" s="20">
        <v>3405100</v>
      </c>
      <c r="K66" s="19">
        <v>23849200</v>
      </c>
      <c r="L66" s="21">
        <v>46196200</v>
      </c>
      <c r="M66">
        <f t="shared" si="0"/>
        <v>15262700</v>
      </c>
      <c r="N66">
        <f t="shared" si="1"/>
        <v>17077100</v>
      </c>
      <c r="O66">
        <f t="shared" si="2"/>
        <v>32339800</v>
      </c>
      <c r="Q66">
        <f t="shared" si="8"/>
        <v>0.81666161616161614</v>
      </c>
    </row>
    <row r="67" spans="1:17" x14ac:dyDescent="0.2">
      <c r="A67" s="10">
        <v>1962</v>
      </c>
      <c r="B67" s="19">
        <v>7237900</v>
      </c>
      <c r="C67" s="20">
        <v>2919400</v>
      </c>
      <c r="D67" s="20">
        <v>10347900</v>
      </c>
      <c r="E67" s="20">
        <v>2126200</v>
      </c>
      <c r="F67" s="19">
        <v>22631400</v>
      </c>
      <c r="G67" s="19">
        <v>6886600</v>
      </c>
      <c r="H67" s="20">
        <v>2871000</v>
      </c>
      <c r="I67" s="20">
        <v>10816900</v>
      </c>
      <c r="J67" s="20">
        <v>3451500</v>
      </c>
      <c r="K67" s="19">
        <v>24026000</v>
      </c>
      <c r="L67" s="21">
        <v>46657400</v>
      </c>
      <c r="M67">
        <f t="shared" si="0"/>
        <v>15393500</v>
      </c>
      <c r="N67">
        <f t="shared" si="1"/>
        <v>17139400</v>
      </c>
      <c r="O67">
        <f t="shared" si="2"/>
        <v>32532900</v>
      </c>
      <c r="Q67">
        <f t="shared" si="8"/>
        <v>0.82153787878787876</v>
      </c>
    </row>
    <row r="68" spans="1:17" x14ac:dyDescent="0.2">
      <c r="A68" s="10">
        <v>1963</v>
      </c>
      <c r="B68" s="19">
        <v>7340200</v>
      </c>
      <c r="C68" s="20">
        <v>2952900</v>
      </c>
      <c r="D68" s="20">
        <v>10351900</v>
      </c>
      <c r="E68" s="20">
        <v>2141500</v>
      </c>
      <c r="F68" s="19">
        <v>22786500</v>
      </c>
      <c r="G68" s="19">
        <v>6979100</v>
      </c>
      <c r="H68" s="20">
        <v>2912700</v>
      </c>
      <c r="I68" s="20">
        <v>10795400</v>
      </c>
      <c r="J68" s="20">
        <v>3499200</v>
      </c>
      <c r="K68" s="19">
        <v>24186400</v>
      </c>
      <c r="L68" s="21">
        <v>46972900</v>
      </c>
      <c r="M68">
        <f t="shared" si="0"/>
        <v>15446300</v>
      </c>
      <c r="N68">
        <f t="shared" si="1"/>
        <v>17207300</v>
      </c>
      <c r="O68">
        <f t="shared" si="2"/>
        <v>32653600</v>
      </c>
      <c r="Q68">
        <f t="shared" si="8"/>
        <v>0.82458585858585853</v>
      </c>
    </row>
    <row r="69" spans="1:17" x14ac:dyDescent="0.2">
      <c r="A69" s="10">
        <v>1964</v>
      </c>
      <c r="B69" s="19">
        <v>7426000</v>
      </c>
      <c r="C69" s="20">
        <v>3017900</v>
      </c>
      <c r="D69" s="20">
        <v>10354800</v>
      </c>
      <c r="E69" s="20">
        <v>2179800</v>
      </c>
      <c r="F69" s="19">
        <v>22978500</v>
      </c>
      <c r="G69" s="19">
        <v>7056100</v>
      </c>
      <c r="H69" s="20">
        <v>2965900</v>
      </c>
      <c r="I69" s="20">
        <v>10756100</v>
      </c>
      <c r="J69" s="20">
        <v>3567600</v>
      </c>
      <c r="K69" s="19">
        <v>24345700</v>
      </c>
      <c r="L69" s="21">
        <v>47324200</v>
      </c>
      <c r="M69">
        <f t="shared" si="0"/>
        <v>15552500</v>
      </c>
      <c r="N69">
        <f t="shared" si="1"/>
        <v>17289600</v>
      </c>
      <c r="O69">
        <f t="shared" si="2"/>
        <v>32842100</v>
      </c>
      <c r="Q69">
        <f t="shared" si="8"/>
        <v>0.82934595959595958</v>
      </c>
    </row>
    <row r="70" spans="1:17" x14ac:dyDescent="0.2">
      <c r="A70" s="10">
        <v>1965</v>
      </c>
      <c r="B70" s="19">
        <v>7512800</v>
      </c>
      <c r="C70" s="20">
        <v>3070700</v>
      </c>
      <c r="D70" s="20">
        <v>10336900</v>
      </c>
      <c r="E70" s="20">
        <v>2230200</v>
      </c>
      <c r="F70" s="19">
        <v>23150600</v>
      </c>
      <c r="G70" s="19">
        <v>7132400</v>
      </c>
      <c r="H70" s="20">
        <v>3020900</v>
      </c>
      <c r="I70" s="20">
        <v>10720300</v>
      </c>
      <c r="J70" s="20">
        <v>3647000</v>
      </c>
      <c r="K70" s="19">
        <v>24520600</v>
      </c>
      <c r="L70" s="21">
        <v>47671200</v>
      </c>
      <c r="M70">
        <f t="shared" si="0"/>
        <v>15637800</v>
      </c>
      <c r="N70">
        <f t="shared" si="1"/>
        <v>17388200</v>
      </c>
      <c r="O70">
        <f t="shared" si="2"/>
        <v>33026000</v>
      </c>
      <c r="Q70">
        <f t="shared" si="8"/>
        <v>0.83398989898989895</v>
      </c>
    </row>
    <row r="71" spans="1:17" x14ac:dyDescent="0.2">
      <c r="A71" s="10">
        <v>1966</v>
      </c>
      <c r="B71" s="19">
        <v>7570500</v>
      </c>
      <c r="C71" s="20">
        <v>3145300</v>
      </c>
      <c r="D71" s="20">
        <v>10327100</v>
      </c>
      <c r="E71" s="20">
        <v>2252900</v>
      </c>
      <c r="F71" s="19">
        <v>23295800</v>
      </c>
      <c r="G71" s="19">
        <v>7211400</v>
      </c>
      <c r="H71" s="20">
        <v>3082600</v>
      </c>
      <c r="I71" s="20">
        <v>10676300</v>
      </c>
      <c r="J71" s="20">
        <v>3700400</v>
      </c>
      <c r="K71" s="19">
        <v>24670700</v>
      </c>
      <c r="L71" s="21">
        <v>47966500</v>
      </c>
      <c r="M71">
        <f t="shared" ref="M71:M105" si="9">SUM(C71:E71)</f>
        <v>15725300</v>
      </c>
      <c r="N71">
        <f t="shared" ref="N71:N105" si="10">SUM(H71:J71)</f>
        <v>17459300</v>
      </c>
      <c r="O71">
        <f t="shared" ref="O71:O105" si="11">N71+M71</f>
        <v>33184600</v>
      </c>
      <c r="Q71">
        <f t="shared" si="8"/>
        <v>0.83799494949494946</v>
      </c>
    </row>
    <row r="72" spans="1:17" x14ac:dyDescent="0.2">
      <c r="A72" s="10">
        <v>1967</v>
      </c>
      <c r="B72" s="19">
        <v>7558100</v>
      </c>
      <c r="C72" s="20">
        <v>3279200</v>
      </c>
      <c r="D72" s="20">
        <v>10297900</v>
      </c>
      <c r="E72" s="20">
        <v>2316200</v>
      </c>
      <c r="F72" s="19">
        <v>23451400</v>
      </c>
      <c r="G72" s="19">
        <v>7197600</v>
      </c>
      <c r="H72" s="20">
        <v>3213300</v>
      </c>
      <c r="I72" s="20">
        <v>10634500</v>
      </c>
      <c r="J72" s="20">
        <v>3775300</v>
      </c>
      <c r="K72" s="19">
        <v>24820700</v>
      </c>
      <c r="L72" s="21">
        <v>48272100</v>
      </c>
      <c r="M72">
        <f t="shared" si="9"/>
        <v>15893300</v>
      </c>
      <c r="N72">
        <f t="shared" si="10"/>
        <v>17623100</v>
      </c>
      <c r="O72">
        <f t="shared" si="11"/>
        <v>33516400</v>
      </c>
      <c r="Q72">
        <f t="shared" si="8"/>
        <v>0.84637373737373733</v>
      </c>
    </row>
    <row r="73" spans="1:17" x14ac:dyDescent="0.2">
      <c r="A73" s="10">
        <v>1968</v>
      </c>
      <c r="B73" s="19">
        <v>7577800</v>
      </c>
      <c r="C73" s="20">
        <v>3363500</v>
      </c>
      <c r="D73" s="20">
        <v>10249200</v>
      </c>
      <c r="E73" s="20">
        <v>2363100</v>
      </c>
      <c r="F73" s="19">
        <v>23553600</v>
      </c>
      <c r="G73" s="19">
        <v>7229200</v>
      </c>
      <c r="H73" s="20">
        <v>3305000</v>
      </c>
      <c r="I73" s="20">
        <v>10580400</v>
      </c>
      <c r="J73" s="20">
        <v>3842500</v>
      </c>
      <c r="K73" s="19">
        <v>24957100</v>
      </c>
      <c r="L73" s="21">
        <v>48510700</v>
      </c>
      <c r="M73">
        <f t="shared" si="9"/>
        <v>15975800</v>
      </c>
      <c r="N73">
        <f t="shared" si="10"/>
        <v>17727900</v>
      </c>
      <c r="O73">
        <f t="shared" si="11"/>
        <v>33703700</v>
      </c>
      <c r="Q73">
        <f t="shared" si="8"/>
        <v>0.85110353535353533</v>
      </c>
    </row>
    <row r="74" spans="1:17" x14ac:dyDescent="0.2">
      <c r="A74" s="10">
        <v>1969</v>
      </c>
      <c r="B74" s="19">
        <v>7616900</v>
      </c>
      <c r="C74" s="20">
        <v>3424300</v>
      </c>
      <c r="D74" s="20">
        <v>10205700</v>
      </c>
      <c r="E74" s="20">
        <v>2419500</v>
      </c>
      <c r="F74" s="19">
        <v>23666400</v>
      </c>
      <c r="G74" s="19">
        <v>7263800</v>
      </c>
      <c r="H74" s="20">
        <v>3364200</v>
      </c>
      <c r="I74" s="20">
        <v>10527500</v>
      </c>
      <c r="J74" s="20">
        <v>3916300</v>
      </c>
      <c r="K74" s="19">
        <v>25071800</v>
      </c>
      <c r="L74" s="21">
        <v>48738200</v>
      </c>
      <c r="M74">
        <f t="shared" si="9"/>
        <v>16049500</v>
      </c>
      <c r="N74">
        <f t="shared" si="10"/>
        <v>17808000</v>
      </c>
      <c r="O74">
        <f t="shared" si="11"/>
        <v>33857500</v>
      </c>
      <c r="Q74">
        <f t="shared" si="8"/>
        <v>0.85498737373737377</v>
      </c>
    </row>
    <row r="75" spans="1:17" x14ac:dyDescent="0.2">
      <c r="A75" s="10">
        <v>1970</v>
      </c>
      <c r="B75" s="19">
        <v>7638000</v>
      </c>
      <c r="C75" s="20">
        <v>3480200</v>
      </c>
      <c r="D75" s="20">
        <v>10150000</v>
      </c>
      <c r="E75" s="20">
        <v>2470000</v>
      </c>
      <c r="F75" s="19">
        <v>23738200</v>
      </c>
      <c r="G75" s="19">
        <v>7291000</v>
      </c>
      <c r="H75" s="20">
        <v>3415600</v>
      </c>
      <c r="I75" s="20">
        <v>10464100</v>
      </c>
      <c r="J75" s="20">
        <v>3982400</v>
      </c>
      <c r="K75" s="19">
        <v>25153100</v>
      </c>
      <c r="L75" s="21">
        <v>48891300</v>
      </c>
      <c r="M75">
        <f t="shared" si="9"/>
        <v>16100200</v>
      </c>
      <c r="N75">
        <f t="shared" si="10"/>
        <v>17862100</v>
      </c>
      <c r="O75">
        <f t="shared" si="11"/>
        <v>33962300</v>
      </c>
      <c r="Q75">
        <f t="shared" si="8"/>
        <v>0.85763383838383833</v>
      </c>
    </row>
    <row r="76" spans="1:17" x14ac:dyDescent="0.2">
      <c r="A76" s="10">
        <v>1971</v>
      </c>
      <c r="B76" s="19">
        <v>7695400</v>
      </c>
      <c r="C76" s="20">
        <v>3557400</v>
      </c>
      <c r="D76" s="20">
        <v>10117300</v>
      </c>
      <c r="E76" s="20">
        <v>2526900</v>
      </c>
      <c r="F76" s="19">
        <v>23897000</v>
      </c>
      <c r="G76" s="19">
        <v>7304900</v>
      </c>
      <c r="H76" s="20">
        <v>3483000</v>
      </c>
      <c r="I76" s="20">
        <v>10402200</v>
      </c>
      <c r="J76" s="20">
        <v>4064900</v>
      </c>
      <c r="K76" s="19">
        <v>25255000</v>
      </c>
      <c r="L76" s="21">
        <v>49152000</v>
      </c>
      <c r="M76">
        <f t="shared" si="9"/>
        <v>16201600</v>
      </c>
      <c r="N76">
        <f t="shared" si="10"/>
        <v>17950100</v>
      </c>
      <c r="O76">
        <f t="shared" si="11"/>
        <v>34151700</v>
      </c>
      <c r="Q76">
        <f t="shared" si="8"/>
        <v>0.86241666666666672</v>
      </c>
    </row>
    <row r="77" spans="1:17" x14ac:dyDescent="0.2">
      <c r="A77" s="10">
        <v>1972</v>
      </c>
      <c r="B77" s="19">
        <v>7731700</v>
      </c>
      <c r="C77" s="20">
        <v>3601200</v>
      </c>
      <c r="D77" s="20">
        <v>10077700</v>
      </c>
      <c r="E77" s="20">
        <v>2578000</v>
      </c>
      <c r="F77" s="19">
        <v>23988600</v>
      </c>
      <c r="G77" s="19">
        <v>7340300</v>
      </c>
      <c r="H77" s="20">
        <v>3521100</v>
      </c>
      <c r="I77" s="20">
        <v>10350200</v>
      </c>
      <c r="J77" s="20">
        <v>4126900</v>
      </c>
      <c r="K77" s="19">
        <v>25338500</v>
      </c>
      <c r="L77" s="21">
        <v>49327100</v>
      </c>
      <c r="M77">
        <f t="shared" si="9"/>
        <v>16256900</v>
      </c>
      <c r="N77">
        <f t="shared" si="10"/>
        <v>17998200</v>
      </c>
      <c r="O77">
        <f t="shared" si="11"/>
        <v>34255100</v>
      </c>
      <c r="Q77">
        <f t="shared" si="8"/>
        <v>0.86502777777777773</v>
      </c>
    </row>
    <row r="78" spans="1:17" x14ac:dyDescent="0.2">
      <c r="A78" s="10">
        <v>1973</v>
      </c>
      <c r="B78" s="19">
        <v>7740900</v>
      </c>
      <c r="C78" s="20">
        <v>3618600</v>
      </c>
      <c r="D78" s="20">
        <v>10070800</v>
      </c>
      <c r="E78" s="20">
        <v>2630200</v>
      </c>
      <c r="F78" s="19">
        <v>24060500</v>
      </c>
      <c r="G78" s="19">
        <v>7352000</v>
      </c>
      <c r="H78" s="20">
        <v>3537400</v>
      </c>
      <c r="I78" s="20">
        <v>10323100</v>
      </c>
      <c r="J78" s="20">
        <v>4186000</v>
      </c>
      <c r="K78" s="19">
        <v>25398500</v>
      </c>
      <c r="L78" s="21">
        <v>49459000</v>
      </c>
      <c r="M78">
        <f t="shared" si="9"/>
        <v>16319600</v>
      </c>
      <c r="N78">
        <f t="shared" si="10"/>
        <v>18046500</v>
      </c>
      <c r="O78">
        <f t="shared" si="11"/>
        <v>34366100</v>
      </c>
      <c r="Q78">
        <f t="shared" si="8"/>
        <v>0.86783080808080804</v>
      </c>
    </row>
    <row r="79" spans="1:17" x14ac:dyDescent="0.2">
      <c r="A79" s="10">
        <v>1974</v>
      </c>
      <c r="B79" s="19">
        <v>7711300</v>
      </c>
      <c r="C79" s="20">
        <v>3619500</v>
      </c>
      <c r="D79" s="20">
        <v>10061500</v>
      </c>
      <c r="E79" s="20">
        <v>2682200</v>
      </c>
      <c r="F79" s="19">
        <v>24074500</v>
      </c>
      <c r="G79" s="19">
        <v>7324800</v>
      </c>
      <c r="H79" s="20">
        <v>3530200</v>
      </c>
      <c r="I79" s="20">
        <v>10291400</v>
      </c>
      <c r="J79" s="20">
        <v>4247000</v>
      </c>
      <c r="K79" s="19">
        <v>25393400</v>
      </c>
      <c r="L79" s="21">
        <v>49467900</v>
      </c>
      <c r="M79">
        <f t="shared" si="9"/>
        <v>16363200</v>
      </c>
      <c r="N79">
        <f t="shared" si="10"/>
        <v>18068600</v>
      </c>
      <c r="O79">
        <f t="shared" si="11"/>
        <v>34431800</v>
      </c>
      <c r="Q79">
        <f t="shared" si="8"/>
        <v>0.86948989898989903</v>
      </c>
    </row>
    <row r="80" spans="1:17" x14ac:dyDescent="0.2">
      <c r="A80" s="10">
        <v>1975</v>
      </c>
      <c r="B80" s="19">
        <v>7683600</v>
      </c>
      <c r="C80" s="20">
        <v>3617900</v>
      </c>
      <c r="D80" s="20">
        <v>10058300</v>
      </c>
      <c r="E80" s="20">
        <v>2731600</v>
      </c>
      <c r="F80" s="19">
        <v>24091400</v>
      </c>
      <c r="G80" s="19">
        <v>7294800</v>
      </c>
      <c r="H80" s="20">
        <v>3521200</v>
      </c>
      <c r="I80" s="20">
        <v>10260500</v>
      </c>
      <c r="J80" s="20">
        <v>4301900</v>
      </c>
      <c r="K80" s="19">
        <v>25378400</v>
      </c>
      <c r="L80" s="21">
        <v>49469800</v>
      </c>
      <c r="M80">
        <f t="shared" si="9"/>
        <v>16407800</v>
      </c>
      <c r="N80">
        <f t="shared" si="10"/>
        <v>18083600</v>
      </c>
      <c r="O80">
        <f t="shared" si="11"/>
        <v>34491400</v>
      </c>
      <c r="Q80">
        <f t="shared" si="8"/>
        <v>0.87099494949494949</v>
      </c>
    </row>
    <row r="81" spans="1:17" x14ac:dyDescent="0.2">
      <c r="A81" s="10">
        <v>1976</v>
      </c>
      <c r="B81" s="19">
        <v>7630000</v>
      </c>
      <c r="C81" s="20">
        <v>3627800</v>
      </c>
      <c r="D81" s="20">
        <v>10058700</v>
      </c>
      <c r="E81" s="20">
        <v>2772600</v>
      </c>
      <c r="F81" s="19">
        <v>24089100</v>
      </c>
      <c r="G81" s="19">
        <v>7244100</v>
      </c>
      <c r="H81" s="20">
        <v>3526000</v>
      </c>
      <c r="I81" s="20">
        <v>10253500</v>
      </c>
      <c r="J81" s="20">
        <v>4346500</v>
      </c>
      <c r="K81" s="19">
        <v>25370100</v>
      </c>
      <c r="L81" s="21">
        <v>49459200</v>
      </c>
      <c r="M81">
        <f t="shared" si="9"/>
        <v>16459100</v>
      </c>
      <c r="N81">
        <f t="shared" si="10"/>
        <v>18126000</v>
      </c>
      <c r="O81">
        <f t="shared" si="11"/>
        <v>34585100</v>
      </c>
      <c r="Q81">
        <f t="shared" si="8"/>
        <v>0.87336111111111114</v>
      </c>
    </row>
    <row r="82" spans="1:17" x14ac:dyDescent="0.2">
      <c r="A82" s="10">
        <v>1977</v>
      </c>
      <c r="B82" s="19">
        <v>7551500</v>
      </c>
      <c r="C82" s="20">
        <v>3551000</v>
      </c>
      <c r="D82" s="20">
        <v>10155900</v>
      </c>
      <c r="E82" s="20">
        <v>2817800</v>
      </c>
      <c r="F82" s="19">
        <v>24076200</v>
      </c>
      <c r="G82" s="19">
        <v>7173200</v>
      </c>
      <c r="H82" s="20">
        <v>3452600</v>
      </c>
      <c r="I82" s="20">
        <v>10342000</v>
      </c>
      <c r="J82" s="20">
        <v>4396400</v>
      </c>
      <c r="K82" s="19">
        <v>25364200</v>
      </c>
      <c r="L82" s="21">
        <v>49440400</v>
      </c>
      <c r="M82">
        <f t="shared" si="9"/>
        <v>16524700</v>
      </c>
      <c r="N82">
        <f t="shared" si="10"/>
        <v>18191000</v>
      </c>
      <c r="O82">
        <f t="shared" si="11"/>
        <v>34715700</v>
      </c>
      <c r="Q82">
        <f t="shared" si="8"/>
        <v>0.87665909090909089</v>
      </c>
    </row>
    <row r="83" spans="1:17" x14ac:dyDescent="0.2">
      <c r="A83" s="10">
        <v>1978</v>
      </c>
      <c r="B83" s="19">
        <v>7476000</v>
      </c>
      <c r="C83" s="20">
        <v>3518000</v>
      </c>
      <c r="D83" s="20">
        <v>10210200</v>
      </c>
      <c r="E83" s="20">
        <v>2863100</v>
      </c>
      <c r="F83" s="19">
        <v>24067300</v>
      </c>
      <c r="G83" s="19">
        <v>7107100</v>
      </c>
      <c r="H83" s="20">
        <v>3425900</v>
      </c>
      <c r="I83" s="20">
        <v>10389500</v>
      </c>
      <c r="J83" s="20">
        <v>4452700</v>
      </c>
      <c r="K83" s="19">
        <v>25375200</v>
      </c>
      <c r="L83" s="21">
        <v>49442500</v>
      </c>
      <c r="M83">
        <f t="shared" si="9"/>
        <v>16591300</v>
      </c>
      <c r="N83">
        <f t="shared" si="10"/>
        <v>18268100</v>
      </c>
      <c r="O83">
        <f t="shared" si="11"/>
        <v>34859400</v>
      </c>
      <c r="Q83">
        <f t="shared" si="8"/>
        <v>0.88028787878787884</v>
      </c>
    </row>
    <row r="84" spans="1:17" x14ac:dyDescent="0.2">
      <c r="A84" s="10">
        <v>1979</v>
      </c>
      <c r="B84" s="19">
        <v>7426600</v>
      </c>
      <c r="C84" s="20">
        <v>3525500</v>
      </c>
      <c r="D84" s="20">
        <v>10253900</v>
      </c>
      <c r="E84" s="20">
        <v>2907100</v>
      </c>
      <c r="F84" s="19">
        <v>24113100</v>
      </c>
      <c r="G84" s="19">
        <v>7052000</v>
      </c>
      <c r="H84" s="20">
        <v>3428700</v>
      </c>
      <c r="I84" s="20">
        <v>10411900</v>
      </c>
      <c r="J84" s="20">
        <v>4502500</v>
      </c>
      <c r="K84" s="19">
        <v>25395100</v>
      </c>
      <c r="L84" s="21">
        <v>49508200</v>
      </c>
      <c r="M84">
        <f t="shared" si="9"/>
        <v>16686500</v>
      </c>
      <c r="N84">
        <f t="shared" si="10"/>
        <v>18343100</v>
      </c>
      <c r="O84">
        <f t="shared" si="11"/>
        <v>35029600</v>
      </c>
      <c r="Q84">
        <f t="shared" si="8"/>
        <v>0.88458585858585859</v>
      </c>
    </row>
    <row r="85" spans="1:17" x14ac:dyDescent="0.2">
      <c r="A85" s="10">
        <v>1980</v>
      </c>
      <c r="B85" s="19">
        <v>7370100</v>
      </c>
      <c r="C85" s="20">
        <v>3551300</v>
      </c>
      <c r="D85" s="20">
        <v>10283700</v>
      </c>
      <c r="E85" s="20">
        <v>2950400</v>
      </c>
      <c r="F85" s="19">
        <v>24155500</v>
      </c>
      <c r="G85" s="19">
        <v>6999900</v>
      </c>
      <c r="H85" s="20">
        <v>3461400</v>
      </c>
      <c r="I85" s="20">
        <v>10431200</v>
      </c>
      <c r="J85" s="20">
        <v>4555000</v>
      </c>
      <c r="K85" s="19">
        <v>25447500</v>
      </c>
      <c r="L85" s="21">
        <v>49603000</v>
      </c>
      <c r="M85">
        <f t="shared" si="9"/>
        <v>16785400</v>
      </c>
      <c r="N85">
        <f t="shared" si="10"/>
        <v>18447600</v>
      </c>
      <c r="O85">
        <f t="shared" si="11"/>
        <v>35233000</v>
      </c>
      <c r="Q85">
        <f t="shared" si="8"/>
        <v>0.88972222222222219</v>
      </c>
    </row>
    <row r="86" spans="1:17" x14ac:dyDescent="0.2">
      <c r="A86" s="10">
        <v>1981</v>
      </c>
      <c r="B86" s="19">
        <v>7295000</v>
      </c>
      <c r="C86" s="20">
        <v>3596500</v>
      </c>
      <c r="D86" s="20">
        <v>10298000</v>
      </c>
      <c r="E86" s="20">
        <v>2970600</v>
      </c>
      <c r="F86" s="19">
        <v>24160100</v>
      </c>
      <c r="G86" s="19">
        <v>6925300</v>
      </c>
      <c r="H86" s="20">
        <v>3518700</v>
      </c>
      <c r="I86" s="20">
        <v>10452500</v>
      </c>
      <c r="J86" s="20">
        <v>4577700</v>
      </c>
      <c r="K86" s="19">
        <v>25474200</v>
      </c>
      <c r="L86" s="21">
        <v>49634300</v>
      </c>
      <c r="M86">
        <f t="shared" si="9"/>
        <v>16865100</v>
      </c>
      <c r="N86">
        <f t="shared" si="10"/>
        <v>18548900</v>
      </c>
      <c r="O86">
        <f t="shared" si="11"/>
        <v>35414000</v>
      </c>
      <c r="Q86">
        <f t="shared" si="8"/>
        <v>0.89429292929292925</v>
      </c>
    </row>
    <row r="87" spans="1:17" x14ac:dyDescent="0.2">
      <c r="A87" s="10">
        <v>1982</v>
      </c>
      <c r="B87" s="19">
        <v>7196400</v>
      </c>
      <c r="C87" s="20">
        <v>3626900</v>
      </c>
      <c r="D87" s="20">
        <v>10326200</v>
      </c>
      <c r="E87" s="20">
        <v>2970200</v>
      </c>
      <c r="F87" s="19">
        <v>24119700</v>
      </c>
      <c r="G87" s="19">
        <v>6830800</v>
      </c>
      <c r="H87" s="20">
        <v>3570700</v>
      </c>
      <c r="I87" s="20">
        <v>10481000</v>
      </c>
      <c r="J87" s="20">
        <v>4579900</v>
      </c>
      <c r="K87" s="19">
        <v>25462400</v>
      </c>
      <c r="L87" s="21">
        <v>49582100</v>
      </c>
      <c r="M87">
        <f t="shared" si="9"/>
        <v>16923300</v>
      </c>
      <c r="N87">
        <f t="shared" si="10"/>
        <v>18631600</v>
      </c>
      <c r="O87">
        <f t="shared" si="11"/>
        <v>35554900</v>
      </c>
      <c r="Q87">
        <f t="shared" si="8"/>
        <v>0.89785101010101009</v>
      </c>
    </row>
    <row r="88" spans="1:17" x14ac:dyDescent="0.2">
      <c r="A88" s="10">
        <v>1983</v>
      </c>
      <c r="B88" s="19">
        <v>7091500</v>
      </c>
      <c r="C88" s="20">
        <v>3694100</v>
      </c>
      <c r="D88" s="20">
        <v>10400300</v>
      </c>
      <c r="E88" s="20">
        <v>2947200</v>
      </c>
      <c r="F88" s="19">
        <v>24133100</v>
      </c>
      <c r="G88" s="19">
        <v>6737200</v>
      </c>
      <c r="H88" s="20">
        <v>3640900</v>
      </c>
      <c r="I88" s="20">
        <v>10547700</v>
      </c>
      <c r="J88" s="20">
        <v>4557900</v>
      </c>
      <c r="K88" s="19">
        <v>25483700</v>
      </c>
      <c r="L88" s="21">
        <v>49616800</v>
      </c>
      <c r="M88">
        <f t="shared" si="9"/>
        <v>17041600</v>
      </c>
      <c r="N88">
        <f t="shared" si="10"/>
        <v>18746500</v>
      </c>
      <c r="O88">
        <f t="shared" si="11"/>
        <v>35788100</v>
      </c>
      <c r="Q88">
        <f t="shared" si="8"/>
        <v>0.90373989898989904</v>
      </c>
    </row>
    <row r="89" spans="1:17" x14ac:dyDescent="0.2">
      <c r="A89" s="10">
        <v>1984</v>
      </c>
      <c r="B89" s="19">
        <v>6965400</v>
      </c>
      <c r="C89" s="20">
        <v>3800600</v>
      </c>
      <c r="D89" s="20">
        <v>10482500</v>
      </c>
      <c r="E89" s="20">
        <v>2936200</v>
      </c>
      <c r="F89" s="19">
        <v>24184700</v>
      </c>
      <c r="G89" s="19">
        <v>6632800</v>
      </c>
      <c r="H89" s="20">
        <v>3732500</v>
      </c>
      <c r="I89" s="20">
        <v>10616800</v>
      </c>
      <c r="J89" s="20">
        <v>4546300</v>
      </c>
      <c r="K89" s="19">
        <v>25528400</v>
      </c>
      <c r="L89" s="21">
        <v>49713100</v>
      </c>
      <c r="M89">
        <f t="shared" si="9"/>
        <v>17219300</v>
      </c>
      <c r="N89">
        <f t="shared" si="10"/>
        <v>18895600</v>
      </c>
      <c r="O89">
        <f t="shared" si="11"/>
        <v>36114900</v>
      </c>
      <c r="Q89">
        <f t="shared" si="8"/>
        <v>0.91199242424242422</v>
      </c>
    </row>
    <row r="90" spans="1:17" x14ac:dyDescent="0.2">
      <c r="A90" s="10">
        <v>1985</v>
      </c>
      <c r="B90" s="19">
        <v>6875500</v>
      </c>
      <c r="C90" s="20">
        <v>3896900</v>
      </c>
      <c r="D90" s="20">
        <v>10467700</v>
      </c>
      <c r="E90" s="20">
        <v>3014200</v>
      </c>
      <c r="F90" s="19">
        <v>24254300</v>
      </c>
      <c r="G90" s="19">
        <v>6553800</v>
      </c>
      <c r="H90" s="20">
        <v>3834800</v>
      </c>
      <c r="I90" s="20">
        <v>10585000</v>
      </c>
      <c r="J90" s="20">
        <v>4632800</v>
      </c>
      <c r="K90" s="19">
        <v>25606400</v>
      </c>
      <c r="L90" s="21">
        <v>49860700</v>
      </c>
      <c r="M90">
        <f t="shared" si="9"/>
        <v>17378800</v>
      </c>
      <c r="N90">
        <f t="shared" si="10"/>
        <v>19052600</v>
      </c>
      <c r="O90">
        <f t="shared" si="11"/>
        <v>36431400</v>
      </c>
      <c r="Q90">
        <f t="shared" si="8"/>
        <v>0.91998484848484852</v>
      </c>
    </row>
    <row r="91" spans="1:17" x14ac:dyDescent="0.2">
      <c r="A91" s="10">
        <v>1986</v>
      </c>
      <c r="B91" s="19">
        <v>6804600</v>
      </c>
      <c r="C91" s="20">
        <v>3962700</v>
      </c>
      <c r="D91" s="20">
        <v>10472400</v>
      </c>
      <c r="E91" s="20">
        <v>3071700</v>
      </c>
      <c r="F91" s="19">
        <v>24311400</v>
      </c>
      <c r="G91" s="19">
        <v>6488100</v>
      </c>
      <c r="H91" s="20">
        <v>3921600</v>
      </c>
      <c r="I91" s="20">
        <v>10582100</v>
      </c>
      <c r="J91" s="20">
        <v>4695900</v>
      </c>
      <c r="K91" s="19">
        <v>25687700</v>
      </c>
      <c r="L91" s="21">
        <v>49999100</v>
      </c>
      <c r="M91">
        <f t="shared" si="9"/>
        <v>17506800</v>
      </c>
      <c r="N91">
        <f t="shared" si="10"/>
        <v>19199600</v>
      </c>
      <c r="O91">
        <f t="shared" si="11"/>
        <v>36706400</v>
      </c>
      <c r="Q91">
        <f t="shared" si="8"/>
        <v>0.92692929292929294</v>
      </c>
    </row>
    <row r="92" spans="1:17" x14ac:dyDescent="0.2">
      <c r="A92" s="10">
        <v>1987</v>
      </c>
      <c r="B92" s="19">
        <v>6735600</v>
      </c>
      <c r="C92" s="20">
        <v>4019900</v>
      </c>
      <c r="D92" s="20">
        <v>10491800</v>
      </c>
      <c r="E92" s="20">
        <v>3123300</v>
      </c>
      <c r="F92" s="19">
        <v>24370600</v>
      </c>
      <c r="G92" s="19">
        <v>6427000</v>
      </c>
      <c r="H92" s="20">
        <v>3981000</v>
      </c>
      <c r="I92" s="20">
        <v>10601900</v>
      </c>
      <c r="J92" s="20">
        <v>4742400</v>
      </c>
      <c r="K92" s="19">
        <v>25752300</v>
      </c>
      <c r="L92" s="21">
        <v>50122900</v>
      </c>
      <c r="M92">
        <f t="shared" si="9"/>
        <v>17635000</v>
      </c>
      <c r="N92">
        <f t="shared" si="10"/>
        <v>19325300</v>
      </c>
      <c r="O92">
        <f t="shared" si="11"/>
        <v>36960300</v>
      </c>
      <c r="Q92">
        <f t="shared" si="8"/>
        <v>0.93334090909090905</v>
      </c>
    </row>
    <row r="93" spans="1:17" x14ac:dyDescent="0.2">
      <c r="A93" s="10">
        <v>1988</v>
      </c>
      <c r="B93" s="19">
        <v>6688300</v>
      </c>
      <c r="C93" s="20">
        <v>4047500</v>
      </c>
      <c r="D93" s="20">
        <v>10540100</v>
      </c>
      <c r="E93" s="20">
        <v>3157600</v>
      </c>
      <c r="F93" s="19">
        <v>24433500</v>
      </c>
      <c r="G93" s="19">
        <v>6383500</v>
      </c>
      <c r="H93" s="20">
        <v>4011600</v>
      </c>
      <c r="I93" s="20">
        <v>10650700</v>
      </c>
      <c r="J93" s="20">
        <v>4774300</v>
      </c>
      <c r="K93" s="19">
        <v>25820100</v>
      </c>
      <c r="L93" s="21">
        <v>50253600</v>
      </c>
      <c r="M93">
        <f t="shared" si="9"/>
        <v>17745200</v>
      </c>
      <c r="N93">
        <f t="shared" si="10"/>
        <v>19436600</v>
      </c>
      <c r="O93">
        <f t="shared" si="11"/>
        <v>37181800</v>
      </c>
      <c r="Q93">
        <f t="shared" si="8"/>
        <v>0.93893434343434345</v>
      </c>
    </row>
    <row r="94" spans="1:17" x14ac:dyDescent="0.2">
      <c r="A94" s="10">
        <v>1989</v>
      </c>
      <c r="B94" s="19">
        <v>6643800</v>
      </c>
      <c r="C94" s="20">
        <v>4065500</v>
      </c>
      <c r="D94" s="20">
        <v>10607800</v>
      </c>
      <c r="E94" s="20">
        <v>3192400</v>
      </c>
      <c r="F94" s="19">
        <v>24509500</v>
      </c>
      <c r="G94" s="19">
        <v>6343500</v>
      </c>
      <c r="H94" s="20">
        <v>4035900</v>
      </c>
      <c r="I94" s="20">
        <v>10714100</v>
      </c>
      <c r="J94" s="20">
        <v>4804800</v>
      </c>
      <c r="K94" s="19">
        <v>25898300</v>
      </c>
      <c r="L94" s="21">
        <v>50407800</v>
      </c>
      <c r="M94">
        <f t="shared" si="9"/>
        <v>17865700</v>
      </c>
      <c r="N94">
        <f t="shared" si="10"/>
        <v>19554800</v>
      </c>
      <c r="O94">
        <f t="shared" si="11"/>
        <v>37420500</v>
      </c>
      <c r="Q94">
        <f t="shared" si="8"/>
        <v>0.9449621212121212</v>
      </c>
    </row>
    <row r="95" spans="1:17" x14ac:dyDescent="0.2">
      <c r="A95" s="10">
        <v>1990</v>
      </c>
      <c r="B95" s="19">
        <v>6621000</v>
      </c>
      <c r="C95" s="20">
        <v>4070500</v>
      </c>
      <c r="D95" s="20">
        <v>10688100</v>
      </c>
      <c r="E95" s="20">
        <v>3217200</v>
      </c>
      <c r="F95" s="19">
        <v>24596800</v>
      </c>
      <c r="G95" s="19">
        <v>6320100</v>
      </c>
      <c r="H95" s="20">
        <v>4031200</v>
      </c>
      <c r="I95" s="20">
        <v>10796700</v>
      </c>
      <c r="J95" s="20">
        <v>4815900</v>
      </c>
      <c r="K95" s="19">
        <v>25963900</v>
      </c>
      <c r="L95" s="21">
        <v>50560700</v>
      </c>
      <c r="M95">
        <f t="shared" si="9"/>
        <v>17975800</v>
      </c>
      <c r="N95">
        <f t="shared" si="10"/>
        <v>19643800</v>
      </c>
      <c r="O95">
        <f t="shared" si="11"/>
        <v>37619600</v>
      </c>
      <c r="Q95">
        <f t="shared" si="8"/>
        <v>0.94998989898989894</v>
      </c>
    </row>
    <row r="96" spans="1:17" x14ac:dyDescent="0.2">
      <c r="A96" s="10">
        <v>1991</v>
      </c>
      <c r="B96" s="19">
        <v>6605900</v>
      </c>
      <c r="C96" s="20">
        <v>4041600</v>
      </c>
      <c r="D96" s="20">
        <v>10786000</v>
      </c>
      <c r="E96" s="20">
        <v>3248100</v>
      </c>
      <c r="F96" s="19">
        <v>24681600</v>
      </c>
      <c r="G96" s="19">
        <v>6306800</v>
      </c>
      <c r="H96" s="20">
        <v>4023900</v>
      </c>
      <c r="I96" s="20">
        <v>10903900</v>
      </c>
      <c r="J96" s="20">
        <v>4832200</v>
      </c>
      <c r="K96" s="19">
        <v>26066800</v>
      </c>
      <c r="L96" s="21">
        <v>50748400</v>
      </c>
      <c r="M96">
        <f t="shared" si="9"/>
        <v>18075700</v>
      </c>
      <c r="N96">
        <f t="shared" si="10"/>
        <v>19760000</v>
      </c>
      <c r="O96">
        <f t="shared" si="11"/>
        <v>37835700</v>
      </c>
      <c r="Q96">
        <f t="shared" si="8"/>
        <v>0.95544696969696974</v>
      </c>
    </row>
    <row r="97" spans="1:17" x14ac:dyDescent="0.2">
      <c r="A97" s="10">
        <v>1992</v>
      </c>
      <c r="B97" s="19">
        <v>6563600</v>
      </c>
      <c r="C97" s="20">
        <v>3992100</v>
      </c>
      <c r="D97" s="20">
        <v>10892400</v>
      </c>
      <c r="E97" s="20">
        <v>3274100</v>
      </c>
      <c r="F97" s="19">
        <v>24722200</v>
      </c>
      <c r="G97" s="19">
        <v>6293800</v>
      </c>
      <c r="H97" s="20">
        <v>3978300</v>
      </c>
      <c r="I97" s="20">
        <v>11018300</v>
      </c>
      <c r="J97" s="20">
        <v>4841600</v>
      </c>
      <c r="K97" s="19">
        <v>26132000</v>
      </c>
      <c r="L97" s="21">
        <v>50854200</v>
      </c>
      <c r="M97">
        <f t="shared" si="9"/>
        <v>18158600</v>
      </c>
      <c r="N97">
        <f t="shared" si="10"/>
        <v>19838200</v>
      </c>
      <c r="O97">
        <f t="shared" si="11"/>
        <v>37996800</v>
      </c>
      <c r="Q97">
        <f t="shared" si="8"/>
        <v>0.95951515151515154</v>
      </c>
    </row>
    <row r="98" spans="1:17" x14ac:dyDescent="0.2">
      <c r="A98" s="10">
        <v>1993</v>
      </c>
      <c r="B98" s="19">
        <v>6564100</v>
      </c>
      <c r="C98" s="20">
        <v>3926000</v>
      </c>
      <c r="D98" s="20">
        <v>11004000</v>
      </c>
      <c r="E98" s="20">
        <v>3298700</v>
      </c>
      <c r="F98" s="19">
        <v>24792800</v>
      </c>
      <c r="G98" s="19">
        <v>6289600</v>
      </c>
      <c r="H98" s="20">
        <v>3905500</v>
      </c>
      <c r="I98" s="20">
        <v>11147700</v>
      </c>
      <c r="J98" s="20">
        <v>4850500</v>
      </c>
      <c r="K98" s="19">
        <v>26193300</v>
      </c>
      <c r="L98" s="21">
        <v>50986100</v>
      </c>
      <c r="M98">
        <f t="shared" si="9"/>
        <v>18228700</v>
      </c>
      <c r="N98">
        <f t="shared" si="10"/>
        <v>19903700</v>
      </c>
      <c r="O98">
        <f t="shared" si="11"/>
        <v>38132400</v>
      </c>
      <c r="Q98">
        <f t="shared" si="8"/>
        <v>0.96293939393939398</v>
      </c>
    </row>
    <row r="99" spans="1:17" x14ac:dyDescent="0.2">
      <c r="A99" s="10">
        <v>1994</v>
      </c>
      <c r="B99" s="19">
        <v>6579500</v>
      </c>
      <c r="C99" s="20">
        <v>3825300</v>
      </c>
      <c r="D99" s="20">
        <v>11132800</v>
      </c>
      <c r="E99" s="20">
        <v>3315400</v>
      </c>
      <c r="F99" s="19">
        <v>24853000</v>
      </c>
      <c r="G99" s="19">
        <v>6307800</v>
      </c>
      <c r="H99" s="20">
        <v>3815600</v>
      </c>
      <c r="I99" s="20">
        <v>11291700</v>
      </c>
      <c r="J99" s="20">
        <v>4848200</v>
      </c>
      <c r="K99" s="19">
        <v>26263300</v>
      </c>
      <c r="L99" s="21">
        <v>51116300</v>
      </c>
      <c r="M99">
        <f t="shared" si="9"/>
        <v>18273500</v>
      </c>
      <c r="N99">
        <f t="shared" si="10"/>
        <v>19955500</v>
      </c>
      <c r="O99">
        <f t="shared" si="11"/>
        <v>38229000</v>
      </c>
      <c r="Q99">
        <f t="shared" ref="Q99:Q105" si="12">O99/GETPIVOTDATA("POP",$A$3,"YR",1929)</f>
        <v>0.96537878787878784</v>
      </c>
    </row>
    <row r="100" spans="1:17" x14ac:dyDescent="0.2">
      <c r="A100" s="10">
        <v>1995</v>
      </c>
      <c r="B100" s="19">
        <v>6601200</v>
      </c>
      <c r="C100" s="20">
        <v>3731600</v>
      </c>
      <c r="D100" s="20">
        <v>11271200</v>
      </c>
      <c r="E100" s="20">
        <v>3342400</v>
      </c>
      <c r="F100" s="19">
        <v>24946400</v>
      </c>
      <c r="G100" s="19">
        <v>6329400</v>
      </c>
      <c r="H100" s="20">
        <v>3716900</v>
      </c>
      <c r="I100" s="20">
        <v>11422900</v>
      </c>
      <c r="J100" s="20">
        <v>4856400</v>
      </c>
      <c r="K100" s="19">
        <v>26325600</v>
      </c>
      <c r="L100" s="21">
        <v>51272000</v>
      </c>
      <c r="M100">
        <f t="shared" si="9"/>
        <v>18345200</v>
      </c>
      <c r="N100">
        <f t="shared" si="10"/>
        <v>19996200</v>
      </c>
      <c r="O100">
        <f t="shared" si="11"/>
        <v>38341400</v>
      </c>
      <c r="Q100">
        <f t="shared" si="12"/>
        <v>0.9682171717171717</v>
      </c>
    </row>
    <row r="101" spans="1:17" x14ac:dyDescent="0.2">
      <c r="A101" s="10">
        <v>1996</v>
      </c>
      <c r="B101" s="19">
        <v>6631500</v>
      </c>
      <c r="C101" s="20">
        <v>3628200</v>
      </c>
      <c r="D101" s="20">
        <v>11403100</v>
      </c>
      <c r="E101" s="20">
        <v>3366900</v>
      </c>
      <c r="F101" s="19">
        <v>25029700</v>
      </c>
      <c r="G101" s="19">
        <v>6354100</v>
      </c>
      <c r="H101" s="20">
        <v>3612700</v>
      </c>
      <c r="I101" s="20">
        <v>11559400</v>
      </c>
      <c r="J101" s="20">
        <v>4854400</v>
      </c>
      <c r="K101" s="19">
        <v>26380600</v>
      </c>
      <c r="L101" s="21">
        <v>51410300</v>
      </c>
      <c r="M101">
        <f t="shared" si="9"/>
        <v>18398200</v>
      </c>
      <c r="N101">
        <f t="shared" si="10"/>
        <v>20026500</v>
      </c>
      <c r="O101">
        <f t="shared" si="11"/>
        <v>38424700</v>
      </c>
      <c r="Q101">
        <f t="shared" si="12"/>
        <v>0.97032070707070706</v>
      </c>
    </row>
    <row r="102" spans="1:17" x14ac:dyDescent="0.2">
      <c r="A102" s="10">
        <v>1997</v>
      </c>
      <c r="B102" s="19">
        <v>6676900</v>
      </c>
      <c r="C102" s="20">
        <v>3512100</v>
      </c>
      <c r="D102" s="20">
        <v>11532700</v>
      </c>
      <c r="E102" s="20">
        <v>3391500</v>
      </c>
      <c r="F102" s="19">
        <v>25113200</v>
      </c>
      <c r="G102" s="19">
        <v>6394900</v>
      </c>
      <c r="H102" s="20">
        <v>3505800</v>
      </c>
      <c r="I102" s="20">
        <v>11700600</v>
      </c>
      <c r="J102" s="20">
        <v>4845100</v>
      </c>
      <c r="K102" s="19">
        <v>26446400</v>
      </c>
      <c r="L102" s="21">
        <v>51559600</v>
      </c>
      <c r="M102">
        <f t="shared" si="9"/>
        <v>18436300</v>
      </c>
      <c r="N102">
        <f t="shared" si="10"/>
        <v>20051500</v>
      </c>
      <c r="O102">
        <f t="shared" si="11"/>
        <v>38487800</v>
      </c>
      <c r="Q102">
        <f t="shared" si="12"/>
        <v>0.97191414141414145</v>
      </c>
    </row>
    <row r="103" spans="1:17" x14ac:dyDescent="0.2">
      <c r="A103" s="10">
        <v>1998</v>
      </c>
      <c r="B103" s="19">
        <v>6709100</v>
      </c>
      <c r="C103" s="20">
        <v>3416900</v>
      </c>
      <c r="D103" s="20">
        <v>11657500</v>
      </c>
      <c r="E103" s="20">
        <v>3417200</v>
      </c>
      <c r="F103" s="19">
        <v>25200700</v>
      </c>
      <c r="G103" s="19">
        <v>6421800</v>
      </c>
      <c r="H103" s="20">
        <v>3419000</v>
      </c>
      <c r="I103" s="20">
        <v>11837700</v>
      </c>
      <c r="J103" s="20">
        <v>4840900</v>
      </c>
      <c r="K103" s="19">
        <v>26519400</v>
      </c>
      <c r="L103" s="21">
        <v>51720100</v>
      </c>
      <c r="M103">
        <f t="shared" si="9"/>
        <v>18491600</v>
      </c>
      <c r="N103">
        <f t="shared" si="10"/>
        <v>20097600</v>
      </c>
      <c r="O103">
        <f t="shared" si="11"/>
        <v>38589200</v>
      </c>
      <c r="Q103">
        <f t="shared" si="12"/>
        <v>0.97447474747474749</v>
      </c>
    </row>
    <row r="104" spans="1:17" x14ac:dyDescent="0.2">
      <c r="A104" s="10">
        <v>1999</v>
      </c>
      <c r="B104" s="19">
        <v>6721400</v>
      </c>
      <c r="C104" s="20">
        <v>3366100</v>
      </c>
      <c r="D104" s="20">
        <v>11798700</v>
      </c>
      <c r="E104" s="20">
        <v>3437300</v>
      </c>
      <c r="F104" s="19">
        <v>25323500</v>
      </c>
      <c r="G104" s="19">
        <v>6430200</v>
      </c>
      <c r="H104" s="20">
        <v>3367800</v>
      </c>
      <c r="I104" s="20">
        <v>11987200</v>
      </c>
      <c r="J104" s="20">
        <v>4824900</v>
      </c>
      <c r="K104" s="19">
        <v>26610100</v>
      </c>
      <c r="L104" s="21">
        <v>51933600</v>
      </c>
      <c r="M104">
        <f t="shared" si="9"/>
        <v>18602100</v>
      </c>
      <c r="N104">
        <f t="shared" si="10"/>
        <v>20179900</v>
      </c>
      <c r="O104">
        <f t="shared" si="11"/>
        <v>38782000</v>
      </c>
      <c r="Q104">
        <f t="shared" si="12"/>
        <v>0.97934343434343429</v>
      </c>
    </row>
    <row r="105" spans="1:17" x14ac:dyDescent="0.2">
      <c r="A105" s="10">
        <v>2000</v>
      </c>
      <c r="B105" s="19">
        <v>6699300</v>
      </c>
      <c r="C105" s="20">
        <v>3343400</v>
      </c>
      <c r="D105" s="20">
        <v>11929600</v>
      </c>
      <c r="E105" s="20">
        <v>3465700</v>
      </c>
      <c r="F105" s="19">
        <v>25438000</v>
      </c>
      <c r="G105" s="19">
        <v>6395500</v>
      </c>
      <c r="H105" s="20">
        <v>3349900</v>
      </c>
      <c r="I105" s="20">
        <v>12135100</v>
      </c>
      <c r="J105" s="20">
        <v>4821400</v>
      </c>
      <c r="K105" s="19">
        <v>26701900</v>
      </c>
      <c r="L105" s="21">
        <v>52139900</v>
      </c>
      <c r="M105">
        <f t="shared" si="9"/>
        <v>18738700</v>
      </c>
      <c r="N105">
        <f t="shared" si="10"/>
        <v>20306400</v>
      </c>
      <c r="O105">
        <f t="shared" si="11"/>
        <v>39045100</v>
      </c>
      <c r="Q105">
        <f t="shared" si="12"/>
        <v>0.98598737373737377</v>
      </c>
    </row>
    <row r="106" spans="1:17" x14ac:dyDescent="0.2">
      <c r="A106" s="11" t="s">
        <v>44</v>
      </c>
      <c r="B106" s="22">
        <v>681135100</v>
      </c>
      <c r="C106" s="23">
        <v>316371400</v>
      </c>
      <c r="D106" s="23">
        <v>881038600</v>
      </c>
      <c r="E106" s="23">
        <v>194773000</v>
      </c>
      <c r="F106" s="22">
        <v>2073318100</v>
      </c>
      <c r="G106" s="22">
        <v>666415000</v>
      </c>
      <c r="H106" s="23">
        <v>348870000</v>
      </c>
      <c r="I106" s="23">
        <v>952994800</v>
      </c>
      <c r="J106" s="23">
        <v>286712200</v>
      </c>
      <c r="K106" s="22">
        <v>2254992000</v>
      </c>
      <c r="L106" s="24">
        <v>4328310100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D019-44CB-4E54-892D-8752BE19F23F}">
  <dimension ref="A1:AD105"/>
  <sheetViews>
    <sheetView tabSelected="1" workbookViewId="0">
      <pane xSplit="1" ySplit="5" topLeftCell="D6" activePane="bottomRight" state="frozen"/>
      <selection pane="topRight" activeCell="B1" sqref="B1"/>
      <selection pane="bottomLeft" activeCell="A6" sqref="A6"/>
      <selection pane="bottomRight" activeCell="A105" sqref="A105"/>
    </sheetView>
  </sheetViews>
  <sheetFormatPr defaultRowHeight="12.75" x14ac:dyDescent="0.2"/>
  <cols>
    <col min="24" max="24" width="9.140625" style="30"/>
    <col min="25" max="25" width="12" style="30" bestFit="1" customWidth="1"/>
    <col min="26" max="26" width="12" style="30" customWidth="1"/>
    <col min="27" max="27" width="14" style="30" bestFit="1" customWidth="1"/>
    <col min="28" max="28" width="9.140625" style="30"/>
  </cols>
  <sheetData>
    <row r="1" spans="1:30" x14ac:dyDescent="0.2">
      <c r="A1" t="s">
        <v>2</v>
      </c>
      <c r="B1" t="s">
        <v>55</v>
      </c>
    </row>
    <row r="3" spans="1:30" x14ac:dyDescent="0.2">
      <c r="A3" t="s">
        <v>45</v>
      </c>
      <c r="B3" t="s">
        <v>1</v>
      </c>
      <c r="C3" t="s">
        <v>46</v>
      </c>
    </row>
    <row r="4" spans="1:30" x14ac:dyDescent="0.2">
      <c r="B4" t="s">
        <v>53</v>
      </c>
      <c r="F4" t="s">
        <v>54</v>
      </c>
      <c r="G4" t="s">
        <v>51</v>
      </c>
      <c r="K4" t="s">
        <v>52</v>
      </c>
      <c r="L4" t="s">
        <v>44</v>
      </c>
      <c r="M4" t="s">
        <v>56</v>
      </c>
      <c r="P4" t="s">
        <v>62</v>
      </c>
      <c r="R4" t="s">
        <v>64</v>
      </c>
      <c r="T4" t="s">
        <v>65</v>
      </c>
      <c r="V4" t="s">
        <v>66</v>
      </c>
      <c r="AC4">
        <v>7.0000000000000007E-2</v>
      </c>
    </row>
    <row r="5" spans="1:30" x14ac:dyDescent="0.2">
      <c r="A5" t="s">
        <v>0</v>
      </c>
      <c r="B5" t="s">
        <v>47</v>
      </c>
      <c r="C5" t="s">
        <v>50</v>
      </c>
      <c r="D5" t="s">
        <v>49</v>
      </c>
      <c r="E5" t="s">
        <v>48</v>
      </c>
      <c r="G5" t="s">
        <v>47</v>
      </c>
      <c r="H5" t="s">
        <v>50</v>
      </c>
      <c r="I5" t="s">
        <v>49</v>
      </c>
      <c r="J5" t="s">
        <v>48</v>
      </c>
      <c r="M5" t="s">
        <v>53</v>
      </c>
      <c r="N5" t="s">
        <v>51</v>
      </c>
      <c r="O5" t="s">
        <v>57</v>
      </c>
      <c r="P5" t="s">
        <v>63</v>
      </c>
      <c r="Q5" t="s">
        <v>51</v>
      </c>
      <c r="R5" t="s">
        <v>63</v>
      </c>
      <c r="S5" t="s">
        <v>51</v>
      </c>
      <c r="T5" t="s">
        <v>63</v>
      </c>
      <c r="U5" t="s">
        <v>51</v>
      </c>
      <c r="V5" t="s">
        <v>63</v>
      </c>
      <c r="W5" t="s">
        <v>51</v>
      </c>
      <c r="X5" s="30" t="s">
        <v>58</v>
      </c>
      <c r="Y5" s="30" t="s">
        <v>59</v>
      </c>
      <c r="Z5" s="30" t="s">
        <v>68</v>
      </c>
      <c r="AA5" s="30" t="s">
        <v>60</v>
      </c>
      <c r="AB5" s="30" t="s">
        <v>61</v>
      </c>
      <c r="AC5" t="s">
        <v>67</v>
      </c>
      <c r="AD5" s="30" t="s">
        <v>69</v>
      </c>
    </row>
    <row r="6" spans="1:30" x14ac:dyDescent="0.2">
      <c r="A6">
        <v>1901</v>
      </c>
      <c r="B6">
        <v>6880300</v>
      </c>
      <c r="C6">
        <v>3967600</v>
      </c>
      <c r="D6">
        <v>4257100</v>
      </c>
      <c r="E6">
        <v>664600</v>
      </c>
      <c r="F6">
        <v>15769600</v>
      </c>
      <c r="G6">
        <v>6925700</v>
      </c>
      <c r="H6">
        <v>4427200</v>
      </c>
      <c r="I6">
        <v>4627900</v>
      </c>
      <c r="J6">
        <v>861700</v>
      </c>
      <c r="K6">
        <v>16842500</v>
      </c>
      <c r="L6">
        <v>32612100</v>
      </c>
      <c r="M6">
        <v>9613542.1052631587</v>
      </c>
      <c r="N6">
        <v>9916800</v>
      </c>
      <c r="O6">
        <v>19530342.105263159</v>
      </c>
      <c r="P6">
        <f>B6-(B6/19)*2</f>
        <v>6156057.8947368423</v>
      </c>
      <c r="Q6">
        <f>G6-(G6/19)*2</f>
        <v>6196678.9473684207</v>
      </c>
      <c r="R6">
        <f>(C6/10)*2</f>
        <v>793520</v>
      </c>
      <c r="S6">
        <f>(H6/10)*2</f>
        <v>885440</v>
      </c>
      <c r="T6">
        <f>M6-R6</f>
        <v>8820022.1052631587</v>
      </c>
      <c r="U6">
        <f>N6-S6</f>
        <v>9031360</v>
      </c>
      <c r="V6">
        <f>F6-P6</f>
        <v>9613542.1052631587</v>
      </c>
      <c r="W6">
        <f>K6-Q6</f>
        <v>10645821.052631579</v>
      </c>
      <c r="X6" s="30">
        <v>0.6</v>
      </c>
      <c r="Y6" s="30">
        <v>0.29534174220140591</v>
      </c>
      <c r="Z6" s="30">
        <f>(T6*X6)/(V6+W6)</f>
        <v>0.26121320901914358</v>
      </c>
      <c r="AA6" s="30">
        <v>0.6</v>
      </c>
      <c r="AB6" s="30">
        <v>0</v>
      </c>
      <c r="AC6">
        <f>ROUND(T6*AC$4,0)</f>
        <v>617402</v>
      </c>
      <c r="AD6" s="30">
        <f>AC6/(Y6*O6)</f>
        <v>0.10703685718191024</v>
      </c>
    </row>
    <row r="7" spans="1:30" x14ac:dyDescent="0.2">
      <c r="A7">
        <v>1902</v>
      </c>
      <c r="B7">
        <v>6910200</v>
      </c>
      <c r="C7">
        <v>4003400</v>
      </c>
      <c r="D7">
        <v>4341200</v>
      </c>
      <c r="E7">
        <v>678800</v>
      </c>
      <c r="F7">
        <v>15933600</v>
      </c>
      <c r="G7">
        <v>6952800</v>
      </c>
      <c r="H7">
        <v>4463400</v>
      </c>
      <c r="I7">
        <v>4718900</v>
      </c>
      <c r="J7">
        <v>882100</v>
      </c>
      <c r="K7">
        <v>17017200</v>
      </c>
      <c r="L7">
        <v>32950800</v>
      </c>
      <c r="M7">
        <v>9023400</v>
      </c>
      <c r="N7">
        <v>10064400</v>
      </c>
      <c r="O7">
        <v>19087800</v>
      </c>
      <c r="P7">
        <f t="shared" ref="P7:P70" si="0">B7-(B7/19)*2</f>
        <v>6182810.5263157897</v>
      </c>
      <c r="Q7">
        <f t="shared" ref="Q7:Q70" si="1">G7-(G7/19)*2</f>
        <v>6220926.3157894742</v>
      </c>
      <c r="R7">
        <f t="shared" ref="R7:R70" si="2">(C7/10)*2</f>
        <v>800680</v>
      </c>
      <c r="S7">
        <f t="shared" ref="S7:S70" si="3">(H7/10)*2</f>
        <v>892680</v>
      </c>
      <c r="T7">
        <f t="shared" ref="T7:T70" si="4">M7-R7</f>
        <v>8222720</v>
      </c>
      <c r="U7">
        <f t="shared" ref="U7:U70" si="5">N7-S7</f>
        <v>9171720</v>
      </c>
      <c r="V7">
        <f t="shared" ref="V7:V70" si="6">F7-P7</f>
        <v>9750789.4736842103</v>
      </c>
      <c r="W7">
        <f t="shared" ref="W7:W70" si="7">K7-Q7</f>
        <v>10796273.684210526</v>
      </c>
      <c r="X7" s="30">
        <v>0.61</v>
      </c>
      <c r="Y7" s="30">
        <v>0.28836607676107251</v>
      </c>
      <c r="Z7" s="30">
        <f t="shared" ref="Z7:Z22" si="8">(T7*X7)/(V7+W7)</f>
        <v>0.24411562671781498</v>
      </c>
      <c r="AA7" s="30">
        <v>0.61</v>
      </c>
      <c r="AB7" s="30">
        <v>0</v>
      </c>
      <c r="AC7">
        <f t="shared" ref="AC7:AC53" si="9">ROUND(T7*AC$4,0)</f>
        <v>575590</v>
      </c>
      <c r="AD7" s="30">
        <f t="shared" ref="AD7:AD70" si="10">AC7/(Y7*O7)</f>
        <v>0.10457146573735246</v>
      </c>
    </row>
    <row r="8" spans="1:30" x14ac:dyDescent="0.2">
      <c r="A8">
        <v>1903</v>
      </c>
      <c r="B8">
        <v>6940600</v>
      </c>
      <c r="C8">
        <v>4039800</v>
      </c>
      <c r="D8">
        <v>4426200</v>
      </c>
      <c r="E8">
        <v>693200</v>
      </c>
      <c r="F8">
        <v>16099800</v>
      </c>
      <c r="G8">
        <v>6980100</v>
      </c>
      <c r="H8">
        <v>4500100</v>
      </c>
      <c r="I8">
        <v>4810800</v>
      </c>
      <c r="J8">
        <v>902600</v>
      </c>
      <c r="K8">
        <v>17193600</v>
      </c>
      <c r="L8">
        <v>33293400</v>
      </c>
      <c r="M8">
        <v>9159200</v>
      </c>
      <c r="N8">
        <v>10213500</v>
      </c>
      <c r="O8">
        <v>19372700</v>
      </c>
      <c r="P8">
        <f t="shared" si="0"/>
        <v>6210010.5263157897</v>
      </c>
      <c r="Q8">
        <f t="shared" si="1"/>
        <v>6245352.6315789474</v>
      </c>
      <c r="R8">
        <f t="shared" si="2"/>
        <v>807960</v>
      </c>
      <c r="S8">
        <f t="shared" si="3"/>
        <v>900020</v>
      </c>
      <c r="T8">
        <f t="shared" si="4"/>
        <v>8351240</v>
      </c>
      <c r="U8">
        <f t="shared" si="5"/>
        <v>9313480</v>
      </c>
      <c r="V8">
        <f t="shared" si="6"/>
        <v>9889789.4736842103</v>
      </c>
      <c r="W8">
        <f t="shared" si="7"/>
        <v>10948247.368421052</v>
      </c>
      <c r="X8" s="30">
        <v>0.62</v>
      </c>
      <c r="Y8" s="30">
        <v>0.2931291972724504</v>
      </c>
      <c r="Z8" s="30">
        <f t="shared" si="8"/>
        <v>0.24847680418425111</v>
      </c>
      <c r="AA8" s="30">
        <v>0.62</v>
      </c>
      <c r="AB8" s="30">
        <v>0</v>
      </c>
      <c r="AC8">
        <f t="shared" si="9"/>
        <v>584587</v>
      </c>
      <c r="AD8" s="30">
        <f t="shared" si="10"/>
        <v>0.10294373504940564</v>
      </c>
    </row>
    <row r="9" spans="1:30" x14ac:dyDescent="0.2">
      <c r="A9">
        <v>1904</v>
      </c>
      <c r="B9">
        <v>6990100</v>
      </c>
      <c r="C9">
        <v>4087600</v>
      </c>
      <c r="D9">
        <v>4524500</v>
      </c>
      <c r="E9">
        <v>709500</v>
      </c>
      <c r="F9">
        <v>16311700</v>
      </c>
      <c r="G9">
        <v>7026900</v>
      </c>
      <c r="H9">
        <v>4549700</v>
      </c>
      <c r="I9">
        <v>4917200</v>
      </c>
      <c r="J9">
        <v>925800</v>
      </c>
      <c r="K9">
        <v>17419600</v>
      </c>
      <c r="L9">
        <v>33731300</v>
      </c>
      <c r="M9">
        <v>9321600</v>
      </c>
      <c r="N9">
        <v>10392700</v>
      </c>
      <c r="O9">
        <v>19714300</v>
      </c>
      <c r="P9">
        <f t="shared" si="0"/>
        <v>6254300</v>
      </c>
      <c r="Q9">
        <f t="shared" si="1"/>
        <v>6287226.3157894742</v>
      </c>
      <c r="R9">
        <f t="shared" si="2"/>
        <v>817520</v>
      </c>
      <c r="S9">
        <f t="shared" si="3"/>
        <v>909940</v>
      </c>
      <c r="T9">
        <f t="shared" si="4"/>
        <v>8504080</v>
      </c>
      <c r="U9">
        <f t="shared" si="5"/>
        <v>9482760</v>
      </c>
      <c r="V9">
        <f t="shared" si="6"/>
        <v>10057400</v>
      </c>
      <c r="W9">
        <f t="shared" si="7"/>
        <v>11132373.684210526</v>
      </c>
      <c r="X9" s="30">
        <v>0.64</v>
      </c>
      <c r="Y9" s="30">
        <v>0.30261404158402783</v>
      </c>
      <c r="Z9" s="30">
        <f t="shared" si="8"/>
        <v>0.2568508414063686</v>
      </c>
      <c r="AA9" s="30">
        <v>0.64</v>
      </c>
      <c r="AB9" s="30">
        <v>0</v>
      </c>
      <c r="AC9">
        <f t="shared" si="9"/>
        <v>595286</v>
      </c>
      <c r="AD9" s="30">
        <f t="shared" si="10"/>
        <v>9.9782695567284585E-2</v>
      </c>
    </row>
    <row r="10" spans="1:30" x14ac:dyDescent="0.2">
      <c r="A10">
        <v>1905</v>
      </c>
      <c r="B10">
        <v>7002000</v>
      </c>
      <c r="C10">
        <v>4113500</v>
      </c>
      <c r="D10">
        <v>4599000</v>
      </c>
      <c r="E10">
        <v>722200</v>
      </c>
      <c r="F10">
        <v>16436700</v>
      </c>
      <c r="G10">
        <v>7035600</v>
      </c>
      <c r="H10">
        <v>4574700</v>
      </c>
      <c r="I10">
        <v>4997600</v>
      </c>
      <c r="J10">
        <v>944300</v>
      </c>
      <c r="K10">
        <v>17552200</v>
      </c>
      <c r="L10">
        <v>33988900</v>
      </c>
      <c r="M10">
        <v>9434700</v>
      </c>
      <c r="N10">
        <v>10516600</v>
      </c>
      <c r="O10">
        <v>19951300</v>
      </c>
      <c r="P10">
        <f t="shared" si="0"/>
        <v>6264947.3684210526</v>
      </c>
      <c r="Q10">
        <f t="shared" si="1"/>
        <v>6295010.5263157897</v>
      </c>
      <c r="R10">
        <f t="shared" si="2"/>
        <v>822700</v>
      </c>
      <c r="S10">
        <f t="shared" si="3"/>
        <v>914940</v>
      </c>
      <c r="T10">
        <f t="shared" si="4"/>
        <v>8612000</v>
      </c>
      <c r="U10">
        <f t="shared" si="5"/>
        <v>9601660</v>
      </c>
      <c r="V10">
        <f t="shared" si="6"/>
        <v>10171752.631578948</v>
      </c>
      <c r="W10">
        <f t="shared" si="7"/>
        <v>11257189.47368421</v>
      </c>
      <c r="X10" s="30">
        <v>0.65</v>
      </c>
      <c r="Y10" s="30">
        <v>0.30737621107396512</v>
      </c>
      <c r="Z10" s="30">
        <f t="shared" si="8"/>
        <v>0.26122614791259924</v>
      </c>
      <c r="AA10" s="30">
        <v>0.65</v>
      </c>
      <c r="AB10" s="30">
        <v>0</v>
      </c>
      <c r="AC10">
        <f t="shared" si="9"/>
        <v>602840</v>
      </c>
      <c r="AD10" s="30">
        <f t="shared" si="10"/>
        <v>9.8301605122171759E-2</v>
      </c>
    </row>
    <row r="11" spans="1:30" x14ac:dyDescent="0.2">
      <c r="A11">
        <v>1906</v>
      </c>
      <c r="B11">
        <v>7033200</v>
      </c>
      <c r="C11">
        <v>4151000</v>
      </c>
      <c r="D11">
        <v>4686700</v>
      </c>
      <c r="E11">
        <v>737000</v>
      </c>
      <c r="F11">
        <v>16607900</v>
      </c>
      <c r="G11">
        <v>7063700</v>
      </c>
      <c r="H11">
        <v>4612500</v>
      </c>
      <c r="I11">
        <v>5092400</v>
      </c>
      <c r="J11">
        <v>965500</v>
      </c>
      <c r="K11">
        <v>17734100</v>
      </c>
      <c r="L11">
        <v>34342000</v>
      </c>
      <c r="M11">
        <v>9574700</v>
      </c>
      <c r="N11">
        <v>10670400</v>
      </c>
      <c r="O11">
        <v>20245100</v>
      </c>
      <c r="P11">
        <f t="shared" si="0"/>
        <v>6292863.1578947371</v>
      </c>
      <c r="Q11">
        <f t="shared" si="1"/>
        <v>6320152.6315789474</v>
      </c>
      <c r="R11">
        <f t="shared" si="2"/>
        <v>830200</v>
      </c>
      <c r="S11">
        <f t="shared" si="3"/>
        <v>922500</v>
      </c>
      <c r="T11">
        <f t="shared" si="4"/>
        <v>8744500</v>
      </c>
      <c r="U11">
        <f t="shared" si="5"/>
        <v>9747900</v>
      </c>
      <c r="V11">
        <f t="shared" si="6"/>
        <v>10315036.842105262</v>
      </c>
      <c r="W11">
        <f t="shared" si="7"/>
        <v>11413947.368421052</v>
      </c>
      <c r="X11" s="30">
        <v>0.66</v>
      </c>
      <c r="Y11" s="30">
        <v>0.31213982642713545</v>
      </c>
      <c r="Z11" s="30">
        <f t="shared" si="8"/>
        <v>0.26560698576991637</v>
      </c>
      <c r="AA11" s="30">
        <v>0.66</v>
      </c>
      <c r="AB11" s="30">
        <v>0</v>
      </c>
      <c r="AC11">
        <f t="shared" si="9"/>
        <v>612115</v>
      </c>
      <c r="AD11" s="30">
        <f t="shared" si="10"/>
        <v>9.6864337232181658E-2</v>
      </c>
    </row>
    <row r="12" spans="1:30" x14ac:dyDescent="0.2">
      <c r="A12">
        <v>1907</v>
      </c>
      <c r="B12">
        <v>7064800</v>
      </c>
      <c r="C12">
        <v>4188800</v>
      </c>
      <c r="D12">
        <v>4775300</v>
      </c>
      <c r="E12">
        <v>752000</v>
      </c>
      <c r="F12">
        <v>16780900</v>
      </c>
      <c r="G12">
        <v>7092100</v>
      </c>
      <c r="H12">
        <v>4650800</v>
      </c>
      <c r="I12">
        <v>5188300</v>
      </c>
      <c r="J12">
        <v>986900</v>
      </c>
      <c r="K12">
        <v>17918100</v>
      </c>
      <c r="L12">
        <v>34699000</v>
      </c>
      <c r="M12">
        <v>9716100</v>
      </c>
      <c r="N12">
        <v>10826000</v>
      </c>
      <c r="O12">
        <v>20542100</v>
      </c>
      <c r="P12">
        <f t="shared" si="0"/>
        <v>6321136.8421052629</v>
      </c>
      <c r="Q12">
        <f t="shared" si="1"/>
        <v>6345563.1578947371</v>
      </c>
      <c r="R12">
        <f t="shared" si="2"/>
        <v>837760</v>
      </c>
      <c r="S12">
        <f t="shared" si="3"/>
        <v>930160</v>
      </c>
      <c r="T12">
        <f t="shared" si="4"/>
        <v>8878340</v>
      </c>
      <c r="U12">
        <f t="shared" si="5"/>
        <v>9895840</v>
      </c>
      <c r="V12">
        <f t="shared" si="6"/>
        <v>10459763.157894738</v>
      </c>
      <c r="W12">
        <f t="shared" si="7"/>
        <v>11572536.842105262</v>
      </c>
      <c r="X12" s="30">
        <v>0.67</v>
      </c>
      <c r="Y12" s="30">
        <v>0.31689978142448921</v>
      </c>
      <c r="Z12" s="30">
        <f t="shared" si="8"/>
        <v>0.2699894155399119</v>
      </c>
      <c r="AA12" s="30">
        <v>0.67</v>
      </c>
      <c r="AB12" s="30">
        <v>0</v>
      </c>
      <c r="AC12">
        <f t="shared" si="9"/>
        <v>621484</v>
      </c>
      <c r="AD12" s="30">
        <f t="shared" si="10"/>
        <v>9.5469175873189094E-2</v>
      </c>
    </row>
    <row r="13" spans="1:30" x14ac:dyDescent="0.2">
      <c r="A13">
        <v>1908</v>
      </c>
      <c r="B13">
        <v>7116100</v>
      </c>
      <c r="C13">
        <v>4238700</v>
      </c>
      <c r="D13">
        <v>4878200</v>
      </c>
      <c r="E13">
        <v>769100</v>
      </c>
      <c r="F13">
        <v>17002100</v>
      </c>
      <c r="G13">
        <v>7140400</v>
      </c>
      <c r="H13">
        <v>4702200</v>
      </c>
      <c r="I13">
        <v>5299500</v>
      </c>
      <c r="J13">
        <v>1011200</v>
      </c>
      <c r="K13">
        <v>18153300</v>
      </c>
      <c r="L13">
        <v>35155400</v>
      </c>
      <c r="M13">
        <v>9886000</v>
      </c>
      <c r="N13">
        <v>11012900</v>
      </c>
      <c r="O13">
        <v>20898900</v>
      </c>
      <c r="P13">
        <f t="shared" si="0"/>
        <v>6367036.8421052629</v>
      </c>
      <c r="Q13">
        <f t="shared" si="1"/>
        <v>6388778.9473684207</v>
      </c>
      <c r="R13">
        <f t="shared" si="2"/>
        <v>847740</v>
      </c>
      <c r="S13">
        <f t="shared" si="3"/>
        <v>940440</v>
      </c>
      <c r="T13">
        <f t="shared" si="4"/>
        <v>9038260</v>
      </c>
      <c r="U13">
        <f t="shared" si="5"/>
        <v>10072460</v>
      </c>
      <c r="V13">
        <f t="shared" si="6"/>
        <v>10635063.157894738</v>
      </c>
      <c r="W13">
        <f t="shared" si="7"/>
        <v>11764521.052631579</v>
      </c>
      <c r="X13" s="30">
        <v>0.68</v>
      </c>
      <c r="Y13" s="30">
        <v>0.32166669059137087</v>
      </c>
      <c r="Z13" s="30">
        <f t="shared" si="8"/>
        <v>0.27438084306546107</v>
      </c>
      <c r="AA13" s="30">
        <v>0.68</v>
      </c>
      <c r="AB13" s="30">
        <v>0</v>
      </c>
      <c r="AC13">
        <f t="shared" si="9"/>
        <v>632678</v>
      </c>
      <c r="AD13" s="30">
        <f t="shared" si="10"/>
        <v>9.4113779438540532E-2</v>
      </c>
    </row>
    <row r="14" spans="1:30" x14ac:dyDescent="0.2">
      <c r="A14">
        <v>1909</v>
      </c>
      <c r="B14">
        <v>7128600</v>
      </c>
      <c r="C14">
        <v>4265700</v>
      </c>
      <c r="D14">
        <v>4955400</v>
      </c>
      <c r="E14">
        <v>782400</v>
      </c>
      <c r="F14">
        <v>17132100</v>
      </c>
      <c r="G14">
        <v>7150000</v>
      </c>
      <c r="H14">
        <v>4728300</v>
      </c>
      <c r="I14">
        <v>5383000</v>
      </c>
      <c r="J14">
        <v>1030300</v>
      </c>
      <c r="K14">
        <v>18291600</v>
      </c>
      <c r="L14">
        <v>35423700</v>
      </c>
      <c r="M14">
        <v>10003500</v>
      </c>
      <c r="N14">
        <v>11141600</v>
      </c>
      <c r="O14">
        <v>21145100</v>
      </c>
      <c r="P14">
        <f t="shared" si="0"/>
        <v>6378221.0526315793</v>
      </c>
      <c r="Q14">
        <f t="shared" si="1"/>
        <v>6397368.4210526319</v>
      </c>
      <c r="R14">
        <f t="shared" si="2"/>
        <v>853140</v>
      </c>
      <c r="S14">
        <f t="shared" si="3"/>
        <v>945660</v>
      </c>
      <c r="T14">
        <f t="shared" si="4"/>
        <v>9150360</v>
      </c>
      <c r="U14">
        <f t="shared" si="5"/>
        <v>10195940</v>
      </c>
      <c r="V14">
        <f t="shared" si="6"/>
        <v>10753878.947368421</v>
      </c>
      <c r="W14">
        <f t="shared" si="7"/>
        <v>11894231.578947369</v>
      </c>
      <c r="X14" s="30">
        <v>0.7</v>
      </c>
      <c r="Y14" s="30">
        <v>0.33116182945457812</v>
      </c>
      <c r="Z14" s="30">
        <f t="shared" si="8"/>
        <v>0.28281617544021914</v>
      </c>
      <c r="AA14" s="30">
        <v>0.7</v>
      </c>
      <c r="AB14" s="30">
        <v>0</v>
      </c>
      <c r="AC14">
        <f t="shared" si="9"/>
        <v>640525</v>
      </c>
      <c r="AD14" s="30">
        <f t="shared" si="10"/>
        <v>9.1471556383837083E-2</v>
      </c>
    </row>
    <row r="15" spans="1:30" x14ac:dyDescent="0.2">
      <c r="A15">
        <v>1910</v>
      </c>
      <c r="B15">
        <v>7161400</v>
      </c>
      <c r="C15">
        <v>4304800</v>
      </c>
      <c r="D15">
        <v>5046800</v>
      </c>
      <c r="E15">
        <v>797700</v>
      </c>
      <c r="F15">
        <v>17310700</v>
      </c>
      <c r="G15">
        <v>7179300</v>
      </c>
      <c r="H15">
        <v>4767800</v>
      </c>
      <c r="I15">
        <v>5481700</v>
      </c>
      <c r="J15">
        <v>1052500</v>
      </c>
      <c r="K15">
        <v>18481300</v>
      </c>
      <c r="L15">
        <v>35792000</v>
      </c>
      <c r="M15">
        <v>10149300</v>
      </c>
      <c r="N15">
        <v>11302000</v>
      </c>
      <c r="O15">
        <v>21451300</v>
      </c>
      <c r="P15">
        <f t="shared" si="0"/>
        <v>6407568.4210526319</v>
      </c>
      <c r="Q15">
        <f t="shared" si="1"/>
        <v>6423584.2105263155</v>
      </c>
      <c r="R15">
        <f t="shared" si="2"/>
        <v>860960</v>
      </c>
      <c r="S15">
        <f t="shared" si="3"/>
        <v>953560</v>
      </c>
      <c r="T15">
        <f t="shared" si="4"/>
        <v>9288340</v>
      </c>
      <c r="U15">
        <f t="shared" si="5"/>
        <v>10348440</v>
      </c>
      <c r="V15">
        <f t="shared" si="6"/>
        <v>10903131.578947369</v>
      </c>
      <c r="W15">
        <f t="shared" si="7"/>
        <v>12057715.789473685</v>
      </c>
      <c r="X15" s="30">
        <v>0.71</v>
      </c>
      <c r="Y15" s="30">
        <v>0.33592383678378468</v>
      </c>
      <c r="Z15" s="30">
        <f t="shared" si="8"/>
        <v>0.28721594173697507</v>
      </c>
      <c r="AA15" s="30">
        <v>0.71</v>
      </c>
      <c r="AB15" s="30">
        <v>0</v>
      </c>
      <c r="AC15">
        <f t="shared" si="9"/>
        <v>650184</v>
      </c>
      <c r="AD15" s="30">
        <f t="shared" si="10"/>
        <v>9.0228105650247442E-2</v>
      </c>
    </row>
    <row r="16" spans="1:30" x14ac:dyDescent="0.2">
      <c r="A16">
        <v>1911</v>
      </c>
      <c r="B16">
        <v>7202000</v>
      </c>
      <c r="C16">
        <v>2951000</v>
      </c>
      <c r="D16">
        <v>6503000</v>
      </c>
      <c r="E16">
        <v>820000</v>
      </c>
      <c r="F16">
        <v>17476000</v>
      </c>
      <c r="G16">
        <v>7242000</v>
      </c>
      <c r="H16">
        <v>3247000</v>
      </c>
      <c r="I16">
        <v>7090000</v>
      </c>
      <c r="J16">
        <v>1081000</v>
      </c>
      <c r="K16">
        <v>18660000</v>
      </c>
      <c r="L16">
        <v>36136000</v>
      </c>
      <c r="M16">
        <v>10274000</v>
      </c>
      <c r="N16">
        <v>11418000</v>
      </c>
      <c r="O16">
        <v>21692000</v>
      </c>
      <c r="P16">
        <f t="shared" si="0"/>
        <v>6443894.7368421052</v>
      </c>
      <c r="Q16">
        <f t="shared" si="1"/>
        <v>6479684.2105263155</v>
      </c>
      <c r="R16">
        <f t="shared" si="2"/>
        <v>590200</v>
      </c>
      <c r="S16">
        <f t="shared" si="3"/>
        <v>649400</v>
      </c>
      <c r="T16">
        <f t="shared" si="4"/>
        <v>9683800</v>
      </c>
      <c r="U16">
        <f t="shared" si="5"/>
        <v>10768600</v>
      </c>
      <c r="V16">
        <f t="shared" si="6"/>
        <v>11032105.263157895</v>
      </c>
      <c r="W16">
        <f t="shared" si="7"/>
        <v>12180315.789473685</v>
      </c>
      <c r="X16" s="30">
        <v>0.72</v>
      </c>
      <c r="Y16" s="30">
        <v>0.34101419878296146</v>
      </c>
      <c r="Z16" s="30">
        <f t="shared" si="8"/>
        <v>0.3003709084972655</v>
      </c>
      <c r="AA16" s="30">
        <v>0.72</v>
      </c>
      <c r="AB16" s="30">
        <v>0</v>
      </c>
      <c r="AC16">
        <f t="shared" si="9"/>
        <v>677866</v>
      </c>
      <c r="AD16" s="30">
        <f t="shared" si="10"/>
        <v>9.1637196374883739E-2</v>
      </c>
    </row>
    <row r="17" spans="1:30" x14ac:dyDescent="0.2">
      <c r="A17">
        <v>1912</v>
      </c>
      <c r="B17">
        <v>7194000</v>
      </c>
      <c r="C17">
        <v>2938000</v>
      </c>
      <c r="D17">
        <v>6608000</v>
      </c>
      <c r="E17">
        <v>836000</v>
      </c>
      <c r="F17">
        <v>17576000</v>
      </c>
      <c r="G17">
        <v>7226000</v>
      </c>
      <c r="H17">
        <v>3229000</v>
      </c>
      <c r="I17">
        <v>7196000</v>
      </c>
      <c r="J17">
        <v>1100000</v>
      </c>
      <c r="K17">
        <v>18751000</v>
      </c>
      <c r="L17">
        <v>36327000</v>
      </c>
      <c r="M17">
        <v>10382000</v>
      </c>
      <c r="N17">
        <v>11525000</v>
      </c>
      <c r="O17">
        <v>21907000</v>
      </c>
      <c r="P17">
        <f t="shared" si="0"/>
        <v>6436736.8421052629</v>
      </c>
      <c r="Q17">
        <f t="shared" si="1"/>
        <v>6465368.4210526319</v>
      </c>
      <c r="R17">
        <f t="shared" si="2"/>
        <v>587600</v>
      </c>
      <c r="S17">
        <f t="shared" si="3"/>
        <v>645800</v>
      </c>
      <c r="T17">
        <f t="shared" si="4"/>
        <v>9794400</v>
      </c>
      <c r="U17">
        <f t="shared" si="5"/>
        <v>10879200</v>
      </c>
      <c r="V17">
        <f t="shared" si="6"/>
        <v>11139263.157894738</v>
      </c>
      <c r="W17">
        <f t="shared" si="7"/>
        <v>12285631.578947369</v>
      </c>
      <c r="X17" s="30">
        <v>0.74</v>
      </c>
      <c r="Y17" s="30">
        <v>0.21196355327992952</v>
      </c>
      <c r="Z17" s="30">
        <f t="shared" si="8"/>
        <v>0.30940826336353811</v>
      </c>
      <c r="AA17" s="30">
        <v>0.74</v>
      </c>
      <c r="AB17" s="30">
        <v>0</v>
      </c>
      <c r="AC17">
        <f t="shared" si="9"/>
        <v>685608</v>
      </c>
      <c r="AD17" s="30">
        <f t="shared" si="10"/>
        <v>0.14764943077555118</v>
      </c>
    </row>
    <row r="18" spans="1:30" x14ac:dyDescent="0.2">
      <c r="A18">
        <v>1913</v>
      </c>
      <c r="B18">
        <v>7207000</v>
      </c>
      <c r="C18">
        <v>2934000</v>
      </c>
      <c r="D18">
        <v>6704000</v>
      </c>
      <c r="E18">
        <v>848000</v>
      </c>
      <c r="F18">
        <v>17693000</v>
      </c>
      <c r="G18">
        <v>7235000</v>
      </c>
      <c r="H18">
        <v>3219000</v>
      </c>
      <c r="I18">
        <v>7306000</v>
      </c>
      <c r="J18">
        <v>1121000</v>
      </c>
      <c r="K18">
        <v>18881000</v>
      </c>
      <c r="L18">
        <v>36574000</v>
      </c>
      <c r="M18">
        <v>10486000</v>
      </c>
      <c r="N18">
        <v>11646000</v>
      </c>
      <c r="O18">
        <v>22132000</v>
      </c>
      <c r="P18">
        <f t="shared" si="0"/>
        <v>6448368.4210526319</v>
      </c>
      <c r="Q18">
        <f t="shared" si="1"/>
        <v>6473421.0526315793</v>
      </c>
      <c r="R18">
        <f t="shared" si="2"/>
        <v>586800</v>
      </c>
      <c r="S18">
        <f t="shared" si="3"/>
        <v>643800</v>
      </c>
      <c r="T18">
        <f t="shared" si="4"/>
        <v>9899200</v>
      </c>
      <c r="U18">
        <f t="shared" si="5"/>
        <v>11002200</v>
      </c>
      <c r="V18">
        <f t="shared" si="6"/>
        <v>11244631.578947369</v>
      </c>
      <c r="W18">
        <f t="shared" si="7"/>
        <v>12407578.947368421</v>
      </c>
      <c r="X18" s="30">
        <v>0.75</v>
      </c>
      <c r="Y18" s="30">
        <v>0.35534520151816373</v>
      </c>
      <c r="Z18" s="30">
        <f t="shared" si="8"/>
        <v>0.31389877879446004</v>
      </c>
      <c r="AA18" s="30">
        <v>0.75</v>
      </c>
      <c r="AB18" s="30">
        <v>0</v>
      </c>
      <c r="AC18">
        <f t="shared" si="9"/>
        <v>692944</v>
      </c>
      <c r="AD18" s="30">
        <f t="shared" si="10"/>
        <v>8.8110369381397421E-2</v>
      </c>
    </row>
    <row r="19" spans="1:30" x14ac:dyDescent="0.2">
      <c r="A19">
        <v>1914</v>
      </c>
      <c r="B19">
        <v>7247000</v>
      </c>
      <c r="C19">
        <v>2956000</v>
      </c>
      <c r="D19">
        <v>6826000</v>
      </c>
      <c r="E19">
        <v>864000</v>
      </c>
      <c r="F19">
        <v>17893000</v>
      </c>
      <c r="G19">
        <v>7263000</v>
      </c>
      <c r="H19">
        <v>3233000</v>
      </c>
      <c r="I19">
        <v>7442000</v>
      </c>
      <c r="J19">
        <v>1136000</v>
      </c>
      <c r="K19">
        <v>19074000</v>
      </c>
      <c r="L19">
        <v>36967000</v>
      </c>
      <c r="M19">
        <v>10646000</v>
      </c>
      <c r="N19">
        <v>11811000</v>
      </c>
      <c r="O19">
        <v>22457000</v>
      </c>
      <c r="P19">
        <f t="shared" si="0"/>
        <v>6484157.8947368423</v>
      </c>
      <c r="Q19">
        <f t="shared" si="1"/>
        <v>6498473.6842105258</v>
      </c>
      <c r="R19">
        <f t="shared" si="2"/>
        <v>591200</v>
      </c>
      <c r="S19">
        <f t="shared" si="3"/>
        <v>646600</v>
      </c>
      <c r="T19">
        <f t="shared" si="4"/>
        <v>10054800</v>
      </c>
      <c r="U19">
        <f t="shared" si="5"/>
        <v>11164400</v>
      </c>
      <c r="V19">
        <f t="shared" si="6"/>
        <v>11408842.105263159</v>
      </c>
      <c r="W19">
        <f t="shared" si="7"/>
        <v>12575526.315789474</v>
      </c>
      <c r="X19" s="30">
        <v>0.76</v>
      </c>
      <c r="Y19" s="30">
        <v>0.36028677027207551</v>
      </c>
      <c r="Z19" s="30">
        <f t="shared" si="8"/>
        <v>0.31860951540806176</v>
      </c>
      <c r="AA19" s="30">
        <v>0.76</v>
      </c>
      <c r="AB19" s="30">
        <v>0</v>
      </c>
      <c r="AC19">
        <f t="shared" si="9"/>
        <v>703836</v>
      </c>
      <c r="AD19" s="30">
        <f t="shared" si="10"/>
        <v>8.6990418936689837E-2</v>
      </c>
    </row>
    <row r="20" spans="1:30" x14ac:dyDescent="0.2">
      <c r="A20">
        <v>1915</v>
      </c>
      <c r="B20">
        <v>7012000</v>
      </c>
      <c r="C20">
        <v>1766000</v>
      </c>
      <c r="D20">
        <v>6360000</v>
      </c>
      <c r="E20">
        <v>871000</v>
      </c>
      <c r="F20">
        <v>16009000</v>
      </c>
      <c r="G20">
        <v>7284000</v>
      </c>
      <c r="H20">
        <v>3248000</v>
      </c>
      <c r="I20">
        <v>7591000</v>
      </c>
      <c r="J20">
        <v>1152000</v>
      </c>
      <c r="K20">
        <v>19275000</v>
      </c>
      <c r="L20">
        <v>35284000</v>
      </c>
      <c r="M20">
        <v>8997000</v>
      </c>
      <c r="N20">
        <v>11991000</v>
      </c>
      <c r="O20">
        <v>20988000</v>
      </c>
      <c r="P20">
        <f t="shared" si="0"/>
        <v>6273894.7368421052</v>
      </c>
      <c r="Q20">
        <f t="shared" si="1"/>
        <v>6517263.1578947371</v>
      </c>
      <c r="R20">
        <f t="shared" si="2"/>
        <v>353200</v>
      </c>
      <c r="S20">
        <f t="shared" si="3"/>
        <v>649600</v>
      </c>
      <c r="T20">
        <f t="shared" si="4"/>
        <v>8643800</v>
      </c>
      <c r="U20">
        <f t="shared" si="5"/>
        <v>11341400</v>
      </c>
      <c r="V20">
        <f t="shared" si="6"/>
        <v>9735105.2631578948</v>
      </c>
      <c r="W20">
        <f t="shared" si="7"/>
        <v>12757736.842105262</v>
      </c>
      <c r="X20" s="30">
        <v>0.78</v>
      </c>
      <c r="Y20" s="30">
        <v>0.33436535162950259</v>
      </c>
      <c r="Z20" s="30">
        <f t="shared" si="8"/>
        <v>0.29974709147237483</v>
      </c>
      <c r="AA20" s="30">
        <v>0.78</v>
      </c>
      <c r="AB20" s="30">
        <v>0</v>
      </c>
      <c r="AC20">
        <f t="shared" si="9"/>
        <v>605066</v>
      </c>
      <c r="AD20" s="30">
        <f t="shared" si="10"/>
        <v>8.6220478051088248E-2</v>
      </c>
    </row>
    <row r="21" spans="1:30" x14ac:dyDescent="0.2">
      <c r="A21">
        <v>1916</v>
      </c>
      <c r="B21">
        <v>6946000</v>
      </c>
      <c r="C21">
        <v>1306000</v>
      </c>
      <c r="D21">
        <v>6090000</v>
      </c>
      <c r="E21">
        <v>884000</v>
      </c>
      <c r="F21">
        <v>15226000</v>
      </c>
      <c r="G21">
        <v>7262000</v>
      </c>
      <c r="H21">
        <v>3267000</v>
      </c>
      <c r="I21">
        <v>7717000</v>
      </c>
      <c r="J21">
        <v>1170000</v>
      </c>
      <c r="K21">
        <v>19416000</v>
      </c>
      <c r="L21">
        <v>34642000</v>
      </c>
      <c r="M21">
        <v>8280000</v>
      </c>
      <c r="N21">
        <v>12154000</v>
      </c>
      <c r="O21">
        <v>20434000</v>
      </c>
      <c r="P21">
        <f t="shared" si="0"/>
        <v>6214842.1052631577</v>
      </c>
      <c r="Q21">
        <f t="shared" si="1"/>
        <v>6497578.9473684207</v>
      </c>
      <c r="R21">
        <f t="shared" si="2"/>
        <v>261200</v>
      </c>
      <c r="S21">
        <f t="shared" si="3"/>
        <v>653400</v>
      </c>
      <c r="T21">
        <f t="shared" si="4"/>
        <v>8018800</v>
      </c>
      <c r="U21">
        <f t="shared" si="5"/>
        <v>11500600</v>
      </c>
      <c r="V21">
        <f t="shared" si="6"/>
        <v>9011157.8947368413</v>
      </c>
      <c r="W21">
        <f t="shared" si="7"/>
        <v>12918421.052631579</v>
      </c>
      <c r="X21" s="30">
        <v>0.79</v>
      </c>
      <c r="Y21" s="30">
        <v>0.32011353626309091</v>
      </c>
      <c r="Z21" s="30">
        <f t="shared" si="8"/>
        <v>0.28887248657184961</v>
      </c>
      <c r="AA21" s="30">
        <v>0.79</v>
      </c>
      <c r="AB21" s="30">
        <v>0</v>
      </c>
      <c r="AC21">
        <f t="shared" si="9"/>
        <v>561316</v>
      </c>
      <c r="AD21" s="30">
        <f t="shared" si="10"/>
        <v>8.5812389164067748E-2</v>
      </c>
    </row>
    <row r="22" spans="1:30" x14ac:dyDescent="0.2">
      <c r="A22">
        <v>1917</v>
      </c>
      <c r="B22">
        <v>6857000</v>
      </c>
      <c r="C22">
        <v>1043000</v>
      </c>
      <c r="D22">
        <v>5869000</v>
      </c>
      <c r="E22">
        <v>896000</v>
      </c>
      <c r="F22">
        <v>14665000</v>
      </c>
      <c r="G22">
        <v>7212000</v>
      </c>
      <c r="H22">
        <v>3283000</v>
      </c>
      <c r="I22">
        <v>7845000</v>
      </c>
      <c r="J22">
        <v>1192000</v>
      </c>
      <c r="K22">
        <v>19532000</v>
      </c>
      <c r="L22">
        <v>34197000</v>
      </c>
      <c r="M22">
        <v>7808000</v>
      </c>
      <c r="N22">
        <v>12320000</v>
      </c>
      <c r="O22">
        <v>20128000</v>
      </c>
      <c r="P22">
        <f t="shared" si="0"/>
        <v>6135210.5263157897</v>
      </c>
      <c r="Q22">
        <f t="shared" si="1"/>
        <v>6452842.1052631577</v>
      </c>
      <c r="R22">
        <f t="shared" si="2"/>
        <v>208600</v>
      </c>
      <c r="S22">
        <f t="shared" si="3"/>
        <v>656600</v>
      </c>
      <c r="T22">
        <f t="shared" si="4"/>
        <v>7599400</v>
      </c>
      <c r="U22">
        <f t="shared" si="5"/>
        <v>11663400</v>
      </c>
      <c r="V22">
        <f t="shared" si="6"/>
        <v>8529789.4736842103</v>
      </c>
      <c r="W22">
        <f t="shared" si="7"/>
        <v>13079157.894736841</v>
      </c>
      <c r="X22" s="30">
        <v>0.8</v>
      </c>
      <c r="Y22" s="30">
        <v>0.31033386327503976</v>
      </c>
      <c r="Z22" s="30">
        <f t="shared" si="8"/>
        <v>0.28134271865942473</v>
      </c>
      <c r="AA22" s="30">
        <v>0.8</v>
      </c>
      <c r="AB22" s="30">
        <v>0</v>
      </c>
      <c r="AC22">
        <f t="shared" si="9"/>
        <v>531958</v>
      </c>
      <c r="AD22" s="30">
        <f t="shared" si="10"/>
        <v>8.5162333504098367E-2</v>
      </c>
    </row>
    <row r="23" spans="1:30" x14ac:dyDescent="0.2">
      <c r="A23">
        <v>1918</v>
      </c>
      <c r="B23">
        <v>6817000</v>
      </c>
      <c r="C23">
        <v>965000</v>
      </c>
      <c r="D23">
        <v>5743000</v>
      </c>
      <c r="E23">
        <v>911000</v>
      </c>
      <c r="F23">
        <v>14436000</v>
      </c>
      <c r="G23">
        <v>7117000</v>
      </c>
      <c r="H23">
        <v>3291000</v>
      </c>
      <c r="I23">
        <v>7959000</v>
      </c>
      <c r="J23">
        <v>1221000</v>
      </c>
      <c r="K23">
        <v>19588000</v>
      </c>
      <c r="L23">
        <v>34024000</v>
      </c>
      <c r="M23">
        <v>7619000</v>
      </c>
      <c r="N23">
        <v>12471000</v>
      </c>
      <c r="O23">
        <v>20090000</v>
      </c>
      <c r="P23">
        <f t="shared" si="0"/>
        <v>6099421.0526315793</v>
      </c>
      <c r="Q23">
        <f t="shared" si="1"/>
        <v>6367842.1052631577</v>
      </c>
      <c r="R23">
        <f t="shared" si="2"/>
        <v>193000</v>
      </c>
      <c r="S23">
        <f t="shared" si="3"/>
        <v>658200</v>
      </c>
      <c r="T23">
        <f t="shared" si="4"/>
        <v>7426000</v>
      </c>
      <c r="U23">
        <f t="shared" si="5"/>
        <v>11812800</v>
      </c>
      <c r="V23">
        <f t="shared" si="6"/>
        <v>8336578.9473684207</v>
      </c>
      <c r="W23">
        <f t="shared" si="7"/>
        <v>13220157.894736841</v>
      </c>
      <c r="X23" s="30">
        <v>1</v>
      </c>
      <c r="Y23" s="30">
        <f>T23/O23</f>
        <v>0.36963663514186162</v>
      </c>
      <c r="Z23" s="30">
        <f>(T23+I23+J23)/(V23+W23)</f>
        <v>0.77033922720458625</v>
      </c>
      <c r="AA23" s="30">
        <f>T23/V23</f>
        <v>0.89077306733167083</v>
      </c>
      <c r="AB23" s="30">
        <f>(I23+J23)/W23</f>
        <v>0.69439412699107828</v>
      </c>
      <c r="AC23">
        <f t="shared" si="9"/>
        <v>519820</v>
      </c>
      <c r="AD23" s="30">
        <f t="shared" si="10"/>
        <v>7.0000000000000007E-2</v>
      </c>
    </row>
    <row r="24" spans="1:30" x14ac:dyDescent="0.2">
      <c r="A24">
        <v>1919</v>
      </c>
      <c r="B24">
        <v>6846000</v>
      </c>
      <c r="C24">
        <v>1776000</v>
      </c>
      <c r="D24">
        <v>6320000</v>
      </c>
      <c r="E24">
        <v>929000</v>
      </c>
      <c r="F24">
        <v>15871000</v>
      </c>
      <c r="G24">
        <v>6988000</v>
      </c>
      <c r="H24">
        <v>3280000</v>
      </c>
      <c r="I24">
        <v>8036000</v>
      </c>
      <c r="J24">
        <v>1252000</v>
      </c>
      <c r="K24">
        <v>19556000</v>
      </c>
      <c r="L24">
        <v>35427000</v>
      </c>
      <c r="M24">
        <v>9025000</v>
      </c>
      <c r="N24">
        <v>12568000</v>
      </c>
      <c r="O24">
        <v>21593000</v>
      </c>
      <c r="P24">
        <f t="shared" si="0"/>
        <v>6125368.4210526319</v>
      </c>
      <c r="Q24">
        <f t="shared" si="1"/>
        <v>6252421.0526315793</v>
      </c>
      <c r="R24">
        <f t="shared" si="2"/>
        <v>355200</v>
      </c>
      <c r="S24">
        <f t="shared" si="3"/>
        <v>656000</v>
      </c>
      <c r="T24">
        <f t="shared" si="4"/>
        <v>8669800</v>
      </c>
      <c r="U24">
        <f t="shared" si="5"/>
        <v>11912000</v>
      </c>
      <c r="V24">
        <f t="shared" si="6"/>
        <v>9745631.578947369</v>
      </c>
      <c r="W24">
        <f t="shared" si="7"/>
        <v>13303578.947368421</v>
      </c>
      <c r="X24" s="30">
        <v>1</v>
      </c>
      <c r="Y24" s="30">
        <v>0.4179595239197888</v>
      </c>
      <c r="Z24" s="30">
        <f t="shared" ref="Z24:Z53" si="11">(T24+I24+J24)/(V24+W24)</f>
        <v>0.77910694509459166</v>
      </c>
      <c r="AA24" s="30">
        <f t="shared" ref="AA24:AA33" si="12">T24/V24</f>
        <v>0.88960883958804748</v>
      </c>
      <c r="AB24" s="30">
        <f>(I24+J24)/W24</f>
        <v>0.69815799468287132</v>
      </c>
      <c r="AC24">
        <f t="shared" si="9"/>
        <v>606886</v>
      </c>
      <c r="AD24" s="30">
        <f t="shared" si="10"/>
        <v>6.724498614958449E-2</v>
      </c>
    </row>
    <row r="25" spans="1:30" x14ac:dyDescent="0.2">
      <c r="A25">
        <v>1920</v>
      </c>
      <c r="B25">
        <v>6967000</v>
      </c>
      <c r="C25">
        <v>2595000</v>
      </c>
      <c r="D25">
        <v>7065000</v>
      </c>
      <c r="E25">
        <v>956000</v>
      </c>
      <c r="F25">
        <v>17583000</v>
      </c>
      <c r="G25">
        <v>7014000</v>
      </c>
      <c r="H25">
        <v>3256000</v>
      </c>
      <c r="I25">
        <v>8108000</v>
      </c>
      <c r="J25">
        <v>1286000</v>
      </c>
      <c r="K25">
        <v>19664000</v>
      </c>
      <c r="L25">
        <v>37247000</v>
      </c>
      <c r="M25">
        <v>10616000</v>
      </c>
      <c r="N25">
        <v>12650000</v>
      </c>
      <c r="O25">
        <v>23266000</v>
      </c>
      <c r="P25">
        <f t="shared" si="0"/>
        <v>6233631.5789473681</v>
      </c>
      <c r="Q25">
        <f t="shared" si="1"/>
        <v>6275684.2105263155</v>
      </c>
      <c r="R25">
        <f t="shared" si="2"/>
        <v>519000</v>
      </c>
      <c r="S25">
        <f t="shared" si="3"/>
        <v>651200</v>
      </c>
      <c r="T25">
        <f t="shared" si="4"/>
        <v>10097000</v>
      </c>
      <c r="U25">
        <f t="shared" si="5"/>
        <v>11998800</v>
      </c>
      <c r="V25">
        <f t="shared" si="6"/>
        <v>11349368.421052631</v>
      </c>
      <c r="W25">
        <f t="shared" si="7"/>
        <v>13388315.789473685</v>
      </c>
      <c r="X25" s="30">
        <v>1</v>
      </c>
      <c r="Y25" s="30">
        <v>0.45628814579214305</v>
      </c>
      <c r="Z25" s="30">
        <f t="shared" si="11"/>
        <v>0.78790722017973847</v>
      </c>
      <c r="AA25" s="30">
        <f t="shared" si="12"/>
        <v>0.88965302961444648</v>
      </c>
      <c r="AB25" s="30">
        <f>(I25+J25)/W25</f>
        <v>0.70165658979943235</v>
      </c>
      <c r="AC25">
        <f t="shared" si="9"/>
        <v>706790</v>
      </c>
      <c r="AD25" s="30">
        <f t="shared" si="10"/>
        <v>6.6577807083647328E-2</v>
      </c>
    </row>
    <row r="26" spans="1:30" x14ac:dyDescent="0.2">
      <c r="A26">
        <v>1921</v>
      </c>
      <c r="B26">
        <v>7036000</v>
      </c>
      <c r="C26">
        <v>2788000</v>
      </c>
      <c r="D26">
        <v>7293000</v>
      </c>
      <c r="E26">
        <v>981000</v>
      </c>
      <c r="F26">
        <v>18098000</v>
      </c>
      <c r="G26">
        <v>7013000</v>
      </c>
      <c r="H26">
        <v>3323000</v>
      </c>
      <c r="I26">
        <v>8187000</v>
      </c>
      <c r="J26">
        <v>1311000</v>
      </c>
      <c r="K26">
        <v>19834000</v>
      </c>
      <c r="L26">
        <v>37932000</v>
      </c>
      <c r="M26">
        <v>11062000</v>
      </c>
      <c r="N26">
        <v>12821000</v>
      </c>
      <c r="O26">
        <v>23883000</v>
      </c>
      <c r="P26">
        <f t="shared" si="0"/>
        <v>6295368.4210526319</v>
      </c>
      <c r="Q26">
        <f t="shared" si="1"/>
        <v>6274789.4736842103</v>
      </c>
      <c r="R26">
        <f t="shared" si="2"/>
        <v>557600</v>
      </c>
      <c r="S26">
        <f t="shared" si="3"/>
        <v>664600</v>
      </c>
      <c r="T26">
        <f t="shared" si="4"/>
        <v>10504400</v>
      </c>
      <c r="U26">
        <f t="shared" si="5"/>
        <v>12156400</v>
      </c>
      <c r="V26">
        <f t="shared" si="6"/>
        <v>11802631.578947369</v>
      </c>
      <c r="W26">
        <f t="shared" si="7"/>
        <v>13559210.52631579</v>
      </c>
      <c r="X26" s="30">
        <v>1</v>
      </c>
      <c r="Y26" s="30">
        <v>0.46317464305154293</v>
      </c>
      <c r="Z26" s="30">
        <f t="shared" si="11"/>
        <v>0.78868088197146557</v>
      </c>
      <c r="AA26" s="30">
        <f t="shared" si="12"/>
        <v>0.89000490523968778</v>
      </c>
      <c r="AB26" s="30">
        <f>(I26+J26)/W26</f>
        <v>0.70048326055312948</v>
      </c>
      <c r="AC26">
        <f t="shared" si="9"/>
        <v>735308</v>
      </c>
      <c r="AD26" s="30">
        <f t="shared" si="10"/>
        <v>6.647152413668414E-2</v>
      </c>
    </row>
    <row r="27" spans="1:30" x14ac:dyDescent="0.2">
      <c r="A27">
        <v>1922</v>
      </c>
      <c r="B27">
        <v>7054000</v>
      </c>
      <c r="C27">
        <v>2821000</v>
      </c>
      <c r="D27">
        <v>7370000</v>
      </c>
      <c r="E27">
        <v>1004000</v>
      </c>
      <c r="F27">
        <v>18249000</v>
      </c>
      <c r="G27">
        <v>6998000</v>
      </c>
      <c r="H27">
        <v>3340000</v>
      </c>
      <c r="I27">
        <v>8278000</v>
      </c>
      <c r="J27">
        <v>1340000</v>
      </c>
      <c r="K27">
        <v>19956000</v>
      </c>
      <c r="L27">
        <v>38205000</v>
      </c>
      <c r="M27">
        <v>11195000</v>
      </c>
      <c r="N27">
        <v>12958000</v>
      </c>
      <c r="O27">
        <v>24153000</v>
      </c>
      <c r="P27">
        <f t="shared" si="0"/>
        <v>6311473.6842105258</v>
      </c>
      <c r="Q27">
        <f t="shared" si="1"/>
        <v>6261368.4210526319</v>
      </c>
      <c r="R27">
        <f t="shared" si="2"/>
        <v>564200</v>
      </c>
      <c r="S27">
        <f t="shared" si="3"/>
        <v>668000</v>
      </c>
      <c r="T27">
        <f t="shared" si="4"/>
        <v>10630800</v>
      </c>
      <c r="U27">
        <f t="shared" si="5"/>
        <v>12290000</v>
      </c>
      <c r="V27">
        <f t="shared" si="6"/>
        <v>11937526.315789474</v>
      </c>
      <c r="W27">
        <f t="shared" si="7"/>
        <v>13694631.578947369</v>
      </c>
      <c r="X27" s="30">
        <v>1</v>
      </c>
      <c r="Y27" s="30">
        <v>0.46350349853020328</v>
      </c>
      <c r="Z27" s="30">
        <f t="shared" si="11"/>
        <v>0.78997640710374106</v>
      </c>
      <c r="AA27" s="30">
        <f t="shared" si="12"/>
        <v>0.89053625674013392</v>
      </c>
      <c r="AB27" s="30">
        <f>(I27+J27)/W27</f>
        <v>0.70231900322062424</v>
      </c>
      <c r="AC27">
        <f t="shared" si="9"/>
        <v>744156</v>
      </c>
      <c r="AD27" s="30">
        <f t="shared" si="10"/>
        <v>6.647217507815989E-2</v>
      </c>
    </row>
    <row r="28" spans="1:30" x14ac:dyDescent="0.2">
      <c r="A28">
        <v>1923</v>
      </c>
      <c r="B28">
        <v>7031000</v>
      </c>
      <c r="C28">
        <v>2857000</v>
      </c>
      <c r="D28">
        <v>7445000</v>
      </c>
      <c r="E28">
        <v>1033000</v>
      </c>
      <c r="F28">
        <v>18366000</v>
      </c>
      <c r="G28">
        <v>6964000</v>
      </c>
      <c r="H28">
        <v>3354000</v>
      </c>
      <c r="I28">
        <v>8385000</v>
      </c>
      <c r="J28">
        <v>1380000</v>
      </c>
      <c r="K28">
        <v>20083000</v>
      </c>
      <c r="L28">
        <v>38449000</v>
      </c>
      <c r="M28">
        <v>11335000</v>
      </c>
      <c r="N28">
        <v>13119000</v>
      </c>
      <c r="O28">
        <v>24454000</v>
      </c>
      <c r="P28">
        <f t="shared" si="0"/>
        <v>6290894.7368421052</v>
      </c>
      <c r="Q28">
        <f t="shared" si="1"/>
        <v>6230947.3684210526</v>
      </c>
      <c r="R28">
        <f t="shared" si="2"/>
        <v>571400</v>
      </c>
      <c r="S28">
        <f t="shared" si="3"/>
        <v>670800</v>
      </c>
      <c r="T28">
        <f t="shared" si="4"/>
        <v>10763600</v>
      </c>
      <c r="U28">
        <f t="shared" si="5"/>
        <v>12448200</v>
      </c>
      <c r="V28">
        <f t="shared" si="6"/>
        <v>12075105.263157895</v>
      </c>
      <c r="W28">
        <f t="shared" si="7"/>
        <v>13852052.631578948</v>
      </c>
      <c r="X28" s="30">
        <v>1</v>
      </c>
      <c r="Y28" s="30">
        <v>0.46352334996319622</v>
      </c>
      <c r="Z28" s="30">
        <f t="shared" si="11"/>
        <v>0.79177980414765259</v>
      </c>
      <c r="AA28" s="30">
        <f t="shared" si="12"/>
        <v>0.89138767451084655</v>
      </c>
      <c r="AB28" s="30">
        <f>(I28+J28)/W28</f>
        <v>0.70494967494842109</v>
      </c>
      <c r="AC28">
        <f t="shared" si="9"/>
        <v>753452</v>
      </c>
      <c r="AD28" s="30">
        <f t="shared" si="10"/>
        <v>6.6471283634759598E-2</v>
      </c>
    </row>
    <row r="29" spans="1:30" x14ac:dyDescent="0.2">
      <c r="A29">
        <v>1924</v>
      </c>
      <c r="B29">
        <v>7029000</v>
      </c>
      <c r="C29">
        <v>2945000</v>
      </c>
      <c r="D29">
        <v>7542000</v>
      </c>
      <c r="E29">
        <v>1055000</v>
      </c>
      <c r="F29">
        <v>18571000</v>
      </c>
      <c r="G29">
        <v>6933000</v>
      </c>
      <c r="H29">
        <v>3386000</v>
      </c>
      <c r="I29">
        <v>8499000</v>
      </c>
      <c r="J29">
        <v>1406000</v>
      </c>
      <c r="K29">
        <v>20224000</v>
      </c>
      <c r="L29">
        <v>38795000</v>
      </c>
      <c r="M29">
        <v>11542000</v>
      </c>
      <c r="N29">
        <v>13291000</v>
      </c>
      <c r="O29">
        <v>24833000</v>
      </c>
      <c r="P29">
        <f t="shared" si="0"/>
        <v>6289105.2631578948</v>
      </c>
      <c r="Q29">
        <f t="shared" si="1"/>
        <v>6203210.5263157897</v>
      </c>
      <c r="R29">
        <f t="shared" si="2"/>
        <v>589000</v>
      </c>
      <c r="S29">
        <f t="shared" si="3"/>
        <v>677200</v>
      </c>
      <c r="T29">
        <f t="shared" si="4"/>
        <v>10953000</v>
      </c>
      <c r="U29">
        <f t="shared" si="5"/>
        <v>12613800</v>
      </c>
      <c r="V29">
        <f t="shared" si="6"/>
        <v>12281894.736842105</v>
      </c>
      <c r="W29">
        <f t="shared" si="7"/>
        <v>14020789.47368421</v>
      </c>
      <c r="X29" s="30">
        <v>1</v>
      </c>
      <c r="Y29" s="30">
        <v>0.46478476221157333</v>
      </c>
      <c r="Z29" s="30">
        <f t="shared" si="11"/>
        <v>0.7929989134589025</v>
      </c>
      <c r="AA29" s="30">
        <f t="shared" si="12"/>
        <v>0.89180051080752154</v>
      </c>
      <c r="AB29" s="30">
        <f>(I29+J29)/W29</f>
        <v>0.7064509469021566</v>
      </c>
      <c r="AC29">
        <f t="shared" si="9"/>
        <v>766710</v>
      </c>
      <c r="AD29" s="30">
        <f t="shared" si="10"/>
        <v>6.6427828799168254E-2</v>
      </c>
    </row>
    <row r="30" spans="1:30" x14ac:dyDescent="0.2">
      <c r="A30">
        <v>1925</v>
      </c>
      <c r="B30">
        <v>6956000</v>
      </c>
      <c r="C30">
        <v>2983000</v>
      </c>
      <c r="D30">
        <v>7608000</v>
      </c>
      <c r="E30">
        <v>1078000</v>
      </c>
      <c r="F30">
        <v>18625000</v>
      </c>
      <c r="G30">
        <v>6872000</v>
      </c>
      <c r="H30">
        <v>3394000</v>
      </c>
      <c r="I30">
        <v>8608000</v>
      </c>
      <c r="J30">
        <v>1436000</v>
      </c>
      <c r="K30">
        <v>20310000</v>
      </c>
      <c r="L30">
        <v>38935000</v>
      </c>
      <c r="M30">
        <v>11669000</v>
      </c>
      <c r="N30">
        <v>13438000</v>
      </c>
      <c r="O30">
        <v>25107000</v>
      </c>
      <c r="P30">
        <f t="shared" si="0"/>
        <v>6223789.4736842103</v>
      </c>
      <c r="Q30">
        <f t="shared" si="1"/>
        <v>6148631.5789473681</v>
      </c>
      <c r="R30">
        <f t="shared" si="2"/>
        <v>596600</v>
      </c>
      <c r="S30">
        <f t="shared" si="3"/>
        <v>678800</v>
      </c>
      <c r="T30">
        <f t="shared" si="4"/>
        <v>11072400</v>
      </c>
      <c r="U30">
        <f t="shared" si="5"/>
        <v>12759200</v>
      </c>
      <c r="V30">
        <f t="shared" si="6"/>
        <v>12401210.52631579</v>
      </c>
      <c r="W30">
        <f t="shared" si="7"/>
        <v>14161368.421052631</v>
      </c>
      <c r="X30" s="30">
        <v>1</v>
      </c>
      <c r="Y30" s="30">
        <v>0.4647707810570757</v>
      </c>
      <c r="Z30" s="30">
        <f t="shared" si="11"/>
        <v>0.79496799018801678</v>
      </c>
      <c r="AA30" s="30">
        <f t="shared" si="12"/>
        <v>0.8928483212589603</v>
      </c>
      <c r="AB30" s="30">
        <f>(I30+J30)/W30</f>
        <v>0.70925349170835417</v>
      </c>
      <c r="AC30">
        <f t="shared" si="9"/>
        <v>775068</v>
      </c>
      <c r="AD30" s="30">
        <f t="shared" si="10"/>
        <v>6.6421115776844633E-2</v>
      </c>
    </row>
    <row r="31" spans="1:30" x14ac:dyDescent="0.2">
      <c r="A31">
        <v>1926</v>
      </c>
      <c r="B31">
        <v>6898000</v>
      </c>
      <c r="C31">
        <v>3043000</v>
      </c>
      <c r="D31">
        <v>7660000</v>
      </c>
      <c r="E31">
        <v>1121000</v>
      </c>
      <c r="F31">
        <v>18722000</v>
      </c>
      <c r="G31">
        <v>6809000</v>
      </c>
      <c r="H31">
        <v>3410000</v>
      </c>
      <c r="I31">
        <v>8682000</v>
      </c>
      <c r="J31">
        <v>1491000</v>
      </c>
      <c r="K31">
        <v>20392000</v>
      </c>
      <c r="L31">
        <v>39114000</v>
      </c>
      <c r="M31">
        <v>11824000</v>
      </c>
      <c r="N31">
        <v>13583000</v>
      </c>
      <c r="O31">
        <v>25407000</v>
      </c>
      <c r="P31">
        <f t="shared" si="0"/>
        <v>6171894.7368421052</v>
      </c>
      <c r="Q31">
        <f t="shared" si="1"/>
        <v>6092263.1578947371</v>
      </c>
      <c r="R31">
        <f t="shared" si="2"/>
        <v>608600</v>
      </c>
      <c r="S31">
        <f t="shared" si="3"/>
        <v>682000</v>
      </c>
      <c r="T31">
        <f t="shared" si="4"/>
        <v>11215400</v>
      </c>
      <c r="U31">
        <f t="shared" si="5"/>
        <v>12901000</v>
      </c>
      <c r="V31">
        <f t="shared" si="6"/>
        <v>12550105.263157895</v>
      </c>
      <c r="W31">
        <f t="shared" si="7"/>
        <v>14299736.842105262</v>
      </c>
      <c r="X31" s="30">
        <v>1</v>
      </c>
      <c r="Y31" s="30">
        <v>0.4653835557129925</v>
      </c>
      <c r="Z31" s="30">
        <f t="shared" si="11"/>
        <v>0.79659313884037342</v>
      </c>
      <c r="AA31" s="30">
        <f t="shared" si="12"/>
        <v>0.89364987502725912</v>
      </c>
      <c r="AB31" s="30">
        <f>(I31+J31)/W31</f>
        <v>0.71141169325898534</v>
      </c>
      <c r="AC31">
        <f t="shared" si="9"/>
        <v>785078</v>
      </c>
      <c r="AD31" s="30">
        <f t="shared" si="10"/>
        <v>6.6396989174560217E-2</v>
      </c>
    </row>
    <row r="32" spans="1:30" x14ac:dyDescent="0.2">
      <c r="A32">
        <v>1927</v>
      </c>
      <c r="B32">
        <v>6823000</v>
      </c>
      <c r="C32">
        <v>3111000</v>
      </c>
      <c r="D32">
        <v>7720000</v>
      </c>
      <c r="E32">
        <v>1148000</v>
      </c>
      <c r="F32">
        <v>18802000</v>
      </c>
      <c r="G32">
        <v>6743000</v>
      </c>
      <c r="H32">
        <v>3428000</v>
      </c>
      <c r="I32">
        <v>8786000</v>
      </c>
      <c r="J32">
        <v>1527000</v>
      </c>
      <c r="K32">
        <v>20484000</v>
      </c>
      <c r="L32">
        <v>39286000</v>
      </c>
      <c r="M32">
        <v>11979000</v>
      </c>
      <c r="N32">
        <v>13741000</v>
      </c>
      <c r="O32">
        <v>25720000</v>
      </c>
      <c r="P32">
        <f t="shared" si="0"/>
        <v>6104789.4736842103</v>
      </c>
      <c r="Q32">
        <f t="shared" si="1"/>
        <v>6033210.5263157897</v>
      </c>
      <c r="R32">
        <f t="shared" si="2"/>
        <v>622200</v>
      </c>
      <c r="S32">
        <f t="shared" si="3"/>
        <v>685600</v>
      </c>
      <c r="T32">
        <f t="shared" si="4"/>
        <v>11356800</v>
      </c>
      <c r="U32">
        <f t="shared" si="5"/>
        <v>13055400</v>
      </c>
      <c r="V32">
        <f t="shared" si="6"/>
        <v>12697210.52631579</v>
      </c>
      <c r="W32">
        <f t="shared" si="7"/>
        <v>14450789.47368421</v>
      </c>
      <c r="X32" s="30">
        <v>1</v>
      </c>
      <c r="Y32" s="30">
        <v>0.46574650077760499</v>
      </c>
      <c r="Z32" s="30">
        <f t="shared" si="11"/>
        <v>0.79820981287755999</v>
      </c>
      <c r="AA32" s="30">
        <f t="shared" si="12"/>
        <v>0.89443267688302863</v>
      </c>
      <c r="AB32" s="30">
        <f>(I32+J32)/W32</f>
        <v>0.71366343124578879</v>
      </c>
      <c r="AC32">
        <f t="shared" si="9"/>
        <v>794976</v>
      </c>
      <c r="AD32" s="30">
        <f t="shared" si="10"/>
        <v>6.6364137240170304E-2</v>
      </c>
    </row>
    <row r="33" spans="1:30" x14ac:dyDescent="0.2">
      <c r="A33">
        <v>1928</v>
      </c>
      <c r="B33">
        <v>6742000</v>
      </c>
      <c r="C33">
        <v>3185000</v>
      </c>
      <c r="D33">
        <v>7781000</v>
      </c>
      <c r="E33">
        <v>1189000</v>
      </c>
      <c r="F33">
        <v>18897000</v>
      </c>
      <c r="G33">
        <v>6662000</v>
      </c>
      <c r="H33">
        <v>3459000</v>
      </c>
      <c r="I33">
        <v>8884000</v>
      </c>
      <c r="J33">
        <v>1581000</v>
      </c>
      <c r="K33">
        <v>20586000</v>
      </c>
      <c r="L33">
        <v>39483000</v>
      </c>
      <c r="M33">
        <v>12155000</v>
      </c>
      <c r="N33">
        <v>13924000</v>
      </c>
      <c r="O33">
        <v>26079000</v>
      </c>
      <c r="P33">
        <f t="shared" si="0"/>
        <v>6032315.7894736845</v>
      </c>
      <c r="Q33">
        <f t="shared" si="1"/>
        <v>5960736.8421052629</v>
      </c>
      <c r="R33">
        <f t="shared" si="2"/>
        <v>637000</v>
      </c>
      <c r="S33">
        <f t="shared" si="3"/>
        <v>691800</v>
      </c>
      <c r="T33">
        <f t="shared" si="4"/>
        <v>11518000</v>
      </c>
      <c r="U33">
        <f t="shared" si="5"/>
        <v>13232200</v>
      </c>
      <c r="V33">
        <f t="shared" si="6"/>
        <v>12864684.210526315</v>
      </c>
      <c r="W33">
        <f t="shared" si="7"/>
        <v>14625263.157894738</v>
      </c>
      <c r="X33" s="30">
        <v>1</v>
      </c>
      <c r="Y33" s="30">
        <f>(T33+U33)/L33</f>
        <v>0.62685712838436791</v>
      </c>
      <c r="Z33" s="30">
        <f>(T33+U33)/(V33+W33)</f>
        <v>0.90033639091036144</v>
      </c>
      <c r="AA33" s="30">
        <f t="shared" si="12"/>
        <v>0.89531929517364961</v>
      </c>
      <c r="AB33" s="30">
        <f t="shared" ref="AB33:AB53" si="13">U33/W33</f>
        <v>0.90474953217216059</v>
      </c>
      <c r="AC33">
        <f t="shared" si="9"/>
        <v>806260</v>
      </c>
      <c r="AD33" s="30">
        <f t="shared" si="10"/>
        <v>4.9319153173145433E-2</v>
      </c>
    </row>
    <row r="34" spans="1:30" x14ac:dyDescent="0.2">
      <c r="A34">
        <v>1929</v>
      </c>
      <c r="B34">
        <v>6656000</v>
      </c>
      <c r="C34">
        <v>3260000</v>
      </c>
      <c r="D34">
        <v>7839000</v>
      </c>
      <c r="E34">
        <v>1206000</v>
      </c>
      <c r="F34">
        <v>18961000</v>
      </c>
      <c r="G34">
        <v>6575000</v>
      </c>
      <c r="H34">
        <v>3488000</v>
      </c>
      <c r="I34">
        <v>8975000</v>
      </c>
      <c r="J34">
        <v>1601000</v>
      </c>
      <c r="K34">
        <v>20639000</v>
      </c>
      <c r="L34">
        <v>39600000</v>
      </c>
      <c r="M34">
        <v>12305000</v>
      </c>
      <c r="N34">
        <v>14064000</v>
      </c>
      <c r="O34">
        <v>26369000</v>
      </c>
      <c r="P34">
        <f t="shared" si="0"/>
        <v>5955368.4210526319</v>
      </c>
      <c r="Q34">
        <f t="shared" si="1"/>
        <v>5882894.7368421052</v>
      </c>
      <c r="R34">
        <f t="shared" si="2"/>
        <v>652000</v>
      </c>
      <c r="S34">
        <f t="shared" si="3"/>
        <v>697600</v>
      </c>
      <c r="T34">
        <f t="shared" si="4"/>
        <v>11653000</v>
      </c>
      <c r="U34">
        <f t="shared" si="5"/>
        <v>13366400</v>
      </c>
      <c r="V34">
        <f t="shared" si="6"/>
        <v>13005631.578947369</v>
      </c>
      <c r="W34">
        <f t="shared" si="7"/>
        <v>14756105.263157895</v>
      </c>
      <c r="Y34" s="30">
        <f t="shared" ref="Y34:Y73" si="14">(T34+U34)/L34</f>
        <v>0.63180303030303031</v>
      </c>
      <c r="Z34" s="30">
        <f t="shared" ref="Z34:Z53" si="15">(T34+U34)/(V34+W34)</f>
        <v>0.90121883015813131</v>
      </c>
      <c r="AA34" s="30">
        <f t="shared" ref="AA34:AA53" si="16">T34/V34</f>
        <v>0.89599647116431336</v>
      </c>
      <c r="AB34" s="30">
        <f t="shared" si="13"/>
        <v>0.90582167595214824</v>
      </c>
      <c r="AC34">
        <f t="shared" si="9"/>
        <v>815710</v>
      </c>
      <c r="AD34" s="30">
        <f t="shared" si="10"/>
        <v>4.8962143417589289E-2</v>
      </c>
    </row>
    <row r="35" spans="1:30" x14ac:dyDescent="0.2">
      <c r="A35">
        <v>1930</v>
      </c>
      <c r="B35">
        <v>6587000</v>
      </c>
      <c r="C35">
        <v>3310000</v>
      </c>
      <c r="D35">
        <v>7925000</v>
      </c>
      <c r="E35">
        <v>1250000</v>
      </c>
      <c r="F35">
        <v>19072000</v>
      </c>
      <c r="G35">
        <v>6498000</v>
      </c>
      <c r="H35">
        <v>3499000</v>
      </c>
      <c r="I35">
        <v>9074000</v>
      </c>
      <c r="J35">
        <v>1658000</v>
      </c>
      <c r="K35">
        <v>20729000</v>
      </c>
      <c r="L35">
        <v>39801000</v>
      </c>
      <c r="M35">
        <v>12485000</v>
      </c>
      <c r="N35">
        <v>14231000</v>
      </c>
      <c r="O35">
        <v>26716000</v>
      </c>
      <c r="P35">
        <f t="shared" si="0"/>
        <v>5893631.5789473681</v>
      </c>
      <c r="Q35">
        <f t="shared" si="1"/>
        <v>5814000</v>
      </c>
      <c r="R35">
        <f t="shared" si="2"/>
        <v>662000</v>
      </c>
      <c r="S35">
        <f t="shared" si="3"/>
        <v>699800</v>
      </c>
      <c r="T35">
        <f t="shared" si="4"/>
        <v>11823000</v>
      </c>
      <c r="U35">
        <f t="shared" si="5"/>
        <v>13531200</v>
      </c>
      <c r="V35">
        <f t="shared" si="6"/>
        <v>13178368.421052631</v>
      </c>
      <c r="W35">
        <f t="shared" si="7"/>
        <v>14915000</v>
      </c>
      <c r="Y35" s="30">
        <f t="shared" si="14"/>
        <v>0.63702419537197563</v>
      </c>
      <c r="Z35" s="30">
        <f t="shared" si="15"/>
        <v>0.90249768628670568</v>
      </c>
      <c r="AA35" s="30">
        <f t="shared" si="16"/>
        <v>0.89715203143908084</v>
      </c>
      <c r="AB35" s="30">
        <f t="shared" si="13"/>
        <v>0.90722091853838416</v>
      </c>
      <c r="AC35">
        <f t="shared" si="9"/>
        <v>827610</v>
      </c>
      <c r="AD35" s="30">
        <f t="shared" si="10"/>
        <v>4.8629339048245283E-2</v>
      </c>
    </row>
    <row r="36" spans="1:30" x14ac:dyDescent="0.2">
      <c r="A36">
        <v>1931</v>
      </c>
      <c r="B36">
        <v>6520100</v>
      </c>
      <c r="C36">
        <v>3349800</v>
      </c>
      <c r="D36">
        <v>8012600</v>
      </c>
      <c r="E36">
        <v>1277500</v>
      </c>
      <c r="F36">
        <v>19160000</v>
      </c>
      <c r="G36">
        <v>6435700</v>
      </c>
      <c r="H36">
        <v>3520500</v>
      </c>
      <c r="I36">
        <v>9177400</v>
      </c>
      <c r="J36">
        <v>1694400</v>
      </c>
      <c r="K36">
        <v>20828000</v>
      </c>
      <c r="L36">
        <v>39988000</v>
      </c>
      <c r="M36">
        <v>12639900</v>
      </c>
      <c r="N36">
        <v>14392300</v>
      </c>
      <c r="O36">
        <v>27032200</v>
      </c>
      <c r="P36">
        <f t="shared" si="0"/>
        <v>5833773.6842105258</v>
      </c>
      <c r="Q36">
        <f t="shared" si="1"/>
        <v>5758257.8947368423</v>
      </c>
      <c r="R36">
        <f t="shared" si="2"/>
        <v>669960</v>
      </c>
      <c r="S36">
        <f t="shared" si="3"/>
        <v>704100</v>
      </c>
      <c r="T36">
        <f t="shared" si="4"/>
        <v>11969940</v>
      </c>
      <c r="U36">
        <f t="shared" si="5"/>
        <v>13688200</v>
      </c>
      <c r="V36">
        <f t="shared" si="6"/>
        <v>13326226.315789474</v>
      </c>
      <c r="W36">
        <f t="shared" si="7"/>
        <v>15069742.105263159</v>
      </c>
      <c r="Y36" s="30">
        <f t="shared" si="14"/>
        <v>0.64164599379813947</v>
      </c>
      <c r="Z36" s="30">
        <f t="shared" si="15"/>
        <v>0.9035839038677469</v>
      </c>
      <c r="AA36" s="30">
        <f t="shared" si="16"/>
        <v>0.89822427717721642</v>
      </c>
      <c r="AB36" s="30">
        <f t="shared" si="13"/>
        <v>0.90832344073223059</v>
      </c>
      <c r="AC36">
        <f t="shared" si="9"/>
        <v>837896</v>
      </c>
      <c r="AD36" s="30">
        <f t="shared" si="10"/>
        <v>4.8307352688580496E-2</v>
      </c>
    </row>
    <row r="37" spans="1:30" x14ac:dyDescent="0.2">
      <c r="A37">
        <v>1932</v>
      </c>
      <c r="B37">
        <v>6459800</v>
      </c>
      <c r="C37">
        <v>3370300</v>
      </c>
      <c r="D37">
        <v>8138100</v>
      </c>
      <c r="E37">
        <v>1311800</v>
      </c>
      <c r="F37">
        <v>19280000</v>
      </c>
      <c r="G37">
        <v>6364700</v>
      </c>
      <c r="H37">
        <v>3532000</v>
      </c>
      <c r="I37">
        <v>9283900</v>
      </c>
      <c r="J37">
        <v>1740400</v>
      </c>
      <c r="K37">
        <v>20921000</v>
      </c>
      <c r="L37">
        <v>40201000</v>
      </c>
      <c r="M37">
        <v>12820200</v>
      </c>
      <c r="N37">
        <v>14556300</v>
      </c>
      <c r="O37">
        <v>27376500</v>
      </c>
      <c r="P37">
        <f t="shared" si="0"/>
        <v>5779821.0526315793</v>
      </c>
      <c r="Q37">
        <f t="shared" si="1"/>
        <v>5694731.5789473681</v>
      </c>
      <c r="R37">
        <f t="shared" si="2"/>
        <v>674060</v>
      </c>
      <c r="S37">
        <f t="shared" si="3"/>
        <v>706400</v>
      </c>
      <c r="T37">
        <f t="shared" si="4"/>
        <v>12146140</v>
      </c>
      <c r="U37">
        <f t="shared" si="5"/>
        <v>13849900</v>
      </c>
      <c r="V37">
        <f t="shared" si="6"/>
        <v>13500178.947368421</v>
      </c>
      <c r="W37">
        <f t="shared" si="7"/>
        <v>15226268.421052631</v>
      </c>
      <c r="Y37" s="30">
        <f t="shared" si="14"/>
        <v>0.64665157583144695</v>
      </c>
      <c r="Z37" s="30">
        <f t="shared" si="15"/>
        <v>0.90495144305861552</v>
      </c>
      <c r="AA37" s="30">
        <f t="shared" si="16"/>
        <v>0.89970214819764571</v>
      </c>
      <c r="AB37" s="30">
        <f t="shared" si="13"/>
        <v>0.90960566417247757</v>
      </c>
      <c r="AC37">
        <f t="shared" si="9"/>
        <v>850230</v>
      </c>
      <c r="AD37" s="30">
        <f t="shared" si="10"/>
        <v>4.8027298700313942E-2</v>
      </c>
    </row>
    <row r="38" spans="1:30" x14ac:dyDescent="0.2">
      <c r="A38">
        <v>1933</v>
      </c>
      <c r="B38">
        <v>6382300</v>
      </c>
      <c r="C38">
        <v>3379700</v>
      </c>
      <c r="D38">
        <v>8248000</v>
      </c>
      <c r="E38">
        <v>1346500</v>
      </c>
      <c r="F38">
        <v>19356500</v>
      </c>
      <c r="G38">
        <v>6280100</v>
      </c>
      <c r="H38">
        <v>3539100</v>
      </c>
      <c r="I38">
        <v>9387900</v>
      </c>
      <c r="J38">
        <v>1785900</v>
      </c>
      <c r="K38">
        <v>20993000</v>
      </c>
      <c r="L38">
        <v>40349500</v>
      </c>
      <c r="M38">
        <v>12974200</v>
      </c>
      <c r="N38">
        <v>14712900</v>
      </c>
      <c r="O38">
        <v>27687100</v>
      </c>
      <c r="P38">
        <f t="shared" si="0"/>
        <v>5710478.9473684207</v>
      </c>
      <c r="Q38">
        <f t="shared" si="1"/>
        <v>5619036.8421052629</v>
      </c>
      <c r="R38">
        <f t="shared" si="2"/>
        <v>675940</v>
      </c>
      <c r="S38">
        <f t="shared" si="3"/>
        <v>707820</v>
      </c>
      <c r="T38">
        <f t="shared" si="4"/>
        <v>12298260</v>
      </c>
      <c r="U38">
        <f t="shared" si="5"/>
        <v>14005080</v>
      </c>
      <c r="V38">
        <f t="shared" si="6"/>
        <v>13646021.052631579</v>
      </c>
      <c r="W38">
        <f t="shared" si="7"/>
        <v>15373963.157894738</v>
      </c>
      <c r="Y38" s="30">
        <f t="shared" si="14"/>
        <v>0.65188763181699894</v>
      </c>
      <c r="Z38" s="30">
        <f t="shared" si="15"/>
        <v>0.90638712306601055</v>
      </c>
      <c r="AA38" s="30">
        <f t="shared" si="16"/>
        <v>0.90123413649785711</v>
      </c>
      <c r="AB38" s="30">
        <f t="shared" si="13"/>
        <v>0.91096094456348442</v>
      </c>
      <c r="AC38">
        <f t="shared" si="9"/>
        <v>860878</v>
      </c>
      <c r="AD38" s="30">
        <f t="shared" si="10"/>
        <v>4.7697036767224761E-2</v>
      </c>
    </row>
    <row r="39" spans="1:30" x14ac:dyDescent="0.2">
      <c r="A39">
        <v>1934</v>
      </c>
      <c r="B39">
        <v>6288700</v>
      </c>
      <c r="C39">
        <v>3388000</v>
      </c>
      <c r="D39">
        <v>8347900</v>
      </c>
      <c r="E39">
        <v>1387400</v>
      </c>
      <c r="F39">
        <v>19412000</v>
      </c>
      <c r="G39">
        <v>6182700</v>
      </c>
      <c r="H39">
        <v>3544000</v>
      </c>
      <c r="I39">
        <v>9489500</v>
      </c>
      <c r="J39">
        <v>1838800</v>
      </c>
      <c r="K39">
        <v>21055000</v>
      </c>
      <c r="L39">
        <v>40467000</v>
      </c>
      <c r="M39">
        <v>13123300</v>
      </c>
      <c r="N39">
        <v>14872300</v>
      </c>
      <c r="O39">
        <v>27995600</v>
      </c>
      <c r="P39">
        <f t="shared" si="0"/>
        <v>5626731.5789473681</v>
      </c>
      <c r="Q39">
        <f t="shared" si="1"/>
        <v>5531889.4736842103</v>
      </c>
      <c r="R39">
        <f t="shared" si="2"/>
        <v>677600</v>
      </c>
      <c r="S39">
        <f t="shared" si="3"/>
        <v>708800</v>
      </c>
      <c r="T39">
        <f t="shared" si="4"/>
        <v>12445700</v>
      </c>
      <c r="U39">
        <f t="shared" si="5"/>
        <v>14163500</v>
      </c>
      <c r="V39">
        <f t="shared" si="6"/>
        <v>13785268.421052631</v>
      </c>
      <c r="W39">
        <f t="shared" si="7"/>
        <v>15523110.52631579</v>
      </c>
      <c r="Y39" s="30">
        <f t="shared" si="14"/>
        <v>0.65755306793189516</v>
      </c>
      <c r="Z39" s="30">
        <f t="shared" si="15"/>
        <v>0.90790418834779063</v>
      </c>
      <c r="AA39" s="30">
        <f t="shared" si="16"/>
        <v>0.90282609085747911</v>
      </c>
      <c r="AB39" s="30">
        <f t="shared" si="13"/>
        <v>0.91241378304877174</v>
      </c>
      <c r="AC39">
        <f t="shared" si="9"/>
        <v>871199</v>
      </c>
      <c r="AD39" s="30">
        <f t="shared" si="10"/>
        <v>4.7325670988760719E-2</v>
      </c>
    </row>
    <row r="40" spans="1:30" x14ac:dyDescent="0.2">
      <c r="A40">
        <v>1935</v>
      </c>
      <c r="B40">
        <v>6217300</v>
      </c>
      <c r="C40">
        <v>3394600</v>
      </c>
      <c r="D40">
        <v>8456400</v>
      </c>
      <c r="E40">
        <v>1431700</v>
      </c>
      <c r="F40">
        <v>19500000</v>
      </c>
      <c r="G40">
        <v>6106700</v>
      </c>
      <c r="H40">
        <v>3538400</v>
      </c>
      <c r="I40">
        <v>9603400</v>
      </c>
      <c r="J40">
        <v>1896500</v>
      </c>
      <c r="K40">
        <v>21145000</v>
      </c>
      <c r="L40">
        <v>40645000</v>
      </c>
      <c r="M40">
        <v>13282700</v>
      </c>
      <c r="N40">
        <v>15038300</v>
      </c>
      <c r="O40">
        <v>28321000</v>
      </c>
      <c r="P40">
        <f t="shared" si="0"/>
        <v>5562847.3684210526</v>
      </c>
      <c r="Q40">
        <f t="shared" si="1"/>
        <v>5463889.4736842103</v>
      </c>
      <c r="R40">
        <f t="shared" si="2"/>
        <v>678920</v>
      </c>
      <c r="S40">
        <f t="shared" si="3"/>
        <v>707680</v>
      </c>
      <c r="T40">
        <f t="shared" si="4"/>
        <v>12603780</v>
      </c>
      <c r="U40">
        <f t="shared" si="5"/>
        <v>14330620</v>
      </c>
      <c r="V40">
        <f t="shared" si="6"/>
        <v>13937152.631578948</v>
      </c>
      <c r="W40">
        <f t="shared" si="7"/>
        <v>15681110.52631579</v>
      </c>
      <c r="Y40" s="30">
        <f t="shared" si="14"/>
        <v>0.66267437569196708</v>
      </c>
      <c r="Z40" s="30">
        <f t="shared" si="15"/>
        <v>0.90938485678288816</v>
      </c>
      <c r="AA40" s="30">
        <f t="shared" si="16"/>
        <v>0.90432962407559647</v>
      </c>
      <c r="AB40" s="30">
        <f t="shared" si="13"/>
        <v>0.91387787720458846</v>
      </c>
      <c r="AC40">
        <f t="shared" si="9"/>
        <v>882265</v>
      </c>
      <c r="AD40" s="30">
        <f t="shared" si="10"/>
        <v>4.7010004117381161E-2</v>
      </c>
    </row>
    <row r="41" spans="1:30" x14ac:dyDescent="0.2">
      <c r="A41">
        <v>1936</v>
      </c>
      <c r="B41">
        <v>6184400</v>
      </c>
      <c r="C41">
        <v>3367400</v>
      </c>
      <c r="D41">
        <v>8569900</v>
      </c>
      <c r="E41">
        <v>1469900</v>
      </c>
      <c r="F41">
        <v>19591600</v>
      </c>
      <c r="G41">
        <v>6069700</v>
      </c>
      <c r="H41">
        <v>3506600</v>
      </c>
      <c r="I41">
        <v>9719700</v>
      </c>
      <c r="J41">
        <v>1952000</v>
      </c>
      <c r="K41">
        <v>21248000</v>
      </c>
      <c r="L41">
        <v>40839600</v>
      </c>
      <c r="M41">
        <v>13407200</v>
      </c>
      <c r="N41">
        <v>15178300</v>
      </c>
      <c r="O41">
        <v>28585500</v>
      </c>
      <c r="P41">
        <f t="shared" si="0"/>
        <v>5533410.5263157897</v>
      </c>
      <c r="Q41">
        <f t="shared" si="1"/>
        <v>5430784.2105263155</v>
      </c>
      <c r="R41">
        <f t="shared" si="2"/>
        <v>673480</v>
      </c>
      <c r="S41">
        <f t="shared" si="3"/>
        <v>701320</v>
      </c>
      <c r="T41">
        <f t="shared" si="4"/>
        <v>12733720</v>
      </c>
      <c r="U41">
        <f t="shared" si="5"/>
        <v>14476980</v>
      </c>
      <c r="V41">
        <f t="shared" si="6"/>
        <v>14058189.47368421</v>
      </c>
      <c r="W41">
        <f t="shared" si="7"/>
        <v>15817215.789473685</v>
      </c>
      <c r="Y41" s="30">
        <f t="shared" si="14"/>
        <v>0.6662822358691074</v>
      </c>
      <c r="Z41" s="30">
        <f t="shared" si="15"/>
        <v>0.91080605468994291</v>
      </c>
      <c r="AA41" s="30">
        <f t="shared" si="16"/>
        <v>0.90578662521489628</v>
      </c>
      <c r="AB41" s="30">
        <f t="shared" si="13"/>
        <v>0.91526727539712727</v>
      </c>
      <c r="AC41">
        <f t="shared" si="9"/>
        <v>891360</v>
      </c>
      <c r="AD41" s="30">
        <f t="shared" si="10"/>
        <v>4.6800351362772469E-2</v>
      </c>
    </row>
    <row r="42" spans="1:30" x14ac:dyDescent="0.2">
      <c r="A42">
        <v>1937</v>
      </c>
      <c r="B42">
        <v>6171100</v>
      </c>
      <c r="C42">
        <v>3339800</v>
      </c>
      <c r="D42">
        <v>8686400</v>
      </c>
      <c r="E42">
        <v>1507700</v>
      </c>
      <c r="F42">
        <v>19705000</v>
      </c>
      <c r="G42">
        <v>6051600</v>
      </c>
      <c r="H42">
        <v>3449200</v>
      </c>
      <c r="I42">
        <v>9820500</v>
      </c>
      <c r="J42">
        <v>2004700</v>
      </c>
      <c r="K42">
        <v>21326000</v>
      </c>
      <c r="L42">
        <v>41031000</v>
      </c>
      <c r="M42">
        <v>13533900</v>
      </c>
      <c r="N42">
        <v>15274400</v>
      </c>
      <c r="O42">
        <v>28808300</v>
      </c>
      <c r="P42">
        <f t="shared" si="0"/>
        <v>5521510.5263157897</v>
      </c>
      <c r="Q42">
        <f t="shared" si="1"/>
        <v>5414589.4736842103</v>
      </c>
      <c r="R42">
        <f t="shared" si="2"/>
        <v>667960</v>
      </c>
      <c r="S42">
        <f t="shared" si="3"/>
        <v>689840</v>
      </c>
      <c r="T42">
        <f t="shared" si="4"/>
        <v>12865940</v>
      </c>
      <c r="U42">
        <f t="shared" si="5"/>
        <v>14584560</v>
      </c>
      <c r="V42">
        <f t="shared" si="6"/>
        <v>14183489.47368421</v>
      </c>
      <c r="W42">
        <f t="shared" si="7"/>
        <v>15911410.52631579</v>
      </c>
      <c r="Y42" s="30">
        <f t="shared" si="14"/>
        <v>0.66901854695230434</v>
      </c>
      <c r="Z42" s="30">
        <f t="shared" si="15"/>
        <v>0.91213129134836801</v>
      </c>
      <c r="AA42" s="30">
        <f t="shared" si="16"/>
        <v>0.9071068176749616</v>
      </c>
      <c r="AB42" s="30">
        <f t="shared" si="13"/>
        <v>0.91661012553718479</v>
      </c>
      <c r="AC42">
        <f t="shared" si="9"/>
        <v>900616</v>
      </c>
      <c r="AD42" s="30">
        <f t="shared" si="10"/>
        <v>4.6728718340149626E-2</v>
      </c>
    </row>
    <row r="43" spans="1:30" x14ac:dyDescent="0.2">
      <c r="A43">
        <v>1938</v>
      </c>
      <c r="B43">
        <v>6186500</v>
      </c>
      <c r="C43">
        <v>3263900</v>
      </c>
      <c r="D43">
        <v>8790900</v>
      </c>
      <c r="E43">
        <v>1550700</v>
      </c>
      <c r="F43">
        <v>19792000</v>
      </c>
      <c r="G43">
        <v>6074100</v>
      </c>
      <c r="H43">
        <v>3354400</v>
      </c>
      <c r="I43">
        <v>9926200</v>
      </c>
      <c r="J43">
        <v>2068300</v>
      </c>
      <c r="K43">
        <v>21423000</v>
      </c>
      <c r="L43">
        <v>41215000</v>
      </c>
      <c r="M43">
        <v>13605500</v>
      </c>
      <c r="N43">
        <v>15348900</v>
      </c>
      <c r="O43">
        <v>28954400</v>
      </c>
      <c r="P43">
        <f t="shared" si="0"/>
        <v>5535289.4736842103</v>
      </c>
      <c r="Q43">
        <f t="shared" si="1"/>
        <v>5434721.0526315793</v>
      </c>
      <c r="R43">
        <f t="shared" si="2"/>
        <v>652780</v>
      </c>
      <c r="S43">
        <f t="shared" si="3"/>
        <v>670880</v>
      </c>
      <c r="T43">
        <f t="shared" si="4"/>
        <v>12952720</v>
      </c>
      <c r="U43">
        <f t="shared" si="5"/>
        <v>14678020</v>
      </c>
      <c r="V43">
        <f t="shared" si="6"/>
        <v>14256710.52631579</v>
      </c>
      <c r="W43">
        <f t="shared" si="7"/>
        <v>15988278.947368421</v>
      </c>
      <c r="Y43" s="30">
        <f t="shared" si="14"/>
        <v>0.67040494965425212</v>
      </c>
      <c r="Z43" s="30">
        <f t="shared" si="15"/>
        <v>0.91356421281089095</v>
      </c>
      <c r="AA43" s="30">
        <f t="shared" si="16"/>
        <v>0.90853496506723519</v>
      </c>
      <c r="AB43" s="30">
        <f t="shared" si="13"/>
        <v>0.918048781130124</v>
      </c>
      <c r="AC43">
        <f t="shared" si="9"/>
        <v>906690</v>
      </c>
      <c r="AD43" s="30">
        <f t="shared" si="10"/>
        <v>4.6709696345033545E-2</v>
      </c>
    </row>
    <row r="44" spans="1:30" x14ac:dyDescent="0.2">
      <c r="A44">
        <v>1939</v>
      </c>
      <c r="B44">
        <v>6171400</v>
      </c>
      <c r="C44">
        <v>3058100</v>
      </c>
      <c r="D44">
        <v>8859800</v>
      </c>
      <c r="E44">
        <v>1598200</v>
      </c>
      <c r="F44">
        <v>19687500</v>
      </c>
      <c r="G44">
        <v>6105700</v>
      </c>
      <c r="H44">
        <v>3268900</v>
      </c>
      <c r="I44">
        <v>10050200</v>
      </c>
      <c r="J44">
        <v>2133700</v>
      </c>
      <c r="K44">
        <v>21558500</v>
      </c>
      <c r="L44">
        <v>41246000</v>
      </c>
      <c r="M44">
        <v>13516100</v>
      </c>
      <c r="N44">
        <v>15452800</v>
      </c>
      <c r="O44">
        <v>28968900</v>
      </c>
      <c r="P44">
        <f t="shared" si="0"/>
        <v>5521778.9473684207</v>
      </c>
      <c r="Q44">
        <f t="shared" si="1"/>
        <v>5462994.7368421052</v>
      </c>
      <c r="R44">
        <f t="shared" si="2"/>
        <v>611620</v>
      </c>
      <c r="S44">
        <f t="shared" si="3"/>
        <v>653780</v>
      </c>
      <c r="T44">
        <f t="shared" si="4"/>
        <v>12904480</v>
      </c>
      <c r="U44">
        <f t="shared" si="5"/>
        <v>14799020</v>
      </c>
      <c r="V44">
        <f t="shared" si="6"/>
        <v>14165721.052631579</v>
      </c>
      <c r="W44">
        <f t="shared" si="7"/>
        <v>16095505.263157895</v>
      </c>
      <c r="Y44" s="30">
        <f t="shared" si="14"/>
        <v>0.6716651311642341</v>
      </c>
      <c r="Z44" s="30">
        <f t="shared" si="15"/>
        <v>0.91547843140596963</v>
      </c>
      <c r="AA44" s="30">
        <f t="shared" si="16"/>
        <v>0.9109652768153812</v>
      </c>
      <c r="AB44" s="30">
        <f t="shared" si="13"/>
        <v>0.91945047751153808</v>
      </c>
      <c r="AC44">
        <f t="shared" si="9"/>
        <v>903314</v>
      </c>
      <c r="AD44" s="30">
        <f t="shared" si="10"/>
        <v>4.642521606976386E-2</v>
      </c>
    </row>
    <row r="45" spans="1:30" x14ac:dyDescent="0.2">
      <c r="A45">
        <v>1940</v>
      </c>
      <c r="B45">
        <v>5980000</v>
      </c>
      <c r="C45">
        <v>2043000</v>
      </c>
      <c r="D45">
        <v>8600000</v>
      </c>
      <c r="E45">
        <v>1620000</v>
      </c>
      <c r="F45">
        <v>18243000</v>
      </c>
      <c r="G45">
        <v>5992000</v>
      </c>
      <c r="H45">
        <v>3328000</v>
      </c>
      <c r="I45">
        <v>10155000</v>
      </c>
      <c r="J45">
        <v>2171000</v>
      </c>
      <c r="K45">
        <v>21646000</v>
      </c>
      <c r="L45">
        <v>39889000</v>
      </c>
      <c r="M45">
        <v>12263000</v>
      </c>
      <c r="N45">
        <v>15654000</v>
      </c>
      <c r="O45">
        <v>27917000</v>
      </c>
      <c r="P45">
        <f t="shared" si="0"/>
        <v>5350526.3157894742</v>
      </c>
      <c r="Q45">
        <f t="shared" si="1"/>
        <v>5361263.1578947371</v>
      </c>
      <c r="R45">
        <f t="shared" si="2"/>
        <v>408600</v>
      </c>
      <c r="S45">
        <f t="shared" si="3"/>
        <v>665600</v>
      </c>
      <c r="T45">
        <f t="shared" si="4"/>
        <v>11854400</v>
      </c>
      <c r="U45">
        <f t="shared" si="5"/>
        <v>14988400</v>
      </c>
      <c r="V45">
        <f t="shared" si="6"/>
        <v>12892473.684210526</v>
      </c>
      <c r="W45">
        <f t="shared" si="7"/>
        <v>16284736.842105262</v>
      </c>
      <c r="Y45" s="30">
        <f t="shared" si="14"/>
        <v>0.67293740128857582</v>
      </c>
      <c r="Z45" s="30">
        <f t="shared" si="15"/>
        <v>0.91999199086525729</v>
      </c>
      <c r="AA45" s="30">
        <f t="shared" si="16"/>
        <v>0.91948219483419547</v>
      </c>
      <c r="AB45" s="30">
        <f t="shared" si="13"/>
        <v>0.92039559160983819</v>
      </c>
      <c r="AC45">
        <f t="shared" si="9"/>
        <v>829808</v>
      </c>
      <c r="AD45" s="30">
        <f t="shared" si="10"/>
        <v>4.4170692102964107E-2</v>
      </c>
    </row>
    <row r="46" spans="1:30" x14ac:dyDescent="0.2">
      <c r="A46">
        <v>1941</v>
      </c>
      <c r="B46">
        <v>5774000</v>
      </c>
      <c r="C46">
        <v>1459000</v>
      </c>
      <c r="D46">
        <v>8344000</v>
      </c>
      <c r="E46">
        <v>1651000</v>
      </c>
      <c r="F46">
        <v>17228000</v>
      </c>
      <c r="G46">
        <v>5829000</v>
      </c>
      <c r="H46">
        <v>3278000</v>
      </c>
      <c r="I46">
        <v>10196000</v>
      </c>
      <c r="J46">
        <v>2212000</v>
      </c>
      <c r="K46">
        <v>21515000</v>
      </c>
      <c r="L46">
        <v>38743000</v>
      </c>
      <c r="M46">
        <v>11454000</v>
      </c>
      <c r="N46">
        <v>15686000</v>
      </c>
      <c r="O46">
        <v>27140000</v>
      </c>
      <c r="P46">
        <f t="shared" si="0"/>
        <v>5166210.5263157897</v>
      </c>
      <c r="Q46">
        <f t="shared" si="1"/>
        <v>5215421.0526315793</v>
      </c>
      <c r="R46">
        <f t="shared" si="2"/>
        <v>291800</v>
      </c>
      <c r="S46">
        <f t="shared" si="3"/>
        <v>655600</v>
      </c>
      <c r="T46">
        <f t="shared" si="4"/>
        <v>11162200</v>
      </c>
      <c r="U46">
        <f t="shared" si="5"/>
        <v>15030400</v>
      </c>
      <c r="V46">
        <f t="shared" si="6"/>
        <v>12061789.47368421</v>
      </c>
      <c r="W46">
        <f t="shared" si="7"/>
        <v>16299578.947368421</v>
      </c>
      <c r="Y46" s="30">
        <f t="shared" si="14"/>
        <v>0.67606019151846786</v>
      </c>
      <c r="Z46" s="30">
        <f t="shared" si="15"/>
        <v>0.92353089636384555</v>
      </c>
      <c r="AA46" s="30">
        <f t="shared" si="16"/>
        <v>0.92541824116173743</v>
      </c>
      <c r="AB46" s="30">
        <f t="shared" si="13"/>
        <v>0.92213424951241885</v>
      </c>
      <c r="AC46">
        <f t="shared" si="9"/>
        <v>781354</v>
      </c>
      <c r="AD46" s="30">
        <f t="shared" si="10"/>
        <v>4.258460589410485E-2</v>
      </c>
    </row>
    <row r="47" spans="1:30" x14ac:dyDescent="0.2">
      <c r="A47">
        <v>1942</v>
      </c>
      <c r="B47">
        <v>5675000</v>
      </c>
      <c r="C47">
        <v>1323000</v>
      </c>
      <c r="D47">
        <v>8103000</v>
      </c>
      <c r="E47">
        <v>1701000</v>
      </c>
      <c r="F47">
        <v>16802000</v>
      </c>
      <c r="G47">
        <v>5718000</v>
      </c>
      <c r="H47">
        <v>3164000</v>
      </c>
      <c r="I47">
        <v>10275000</v>
      </c>
      <c r="J47">
        <v>2284000</v>
      </c>
      <c r="K47">
        <v>21441000</v>
      </c>
      <c r="L47">
        <v>38243000</v>
      </c>
      <c r="M47">
        <v>11127000</v>
      </c>
      <c r="N47">
        <v>15723000</v>
      </c>
      <c r="O47">
        <v>26850000</v>
      </c>
      <c r="P47">
        <f t="shared" si="0"/>
        <v>5077631.5789473681</v>
      </c>
      <c r="Q47">
        <f t="shared" si="1"/>
        <v>5116105.2631578948</v>
      </c>
      <c r="R47">
        <f t="shared" si="2"/>
        <v>264600</v>
      </c>
      <c r="S47">
        <f t="shared" si="3"/>
        <v>632800</v>
      </c>
      <c r="T47">
        <f t="shared" si="4"/>
        <v>10862400</v>
      </c>
      <c r="U47">
        <f t="shared" si="5"/>
        <v>15090200</v>
      </c>
      <c r="V47">
        <f t="shared" si="6"/>
        <v>11724368.421052631</v>
      </c>
      <c r="W47">
        <f t="shared" si="7"/>
        <v>16324894.736842105</v>
      </c>
      <c r="Y47" s="30">
        <f t="shared" si="14"/>
        <v>0.67862353894830429</v>
      </c>
      <c r="Z47" s="30">
        <f t="shared" si="15"/>
        <v>0.92525068676163735</v>
      </c>
      <c r="AA47" s="30">
        <f t="shared" si="16"/>
        <v>0.92648060943693522</v>
      </c>
      <c r="AB47" s="30">
        <f t="shared" si="13"/>
        <v>0.9243673691778459</v>
      </c>
      <c r="AC47">
        <f t="shared" si="9"/>
        <v>760368</v>
      </c>
      <c r="AD47" s="30">
        <f t="shared" si="10"/>
        <v>4.1730214942350637E-2</v>
      </c>
    </row>
    <row r="48" spans="1:30" x14ac:dyDescent="0.2">
      <c r="A48">
        <v>1943</v>
      </c>
      <c r="B48">
        <v>5553000</v>
      </c>
      <c r="C48">
        <v>1136000</v>
      </c>
      <c r="D48">
        <v>7884000</v>
      </c>
      <c r="E48">
        <v>1761000</v>
      </c>
      <c r="F48">
        <v>16334000</v>
      </c>
      <c r="G48">
        <v>5697000</v>
      </c>
      <c r="H48">
        <v>3056000</v>
      </c>
      <c r="I48">
        <v>10361000</v>
      </c>
      <c r="J48">
        <v>2370000</v>
      </c>
      <c r="K48">
        <v>21484000</v>
      </c>
      <c r="L48">
        <v>37818000</v>
      </c>
      <c r="M48">
        <v>10781000</v>
      </c>
      <c r="N48">
        <v>15787000</v>
      </c>
      <c r="O48">
        <v>26568000</v>
      </c>
      <c r="P48">
        <f t="shared" si="0"/>
        <v>4968473.6842105258</v>
      </c>
      <c r="Q48">
        <f t="shared" si="1"/>
        <v>5097315.7894736845</v>
      </c>
      <c r="R48">
        <f t="shared" si="2"/>
        <v>227200</v>
      </c>
      <c r="S48">
        <f t="shared" si="3"/>
        <v>611200</v>
      </c>
      <c r="T48">
        <f t="shared" si="4"/>
        <v>10553800</v>
      </c>
      <c r="U48">
        <f t="shared" si="5"/>
        <v>15175800</v>
      </c>
      <c r="V48">
        <f t="shared" si="6"/>
        <v>11365526.315789474</v>
      </c>
      <c r="W48">
        <f t="shared" si="7"/>
        <v>16386684.210526315</v>
      </c>
      <c r="Y48" s="30">
        <f t="shared" si="14"/>
        <v>0.68035327092918718</v>
      </c>
      <c r="Z48" s="30">
        <f t="shared" si="15"/>
        <v>0.92711893979047666</v>
      </c>
      <c r="AA48" s="30">
        <f t="shared" si="16"/>
        <v>0.92857996249044894</v>
      </c>
      <c r="AB48" s="30">
        <f t="shared" si="13"/>
        <v>0.92610559921887803</v>
      </c>
      <c r="AC48">
        <f t="shared" si="9"/>
        <v>738766</v>
      </c>
      <c r="AD48" s="30">
        <f t="shared" si="10"/>
        <v>4.0870839669818561E-2</v>
      </c>
    </row>
    <row r="49" spans="1:30" x14ac:dyDescent="0.2">
      <c r="A49">
        <v>1944</v>
      </c>
      <c r="B49">
        <v>5564000</v>
      </c>
      <c r="C49">
        <v>1031000</v>
      </c>
      <c r="D49">
        <v>7788000</v>
      </c>
      <c r="E49">
        <v>1805000</v>
      </c>
      <c r="F49">
        <v>16188000</v>
      </c>
      <c r="G49">
        <v>5724000</v>
      </c>
      <c r="H49">
        <v>2998000</v>
      </c>
      <c r="I49">
        <v>10437000</v>
      </c>
      <c r="J49">
        <v>2438000</v>
      </c>
      <c r="K49">
        <v>21597000</v>
      </c>
      <c r="L49">
        <v>37785000</v>
      </c>
      <c r="M49">
        <v>10624000</v>
      </c>
      <c r="N49">
        <v>15873000</v>
      </c>
      <c r="O49">
        <v>26497000</v>
      </c>
      <c r="P49">
        <f t="shared" si="0"/>
        <v>4978315.7894736845</v>
      </c>
      <c r="Q49">
        <f t="shared" si="1"/>
        <v>5121473.6842105258</v>
      </c>
      <c r="R49">
        <f t="shared" si="2"/>
        <v>206200</v>
      </c>
      <c r="S49">
        <f t="shared" si="3"/>
        <v>599600</v>
      </c>
      <c r="T49">
        <f t="shared" si="4"/>
        <v>10417800</v>
      </c>
      <c r="U49">
        <f t="shared" si="5"/>
        <v>15273400</v>
      </c>
      <c r="V49">
        <f t="shared" si="6"/>
        <v>11209684.210526315</v>
      </c>
      <c r="W49">
        <f t="shared" si="7"/>
        <v>16475526.315789474</v>
      </c>
      <c r="Y49" s="30">
        <f t="shared" si="14"/>
        <v>0.6799311896255128</v>
      </c>
      <c r="Z49" s="30">
        <f t="shared" si="15"/>
        <v>0.92797560544390978</v>
      </c>
      <c r="AA49" s="30">
        <f t="shared" si="16"/>
        <v>0.92935713480824855</v>
      </c>
      <c r="AB49" s="30">
        <f t="shared" si="13"/>
        <v>0.9270356349928921</v>
      </c>
      <c r="AC49">
        <f t="shared" si="9"/>
        <v>729246</v>
      </c>
      <c r="AD49" s="30">
        <f t="shared" si="10"/>
        <v>4.0477379299895665E-2</v>
      </c>
    </row>
    <row r="50" spans="1:30" x14ac:dyDescent="0.2">
      <c r="A50">
        <v>1945</v>
      </c>
      <c r="B50">
        <v>5601000</v>
      </c>
      <c r="C50">
        <v>1013000</v>
      </c>
      <c r="D50">
        <v>7740000</v>
      </c>
      <c r="E50">
        <v>1846000</v>
      </c>
      <c r="F50">
        <v>16200000</v>
      </c>
      <c r="G50">
        <v>5742000</v>
      </c>
      <c r="H50">
        <v>2957000</v>
      </c>
      <c r="I50">
        <v>10504000</v>
      </c>
      <c r="J50">
        <v>2513000</v>
      </c>
      <c r="K50">
        <v>21716000</v>
      </c>
      <c r="L50">
        <v>37916000</v>
      </c>
      <c r="M50">
        <v>10599000</v>
      </c>
      <c r="N50">
        <v>15974000</v>
      </c>
      <c r="O50">
        <v>26573000</v>
      </c>
      <c r="P50">
        <f t="shared" si="0"/>
        <v>5011421.0526315793</v>
      </c>
      <c r="Q50">
        <f t="shared" si="1"/>
        <v>5137578.9473684207</v>
      </c>
      <c r="R50">
        <f t="shared" si="2"/>
        <v>202600</v>
      </c>
      <c r="S50">
        <f t="shared" si="3"/>
        <v>591400</v>
      </c>
      <c r="T50">
        <f t="shared" si="4"/>
        <v>10396400</v>
      </c>
      <c r="U50">
        <f t="shared" si="5"/>
        <v>15382600</v>
      </c>
      <c r="V50">
        <f t="shared" si="6"/>
        <v>11188578.947368421</v>
      </c>
      <c r="W50">
        <f t="shared" si="7"/>
        <v>16578421.052631579</v>
      </c>
      <c r="Y50" s="30">
        <f t="shared" si="14"/>
        <v>0.67989766853043565</v>
      </c>
      <c r="Z50" s="30">
        <f t="shared" si="15"/>
        <v>0.92840422083768503</v>
      </c>
      <c r="AA50" s="30">
        <f t="shared" si="16"/>
        <v>0.92919753696203367</v>
      </c>
      <c r="AB50" s="30">
        <f t="shared" si="13"/>
        <v>0.92786882123242009</v>
      </c>
      <c r="AC50">
        <f t="shared" si="9"/>
        <v>727748</v>
      </c>
      <c r="AD50" s="30">
        <f t="shared" si="10"/>
        <v>4.0280688128152199E-2</v>
      </c>
    </row>
    <row r="51" spans="1:30" x14ac:dyDescent="0.2">
      <c r="A51">
        <v>1946</v>
      </c>
      <c r="B51">
        <v>5661000</v>
      </c>
      <c r="C51">
        <v>1977000</v>
      </c>
      <c r="D51">
        <v>9093000</v>
      </c>
      <c r="E51">
        <v>1885000</v>
      </c>
      <c r="F51">
        <v>18616000</v>
      </c>
      <c r="G51">
        <v>5777000</v>
      </c>
      <c r="H51">
        <v>3153000</v>
      </c>
      <c r="I51">
        <v>10489000</v>
      </c>
      <c r="J51">
        <v>2560000</v>
      </c>
      <c r="K51">
        <v>21979000</v>
      </c>
      <c r="L51">
        <v>40595000</v>
      </c>
      <c r="M51">
        <v>12955000</v>
      </c>
      <c r="N51">
        <v>16202000</v>
      </c>
      <c r="O51">
        <v>29157000</v>
      </c>
      <c r="P51">
        <f t="shared" si="0"/>
        <v>5065105.2631578948</v>
      </c>
      <c r="Q51">
        <f t="shared" si="1"/>
        <v>5168894.7368421052</v>
      </c>
      <c r="R51">
        <f t="shared" si="2"/>
        <v>395400</v>
      </c>
      <c r="S51">
        <f t="shared" si="3"/>
        <v>630600</v>
      </c>
      <c r="T51">
        <f t="shared" si="4"/>
        <v>12559600</v>
      </c>
      <c r="U51">
        <f t="shared" si="5"/>
        <v>15571400</v>
      </c>
      <c r="V51">
        <f t="shared" si="6"/>
        <v>13550894.736842105</v>
      </c>
      <c r="W51">
        <f t="shared" si="7"/>
        <v>16810105.263157897</v>
      </c>
      <c r="Y51" s="30">
        <f t="shared" si="14"/>
        <v>0.69296711417662271</v>
      </c>
      <c r="Z51" s="30">
        <f t="shared" si="15"/>
        <v>0.92655050887651924</v>
      </c>
      <c r="AA51" s="30">
        <f t="shared" si="16"/>
        <v>0.92684654732451155</v>
      </c>
      <c r="AB51" s="30">
        <f t="shared" si="13"/>
        <v>0.92631186754834172</v>
      </c>
      <c r="AC51">
        <f t="shared" si="9"/>
        <v>879172</v>
      </c>
      <c r="AD51" s="30">
        <f t="shared" si="10"/>
        <v>4.3512935837756415E-2</v>
      </c>
    </row>
    <row r="52" spans="1:30" x14ac:dyDescent="0.2">
      <c r="A52">
        <v>1947</v>
      </c>
      <c r="B52">
        <v>5747000</v>
      </c>
      <c r="C52">
        <v>2563000</v>
      </c>
      <c r="D52">
        <v>9397000</v>
      </c>
      <c r="E52">
        <v>1905000</v>
      </c>
      <c r="F52">
        <v>19612000</v>
      </c>
      <c r="G52">
        <v>5886000</v>
      </c>
      <c r="H52">
        <v>3184000</v>
      </c>
      <c r="I52">
        <v>10486000</v>
      </c>
      <c r="J52">
        <v>2618000</v>
      </c>
      <c r="K52">
        <v>22174000</v>
      </c>
      <c r="L52">
        <v>41786000</v>
      </c>
      <c r="M52">
        <v>13865000</v>
      </c>
      <c r="N52">
        <v>16288000</v>
      </c>
      <c r="O52">
        <v>30153000</v>
      </c>
      <c r="P52">
        <f t="shared" si="0"/>
        <v>5142052.6315789474</v>
      </c>
      <c r="Q52">
        <f t="shared" si="1"/>
        <v>5266421.0526315793</v>
      </c>
      <c r="R52">
        <f t="shared" si="2"/>
        <v>512600</v>
      </c>
      <c r="S52">
        <f t="shared" si="3"/>
        <v>636800</v>
      </c>
      <c r="T52">
        <f t="shared" si="4"/>
        <v>13352400</v>
      </c>
      <c r="U52">
        <f t="shared" si="5"/>
        <v>15651200</v>
      </c>
      <c r="V52">
        <f t="shared" si="6"/>
        <v>14469947.368421052</v>
      </c>
      <c r="W52">
        <f t="shared" si="7"/>
        <v>16907578.947368421</v>
      </c>
      <c r="Y52" s="30">
        <f t="shared" si="14"/>
        <v>0.69409850189058542</v>
      </c>
      <c r="Z52" s="30">
        <f t="shared" si="15"/>
        <v>0.92434310175066636</v>
      </c>
      <c r="AA52" s="30">
        <f t="shared" si="16"/>
        <v>0.92276769638706724</v>
      </c>
      <c r="AB52" s="30">
        <f t="shared" si="13"/>
        <v>0.92569137478054064</v>
      </c>
      <c r="AC52">
        <f t="shared" si="9"/>
        <v>934668</v>
      </c>
      <c r="AD52" s="30">
        <f t="shared" si="10"/>
        <v>4.4658665305967273E-2</v>
      </c>
    </row>
    <row r="53" spans="1:30" x14ac:dyDescent="0.2">
      <c r="A53">
        <v>1948</v>
      </c>
      <c r="B53">
        <v>5903000</v>
      </c>
      <c r="C53">
        <v>3010000</v>
      </c>
      <c r="D53">
        <v>9510000</v>
      </c>
      <c r="E53">
        <v>1947000</v>
      </c>
      <c r="F53">
        <v>20370000</v>
      </c>
      <c r="G53">
        <v>5974000</v>
      </c>
      <c r="H53">
        <v>3239000</v>
      </c>
      <c r="I53">
        <v>10471000</v>
      </c>
      <c r="J53">
        <v>2696000</v>
      </c>
      <c r="K53">
        <v>22380000</v>
      </c>
      <c r="L53">
        <v>42750000</v>
      </c>
      <c r="M53">
        <v>14467000</v>
      </c>
      <c r="N53">
        <v>16406000</v>
      </c>
      <c r="O53">
        <v>30873000</v>
      </c>
      <c r="P53">
        <f t="shared" si="0"/>
        <v>5281631.5789473681</v>
      </c>
      <c r="Q53">
        <f t="shared" si="1"/>
        <v>5345157.8947368423</v>
      </c>
      <c r="R53">
        <f t="shared" si="2"/>
        <v>602000</v>
      </c>
      <c r="S53">
        <f t="shared" si="3"/>
        <v>647800</v>
      </c>
      <c r="T53">
        <f t="shared" si="4"/>
        <v>13865000</v>
      </c>
      <c r="U53">
        <f t="shared" si="5"/>
        <v>15758200</v>
      </c>
      <c r="V53">
        <f t="shared" si="6"/>
        <v>15088368.421052631</v>
      </c>
      <c r="W53">
        <f t="shared" si="7"/>
        <v>17034842.105263159</v>
      </c>
      <c r="Y53" s="30">
        <f t="shared" si="14"/>
        <v>0.69294035087719297</v>
      </c>
      <c r="Z53" s="30">
        <f t="shared" si="15"/>
        <v>0.92217432550000733</v>
      </c>
      <c r="AA53" s="30">
        <f t="shared" si="16"/>
        <v>0.91891976740535586</v>
      </c>
      <c r="AB53" s="30">
        <f t="shared" si="13"/>
        <v>0.92505700391148782</v>
      </c>
      <c r="AC53">
        <f t="shared" si="9"/>
        <v>970550</v>
      </c>
      <c r="AD53" s="30">
        <f t="shared" si="10"/>
        <v>4.5367330924492473E-2</v>
      </c>
    </row>
    <row r="54" spans="1:30" x14ac:dyDescent="0.2">
      <c r="A54">
        <v>1949</v>
      </c>
      <c r="B54">
        <v>5987000</v>
      </c>
      <c r="C54">
        <v>3091000</v>
      </c>
      <c r="D54">
        <v>9534000</v>
      </c>
      <c r="E54">
        <v>1968000</v>
      </c>
      <c r="F54">
        <v>20580000</v>
      </c>
      <c r="G54">
        <v>6044000</v>
      </c>
      <c r="H54">
        <v>3277000</v>
      </c>
      <c r="I54">
        <v>10451000</v>
      </c>
      <c r="J54">
        <v>2748000</v>
      </c>
      <c r="K54">
        <v>22520000</v>
      </c>
      <c r="L54">
        <v>43100000</v>
      </c>
      <c r="M54">
        <v>14593000</v>
      </c>
      <c r="N54">
        <v>16476000</v>
      </c>
      <c r="O54">
        <v>31069000</v>
      </c>
      <c r="P54">
        <f t="shared" si="0"/>
        <v>5356789.4736842103</v>
      </c>
      <c r="Q54">
        <f t="shared" si="1"/>
        <v>5407789.4736842103</v>
      </c>
      <c r="R54">
        <f t="shared" si="2"/>
        <v>618200</v>
      </c>
      <c r="S54">
        <f t="shared" si="3"/>
        <v>655400</v>
      </c>
      <c r="T54">
        <f t="shared" si="4"/>
        <v>13974800</v>
      </c>
      <c r="U54">
        <f t="shared" si="5"/>
        <v>15820600</v>
      </c>
      <c r="V54">
        <f t="shared" si="6"/>
        <v>15223210.52631579</v>
      </c>
      <c r="W54">
        <f t="shared" si="7"/>
        <v>17112210.52631579</v>
      </c>
      <c r="Y54" s="30">
        <f t="shared" si="14"/>
        <v>0.69130858468677492</v>
      </c>
      <c r="Z54" s="30">
        <f t="shared" ref="Z54:Z73" si="17">(T54+U54)/(V54+W54)</f>
        <v>0.92144771987050211</v>
      </c>
      <c r="AA54" s="30">
        <f t="shared" ref="AA54:AA73" si="18">T54/V54</f>
        <v>0.91799295397263869</v>
      </c>
      <c r="AB54" s="30">
        <f t="shared" ref="AB54:AB73" si="19">U54/W54</f>
        <v>0.92452111757686106</v>
      </c>
      <c r="AC54">
        <f t="shared" ref="AC54:AC73" si="20">ROUND(T54*AC$4,0)</f>
        <v>978236</v>
      </c>
      <c r="AD54" s="30">
        <f t="shared" si="10"/>
        <v>4.5545389044847652E-2</v>
      </c>
    </row>
    <row r="55" spans="1:30" x14ac:dyDescent="0.2">
      <c r="A55">
        <v>1950</v>
      </c>
      <c r="B55">
        <v>6264000</v>
      </c>
      <c r="C55">
        <v>3159000</v>
      </c>
      <c r="D55">
        <v>9756000</v>
      </c>
      <c r="E55">
        <v>1990000</v>
      </c>
      <c r="F55">
        <v>21169000</v>
      </c>
      <c r="G55">
        <v>6102000</v>
      </c>
      <c r="H55">
        <v>3190000</v>
      </c>
      <c r="I55">
        <v>10571000</v>
      </c>
      <c r="J55">
        <v>2798000</v>
      </c>
      <c r="K55">
        <v>22661000</v>
      </c>
      <c r="L55">
        <v>43830000</v>
      </c>
      <c r="M55">
        <v>14905000</v>
      </c>
      <c r="N55">
        <v>16559000</v>
      </c>
      <c r="O55">
        <v>31464000</v>
      </c>
      <c r="P55">
        <f t="shared" si="0"/>
        <v>5604631.5789473681</v>
      </c>
      <c r="Q55">
        <f t="shared" si="1"/>
        <v>5459684.2105263155</v>
      </c>
      <c r="R55">
        <f t="shared" si="2"/>
        <v>631800</v>
      </c>
      <c r="S55">
        <f t="shared" si="3"/>
        <v>638000</v>
      </c>
      <c r="T55">
        <f t="shared" si="4"/>
        <v>14273200</v>
      </c>
      <c r="U55">
        <f t="shared" si="5"/>
        <v>15921000</v>
      </c>
      <c r="V55">
        <f t="shared" si="6"/>
        <v>15564368.421052631</v>
      </c>
      <c r="W55">
        <f t="shared" si="7"/>
        <v>17201315.789473683</v>
      </c>
      <c r="Y55" s="30">
        <f t="shared" si="14"/>
        <v>0.68889345197353413</v>
      </c>
      <c r="Z55" s="30">
        <f t="shared" si="17"/>
        <v>0.92151898327518522</v>
      </c>
      <c r="AA55" s="30">
        <f t="shared" si="18"/>
        <v>0.91704331418252893</v>
      </c>
      <c r="AB55" s="30">
        <f t="shared" si="19"/>
        <v>0.92556872944236224</v>
      </c>
      <c r="AC55">
        <f t="shared" si="20"/>
        <v>999124</v>
      </c>
      <c r="AD55" s="30">
        <f t="shared" si="10"/>
        <v>4.6094955618114906E-2</v>
      </c>
    </row>
    <row r="56" spans="1:30" x14ac:dyDescent="0.2">
      <c r="A56">
        <v>1951</v>
      </c>
      <c r="B56">
        <v>6307000</v>
      </c>
      <c r="C56">
        <v>3032000</v>
      </c>
      <c r="D56">
        <v>9729000</v>
      </c>
      <c r="E56">
        <v>1976000</v>
      </c>
      <c r="F56">
        <v>21044000</v>
      </c>
      <c r="G56">
        <v>6134000</v>
      </c>
      <c r="H56">
        <v>3127000</v>
      </c>
      <c r="I56">
        <v>10646000</v>
      </c>
      <c r="J56">
        <v>2864000</v>
      </c>
      <c r="K56">
        <v>22771000</v>
      </c>
      <c r="L56">
        <v>43815000</v>
      </c>
      <c r="M56">
        <v>14737000</v>
      </c>
      <c r="N56">
        <v>16637000</v>
      </c>
      <c r="O56">
        <v>31374000</v>
      </c>
      <c r="P56">
        <f t="shared" si="0"/>
        <v>5643105.2631578948</v>
      </c>
      <c r="Q56">
        <f t="shared" si="1"/>
        <v>5488315.7894736845</v>
      </c>
      <c r="R56">
        <f t="shared" si="2"/>
        <v>606400</v>
      </c>
      <c r="S56">
        <f t="shared" si="3"/>
        <v>625400</v>
      </c>
      <c r="T56">
        <f t="shared" si="4"/>
        <v>14130600</v>
      </c>
      <c r="U56">
        <f t="shared" si="5"/>
        <v>16011600</v>
      </c>
      <c r="V56">
        <f t="shared" si="6"/>
        <v>15400894.736842105</v>
      </c>
      <c r="W56">
        <f t="shared" si="7"/>
        <v>17282684.210526317</v>
      </c>
      <c r="Y56" s="30">
        <f t="shared" si="14"/>
        <v>0.68794248545018832</v>
      </c>
      <c r="Z56" s="30">
        <f t="shared" si="17"/>
        <v>0.92224294189259692</v>
      </c>
      <c r="AA56" s="30">
        <f t="shared" si="18"/>
        <v>0.91751812095674556</v>
      </c>
      <c r="AB56" s="30">
        <f t="shared" si="19"/>
        <v>0.9264533104324072</v>
      </c>
      <c r="AC56">
        <f t="shared" si="20"/>
        <v>989142</v>
      </c>
      <c r="AD56" s="30">
        <f t="shared" si="10"/>
        <v>4.5828603077370425E-2</v>
      </c>
    </row>
    <row r="57" spans="1:30" x14ac:dyDescent="0.2">
      <c r="A57">
        <v>1952</v>
      </c>
      <c r="B57">
        <v>6341000</v>
      </c>
      <c r="C57">
        <v>2958000</v>
      </c>
      <c r="D57">
        <v>9814000</v>
      </c>
      <c r="E57">
        <v>1997000</v>
      </c>
      <c r="F57">
        <v>21110000</v>
      </c>
      <c r="G57">
        <v>6164000</v>
      </c>
      <c r="H57">
        <v>3060000</v>
      </c>
      <c r="I57">
        <v>10696000</v>
      </c>
      <c r="J57">
        <v>2925000</v>
      </c>
      <c r="K57">
        <v>22845000</v>
      </c>
      <c r="L57">
        <v>43955000</v>
      </c>
      <c r="M57">
        <v>14769000</v>
      </c>
      <c r="N57">
        <v>16681000</v>
      </c>
      <c r="O57">
        <v>31450000</v>
      </c>
      <c r="P57">
        <f t="shared" si="0"/>
        <v>5673526.3157894742</v>
      </c>
      <c r="Q57">
        <f t="shared" si="1"/>
        <v>5515157.8947368423</v>
      </c>
      <c r="R57">
        <f t="shared" si="2"/>
        <v>591600</v>
      </c>
      <c r="S57">
        <f t="shared" si="3"/>
        <v>612000</v>
      </c>
      <c r="T57">
        <f t="shared" si="4"/>
        <v>14177400</v>
      </c>
      <c r="U57">
        <f t="shared" si="5"/>
        <v>16069000</v>
      </c>
      <c r="V57">
        <f t="shared" si="6"/>
        <v>15436473.684210526</v>
      </c>
      <c r="W57">
        <f t="shared" si="7"/>
        <v>17329842.105263159</v>
      </c>
      <c r="Y57" s="30">
        <f t="shared" si="14"/>
        <v>0.68812194289614381</v>
      </c>
      <c r="Z57" s="30">
        <f t="shared" si="17"/>
        <v>0.923094320226163</v>
      </c>
      <c r="AA57" s="30">
        <f t="shared" si="18"/>
        <v>0.91843514846927821</v>
      </c>
      <c r="AB57" s="30">
        <f t="shared" si="19"/>
        <v>0.9272444551078608</v>
      </c>
      <c r="AC57">
        <f t="shared" si="20"/>
        <v>992418</v>
      </c>
      <c r="AD57" s="30">
        <f t="shared" si="10"/>
        <v>4.58573100733385E-2</v>
      </c>
    </row>
    <row r="58" spans="1:30" x14ac:dyDescent="0.2">
      <c r="A58">
        <v>1953</v>
      </c>
      <c r="B58">
        <v>6388000</v>
      </c>
      <c r="C58">
        <v>2938000</v>
      </c>
      <c r="D58">
        <v>9875000</v>
      </c>
      <c r="E58">
        <v>2005000</v>
      </c>
      <c r="F58">
        <v>21206000</v>
      </c>
      <c r="G58">
        <v>6208000</v>
      </c>
      <c r="H58">
        <v>2999000</v>
      </c>
      <c r="I58">
        <v>10726000</v>
      </c>
      <c r="J58">
        <v>2970000</v>
      </c>
      <c r="K58">
        <v>22903000</v>
      </c>
      <c r="L58">
        <v>44109000</v>
      </c>
      <c r="M58">
        <v>14818000</v>
      </c>
      <c r="N58">
        <v>16695000</v>
      </c>
      <c r="O58">
        <v>31513000</v>
      </c>
      <c r="P58">
        <f t="shared" si="0"/>
        <v>5715578.9473684207</v>
      </c>
      <c r="Q58">
        <f t="shared" si="1"/>
        <v>5554526.3157894742</v>
      </c>
      <c r="R58">
        <f t="shared" si="2"/>
        <v>587600</v>
      </c>
      <c r="S58">
        <f t="shared" si="3"/>
        <v>599800</v>
      </c>
      <c r="T58">
        <f t="shared" si="4"/>
        <v>14230400</v>
      </c>
      <c r="U58">
        <f t="shared" si="5"/>
        <v>16095200</v>
      </c>
      <c r="V58">
        <f t="shared" si="6"/>
        <v>15490421.052631579</v>
      </c>
      <c r="W58">
        <f t="shared" si="7"/>
        <v>17348473.684210524</v>
      </c>
      <c r="Y58" s="30">
        <f t="shared" si="14"/>
        <v>0.68751501961051031</v>
      </c>
      <c r="Z58" s="30">
        <f t="shared" si="17"/>
        <v>0.92346591573855785</v>
      </c>
      <c r="AA58" s="30">
        <f t="shared" si="18"/>
        <v>0.91865805013624713</v>
      </c>
      <c r="AB58" s="30">
        <f t="shared" si="19"/>
        <v>0.92775885031596905</v>
      </c>
      <c r="AC58">
        <f t="shared" si="20"/>
        <v>996128</v>
      </c>
      <c r="AD58" s="30">
        <f t="shared" si="10"/>
        <v>4.5977272911193114E-2</v>
      </c>
    </row>
    <row r="59" spans="1:30" x14ac:dyDescent="0.2">
      <c r="A59">
        <v>1954</v>
      </c>
      <c r="B59">
        <v>6438000</v>
      </c>
      <c r="C59">
        <v>2886000</v>
      </c>
      <c r="D59">
        <v>9939000</v>
      </c>
      <c r="E59">
        <v>2025000</v>
      </c>
      <c r="F59">
        <v>21288000</v>
      </c>
      <c r="G59">
        <v>6262000</v>
      </c>
      <c r="H59">
        <v>2941000</v>
      </c>
      <c r="I59">
        <v>10751000</v>
      </c>
      <c r="J59">
        <v>3032000</v>
      </c>
      <c r="K59">
        <v>22986000</v>
      </c>
      <c r="L59">
        <v>44274000</v>
      </c>
      <c r="M59">
        <v>14850000</v>
      </c>
      <c r="N59">
        <v>16724000</v>
      </c>
      <c r="O59">
        <v>31574000</v>
      </c>
      <c r="P59">
        <f t="shared" si="0"/>
        <v>5760315.7894736845</v>
      </c>
      <c r="Q59">
        <f t="shared" si="1"/>
        <v>5602842.1052631577</v>
      </c>
      <c r="R59">
        <f t="shared" si="2"/>
        <v>577200</v>
      </c>
      <c r="S59">
        <f t="shared" si="3"/>
        <v>588200</v>
      </c>
      <c r="T59">
        <f t="shared" si="4"/>
        <v>14272800</v>
      </c>
      <c r="U59">
        <f t="shared" si="5"/>
        <v>16135800</v>
      </c>
      <c r="V59">
        <f t="shared" si="6"/>
        <v>15527684.210526315</v>
      </c>
      <c r="W59">
        <f t="shared" si="7"/>
        <v>17383157.894736841</v>
      </c>
      <c r="Y59" s="30">
        <f t="shared" si="14"/>
        <v>0.68682748339883448</v>
      </c>
      <c r="Z59" s="30">
        <f t="shared" si="17"/>
        <v>0.92396906474590035</v>
      </c>
      <c r="AA59" s="30">
        <f t="shared" si="18"/>
        <v>0.919184071912306</v>
      </c>
      <c r="AB59" s="30">
        <f t="shared" si="19"/>
        <v>0.92824330870776317</v>
      </c>
      <c r="AC59">
        <f t="shared" si="20"/>
        <v>999096</v>
      </c>
      <c r="AD59" s="30">
        <f t="shared" si="10"/>
        <v>4.6071245207512546E-2</v>
      </c>
    </row>
    <row r="60" spans="1:30" x14ac:dyDescent="0.2">
      <c r="A60">
        <v>1955</v>
      </c>
      <c r="B60">
        <v>6504000</v>
      </c>
      <c r="C60">
        <v>2852000</v>
      </c>
      <c r="D60">
        <v>10000000</v>
      </c>
      <c r="E60">
        <v>2033000</v>
      </c>
      <c r="F60">
        <v>21389000</v>
      </c>
      <c r="G60">
        <v>6296000</v>
      </c>
      <c r="H60">
        <v>2902000</v>
      </c>
      <c r="I60">
        <v>10779000</v>
      </c>
      <c r="J60">
        <v>3075000</v>
      </c>
      <c r="K60">
        <v>23052000</v>
      </c>
      <c r="L60">
        <v>44441000</v>
      </c>
      <c r="M60">
        <v>14885000</v>
      </c>
      <c r="N60">
        <v>16756000</v>
      </c>
      <c r="O60">
        <v>31641000</v>
      </c>
      <c r="P60">
        <f t="shared" si="0"/>
        <v>5819368.4210526319</v>
      </c>
      <c r="Q60">
        <f t="shared" si="1"/>
        <v>5633263.1578947371</v>
      </c>
      <c r="R60">
        <f t="shared" si="2"/>
        <v>570400</v>
      </c>
      <c r="S60">
        <f t="shared" si="3"/>
        <v>580400</v>
      </c>
      <c r="T60">
        <f t="shared" si="4"/>
        <v>14314600</v>
      </c>
      <c r="U60">
        <f t="shared" si="5"/>
        <v>16175600</v>
      </c>
      <c r="V60">
        <f t="shared" si="6"/>
        <v>15569631.578947369</v>
      </c>
      <c r="W60">
        <f t="shared" si="7"/>
        <v>17418736.842105262</v>
      </c>
      <c r="Y60" s="30">
        <f t="shared" si="14"/>
        <v>0.68608267140703405</v>
      </c>
      <c r="Z60" s="30">
        <f t="shared" si="17"/>
        <v>0.92427123435852188</v>
      </c>
      <c r="AA60" s="30">
        <f t="shared" si="18"/>
        <v>0.91939233933805009</v>
      </c>
      <c r="AB60" s="30">
        <f t="shared" si="19"/>
        <v>0.92863220488524156</v>
      </c>
      <c r="AC60">
        <f t="shared" si="20"/>
        <v>1002022</v>
      </c>
      <c r="AD60" s="30">
        <f t="shared" si="10"/>
        <v>4.6158385055624696E-2</v>
      </c>
    </row>
    <row r="61" spans="1:30" x14ac:dyDescent="0.2">
      <c r="A61">
        <v>1956</v>
      </c>
      <c r="B61">
        <v>6569000</v>
      </c>
      <c r="C61">
        <v>2848000</v>
      </c>
      <c r="D61">
        <v>10055000</v>
      </c>
      <c r="E61">
        <v>2045000</v>
      </c>
      <c r="F61">
        <v>21517000</v>
      </c>
      <c r="G61">
        <v>6351000</v>
      </c>
      <c r="H61">
        <v>2868000</v>
      </c>
      <c r="I61">
        <v>10803000</v>
      </c>
      <c r="J61">
        <v>3128000</v>
      </c>
      <c r="K61">
        <v>23150000</v>
      </c>
      <c r="L61">
        <v>44667000</v>
      </c>
      <c r="M61">
        <v>14948000</v>
      </c>
      <c r="N61">
        <v>16799000</v>
      </c>
      <c r="O61">
        <v>31747000</v>
      </c>
      <c r="P61">
        <f t="shared" si="0"/>
        <v>5877526.3157894742</v>
      </c>
      <c r="Q61">
        <f t="shared" si="1"/>
        <v>5682473.6842105258</v>
      </c>
      <c r="R61">
        <f t="shared" si="2"/>
        <v>569600</v>
      </c>
      <c r="S61">
        <f t="shared" si="3"/>
        <v>573600</v>
      </c>
      <c r="T61">
        <f t="shared" si="4"/>
        <v>14378400</v>
      </c>
      <c r="U61">
        <f t="shared" si="5"/>
        <v>16225400</v>
      </c>
      <c r="V61">
        <f t="shared" si="6"/>
        <v>15639473.684210526</v>
      </c>
      <c r="W61">
        <f t="shared" si="7"/>
        <v>17467526.315789476</v>
      </c>
      <c r="Y61" s="30">
        <f t="shared" si="14"/>
        <v>0.685154588398594</v>
      </c>
      <c r="Z61" s="30">
        <f t="shared" si="17"/>
        <v>0.92439061225722652</v>
      </c>
      <c r="AA61" s="30">
        <f t="shared" si="18"/>
        <v>0.91936597677940435</v>
      </c>
      <c r="AB61" s="30">
        <f t="shared" si="19"/>
        <v>0.92888939776969581</v>
      </c>
      <c r="AC61">
        <f t="shared" si="20"/>
        <v>1006488</v>
      </c>
      <c r="AD61" s="30">
        <f t="shared" si="10"/>
        <v>4.6271900652736189E-2</v>
      </c>
    </row>
    <row r="62" spans="1:30" x14ac:dyDescent="0.2">
      <c r="A62">
        <v>1957</v>
      </c>
      <c r="B62">
        <v>6649000</v>
      </c>
      <c r="C62">
        <v>2833000</v>
      </c>
      <c r="D62">
        <v>10096000</v>
      </c>
      <c r="E62">
        <v>2070000</v>
      </c>
      <c r="F62">
        <v>21648000</v>
      </c>
      <c r="G62">
        <v>6397000</v>
      </c>
      <c r="H62">
        <v>2851000</v>
      </c>
      <c r="I62">
        <v>10815000</v>
      </c>
      <c r="J62">
        <v>3196000</v>
      </c>
      <c r="K62">
        <v>23259000</v>
      </c>
      <c r="L62">
        <v>44907000</v>
      </c>
      <c r="M62">
        <v>14999000</v>
      </c>
      <c r="N62">
        <v>16862000</v>
      </c>
      <c r="O62">
        <v>31861000</v>
      </c>
      <c r="P62">
        <f t="shared" si="0"/>
        <v>5949105.2631578948</v>
      </c>
      <c r="Q62">
        <f t="shared" si="1"/>
        <v>5723631.5789473681</v>
      </c>
      <c r="R62">
        <f t="shared" si="2"/>
        <v>566600</v>
      </c>
      <c r="S62">
        <f t="shared" si="3"/>
        <v>570200</v>
      </c>
      <c r="T62">
        <f t="shared" si="4"/>
        <v>14432400</v>
      </c>
      <c r="U62">
        <f t="shared" si="5"/>
        <v>16291800</v>
      </c>
      <c r="V62">
        <f t="shared" si="6"/>
        <v>15698894.736842105</v>
      </c>
      <c r="W62">
        <f t="shared" si="7"/>
        <v>17535368.421052631</v>
      </c>
      <c r="Y62" s="30">
        <f t="shared" si="14"/>
        <v>0.68417395951633375</v>
      </c>
      <c r="Z62" s="30">
        <f t="shared" si="17"/>
        <v>0.92447363295014173</v>
      </c>
      <c r="AA62" s="30">
        <f t="shared" si="18"/>
        <v>0.91932586605158262</v>
      </c>
      <c r="AB62" s="30">
        <f t="shared" si="19"/>
        <v>0.92908227582149761</v>
      </c>
      <c r="AC62">
        <f t="shared" si="20"/>
        <v>1010268</v>
      </c>
      <c r="AD62" s="30">
        <f t="shared" si="10"/>
        <v>4.6345828908687332E-2</v>
      </c>
    </row>
    <row r="63" spans="1:30" x14ac:dyDescent="0.2">
      <c r="A63">
        <v>1958</v>
      </c>
      <c r="B63">
        <v>6718000</v>
      </c>
      <c r="C63">
        <v>2832000</v>
      </c>
      <c r="D63">
        <v>10122000</v>
      </c>
      <c r="E63">
        <v>2072000</v>
      </c>
      <c r="F63">
        <v>21744000</v>
      </c>
      <c r="G63">
        <v>6455000</v>
      </c>
      <c r="H63">
        <v>2851000</v>
      </c>
      <c r="I63">
        <v>10820000</v>
      </c>
      <c r="J63">
        <v>3239000</v>
      </c>
      <c r="K63">
        <v>23365000</v>
      </c>
      <c r="L63">
        <v>45109000</v>
      </c>
      <c r="M63">
        <v>15026000</v>
      </c>
      <c r="N63">
        <v>16910000</v>
      </c>
      <c r="O63">
        <v>31936000</v>
      </c>
      <c r="P63">
        <f t="shared" si="0"/>
        <v>6010842.1052631577</v>
      </c>
      <c r="Q63">
        <f t="shared" si="1"/>
        <v>5775526.3157894742</v>
      </c>
      <c r="R63">
        <f t="shared" si="2"/>
        <v>566400</v>
      </c>
      <c r="S63">
        <f t="shared" si="3"/>
        <v>570200</v>
      </c>
      <c r="T63">
        <f t="shared" si="4"/>
        <v>14459600</v>
      </c>
      <c r="U63">
        <f t="shared" si="5"/>
        <v>16339800</v>
      </c>
      <c r="V63">
        <f t="shared" si="6"/>
        <v>15733157.894736841</v>
      </c>
      <c r="W63">
        <f t="shared" si="7"/>
        <v>17589473.684210524</v>
      </c>
      <c r="Y63" s="30">
        <f t="shared" si="14"/>
        <v>0.68277727282803879</v>
      </c>
      <c r="Z63" s="30">
        <f t="shared" si="17"/>
        <v>0.92427874212247096</v>
      </c>
      <c r="AA63" s="30">
        <f t="shared" si="18"/>
        <v>0.91905262101495333</v>
      </c>
      <c r="AB63" s="30">
        <f t="shared" si="19"/>
        <v>0.92895332136445252</v>
      </c>
      <c r="AC63">
        <f t="shared" si="20"/>
        <v>1012172</v>
      </c>
      <c r="AD63" s="30">
        <f t="shared" si="10"/>
        <v>4.6418889125842869E-2</v>
      </c>
    </row>
    <row r="64" spans="1:30" x14ac:dyDescent="0.2">
      <c r="A64">
        <v>1959</v>
      </c>
      <c r="B64">
        <v>6815000</v>
      </c>
      <c r="C64">
        <v>2834000</v>
      </c>
      <c r="D64">
        <v>10156000</v>
      </c>
      <c r="E64">
        <v>2080000</v>
      </c>
      <c r="F64">
        <v>21885000</v>
      </c>
      <c r="G64">
        <v>6526000</v>
      </c>
      <c r="H64">
        <v>2855000</v>
      </c>
      <c r="I64">
        <v>10831000</v>
      </c>
      <c r="J64">
        <v>3289000</v>
      </c>
      <c r="K64">
        <v>23501000</v>
      </c>
      <c r="L64">
        <v>45386000</v>
      </c>
      <c r="M64">
        <v>15070000</v>
      </c>
      <c r="N64">
        <v>16975000</v>
      </c>
      <c r="O64">
        <v>32045000</v>
      </c>
      <c r="P64">
        <f t="shared" si="0"/>
        <v>6097631.5789473681</v>
      </c>
      <c r="Q64">
        <f t="shared" si="1"/>
        <v>5839052.6315789474</v>
      </c>
      <c r="R64">
        <f t="shared" si="2"/>
        <v>566800</v>
      </c>
      <c r="S64">
        <f t="shared" si="3"/>
        <v>571000</v>
      </c>
      <c r="T64">
        <f t="shared" si="4"/>
        <v>14503200</v>
      </c>
      <c r="U64">
        <f t="shared" si="5"/>
        <v>16404000</v>
      </c>
      <c r="V64">
        <f t="shared" si="6"/>
        <v>15787368.421052631</v>
      </c>
      <c r="W64">
        <f t="shared" si="7"/>
        <v>17661947.368421052</v>
      </c>
      <c r="Y64" s="30">
        <f t="shared" si="14"/>
        <v>0.68098532587141414</v>
      </c>
      <c r="Z64" s="30">
        <f t="shared" si="17"/>
        <v>0.92400096296517753</v>
      </c>
      <c r="AA64" s="30">
        <f t="shared" si="18"/>
        <v>0.91865848779837311</v>
      </c>
      <c r="AB64" s="30">
        <f t="shared" si="19"/>
        <v>0.92877640601113909</v>
      </c>
      <c r="AC64">
        <f t="shared" si="20"/>
        <v>1015224</v>
      </c>
      <c r="AD64" s="30">
        <f t="shared" si="10"/>
        <v>4.6522585893211829E-2</v>
      </c>
    </row>
    <row r="65" spans="1:30" x14ac:dyDescent="0.2">
      <c r="A65">
        <v>1960</v>
      </c>
      <c r="B65">
        <v>6932000</v>
      </c>
      <c r="C65">
        <v>2863000</v>
      </c>
      <c r="D65">
        <v>10204000</v>
      </c>
      <c r="E65">
        <v>2098000</v>
      </c>
      <c r="F65">
        <v>22097000</v>
      </c>
      <c r="G65">
        <v>6631000</v>
      </c>
      <c r="H65">
        <v>2863000</v>
      </c>
      <c r="I65">
        <v>10828000</v>
      </c>
      <c r="J65">
        <v>3356000</v>
      </c>
      <c r="K65">
        <v>23678000</v>
      </c>
      <c r="L65">
        <v>45775000</v>
      </c>
      <c r="M65">
        <v>15165000</v>
      </c>
      <c r="N65">
        <v>17047000</v>
      </c>
      <c r="O65">
        <v>32212000</v>
      </c>
      <c r="P65">
        <f t="shared" si="0"/>
        <v>6202315.7894736845</v>
      </c>
      <c r="Q65">
        <f t="shared" si="1"/>
        <v>5933000</v>
      </c>
      <c r="R65">
        <f t="shared" si="2"/>
        <v>572600</v>
      </c>
      <c r="S65">
        <f t="shared" si="3"/>
        <v>572600</v>
      </c>
      <c r="T65">
        <f t="shared" si="4"/>
        <v>14592400</v>
      </c>
      <c r="U65">
        <f t="shared" si="5"/>
        <v>16474400</v>
      </c>
      <c r="V65">
        <f t="shared" si="6"/>
        <v>15894684.210526315</v>
      </c>
      <c r="W65">
        <f t="shared" si="7"/>
        <v>17745000</v>
      </c>
      <c r="Y65" s="30">
        <f t="shared" si="14"/>
        <v>0.67868487165483338</v>
      </c>
      <c r="Z65" s="30">
        <f t="shared" si="17"/>
        <v>0.92351639823892206</v>
      </c>
      <c r="AA65" s="30">
        <f t="shared" si="18"/>
        <v>0.91806794062232</v>
      </c>
      <c r="AB65" s="30">
        <f t="shared" si="19"/>
        <v>0.92839673147365454</v>
      </c>
      <c r="AC65">
        <f t="shared" si="20"/>
        <v>1021468</v>
      </c>
      <c r="AD65" s="30">
        <f t="shared" si="10"/>
        <v>4.6723880749310678E-2</v>
      </c>
    </row>
    <row r="66" spans="1:30" x14ac:dyDescent="0.2">
      <c r="A66">
        <v>1961</v>
      </c>
      <c r="B66">
        <v>7084300</v>
      </c>
      <c r="C66">
        <v>2878900</v>
      </c>
      <c r="D66">
        <v>10275900</v>
      </c>
      <c r="E66">
        <v>2107900</v>
      </c>
      <c r="F66">
        <v>22347000</v>
      </c>
      <c r="G66">
        <v>6772100</v>
      </c>
      <c r="H66">
        <v>2852200</v>
      </c>
      <c r="I66">
        <v>10819800</v>
      </c>
      <c r="J66">
        <v>3405100</v>
      </c>
      <c r="K66">
        <v>23849200</v>
      </c>
      <c r="L66">
        <v>46196200</v>
      </c>
      <c r="M66">
        <v>15262700</v>
      </c>
      <c r="N66">
        <v>17077100</v>
      </c>
      <c r="O66">
        <v>32339800</v>
      </c>
      <c r="P66">
        <f t="shared" si="0"/>
        <v>6338584.2105263155</v>
      </c>
      <c r="Q66">
        <f t="shared" si="1"/>
        <v>6059247.3684210526</v>
      </c>
      <c r="R66">
        <f t="shared" si="2"/>
        <v>575780</v>
      </c>
      <c r="S66">
        <f t="shared" si="3"/>
        <v>570440</v>
      </c>
      <c r="T66">
        <f t="shared" si="4"/>
        <v>14686920</v>
      </c>
      <c r="U66">
        <f t="shared" si="5"/>
        <v>16506660</v>
      </c>
      <c r="V66">
        <f t="shared" si="6"/>
        <v>16008415.789473685</v>
      </c>
      <c r="W66">
        <f t="shared" si="7"/>
        <v>17789952.631578948</v>
      </c>
      <c r="Y66" s="30">
        <f t="shared" si="14"/>
        <v>0.6752412536096043</v>
      </c>
      <c r="Z66" s="30">
        <f t="shared" si="17"/>
        <v>0.92293153359941071</v>
      </c>
      <c r="AA66" s="30">
        <f t="shared" si="18"/>
        <v>0.91744993340673764</v>
      </c>
      <c r="AB66" s="30">
        <f t="shared" si="19"/>
        <v>0.92786419063865433</v>
      </c>
      <c r="AC66">
        <f t="shared" si="20"/>
        <v>1028084</v>
      </c>
      <c r="AD66" s="30">
        <f t="shared" si="10"/>
        <v>4.7079549998350109E-2</v>
      </c>
    </row>
    <row r="67" spans="1:30" x14ac:dyDescent="0.2">
      <c r="A67">
        <v>1962</v>
      </c>
      <c r="B67">
        <v>7237900</v>
      </c>
      <c r="C67">
        <v>2919400</v>
      </c>
      <c r="D67">
        <v>10347900</v>
      </c>
      <c r="E67">
        <v>2126200</v>
      </c>
      <c r="F67">
        <v>22631400</v>
      </c>
      <c r="G67">
        <v>6886600</v>
      </c>
      <c r="H67">
        <v>2871000</v>
      </c>
      <c r="I67">
        <v>10816900</v>
      </c>
      <c r="J67">
        <v>3451500</v>
      </c>
      <c r="K67">
        <v>24026000</v>
      </c>
      <c r="L67">
        <v>46657400</v>
      </c>
      <c r="M67">
        <v>15393500</v>
      </c>
      <c r="N67">
        <v>17139400</v>
      </c>
      <c r="O67">
        <v>32532900</v>
      </c>
      <c r="P67">
        <f t="shared" si="0"/>
        <v>6476015.7894736845</v>
      </c>
      <c r="Q67">
        <f t="shared" si="1"/>
        <v>6161694.7368421052</v>
      </c>
      <c r="R67">
        <f t="shared" si="2"/>
        <v>583880</v>
      </c>
      <c r="S67">
        <f t="shared" si="3"/>
        <v>574200</v>
      </c>
      <c r="T67">
        <f t="shared" si="4"/>
        <v>14809620</v>
      </c>
      <c r="U67">
        <f t="shared" si="5"/>
        <v>16565200</v>
      </c>
      <c r="V67">
        <f t="shared" si="6"/>
        <v>16155384.210526315</v>
      </c>
      <c r="W67">
        <f t="shared" si="7"/>
        <v>17864305.263157897</v>
      </c>
      <c r="Y67" s="30">
        <f t="shared" si="14"/>
        <v>0.67245110100434224</v>
      </c>
      <c r="Z67" s="30">
        <f t="shared" si="17"/>
        <v>0.92225474380857764</v>
      </c>
      <c r="AA67" s="30">
        <f t="shared" si="18"/>
        <v>0.91669871833506378</v>
      </c>
      <c r="AB67" s="30">
        <f t="shared" si="19"/>
        <v>0.92727927316395109</v>
      </c>
      <c r="AC67">
        <f t="shared" si="20"/>
        <v>1036673</v>
      </c>
      <c r="AD67" s="30">
        <f t="shared" si="10"/>
        <v>4.7386900191289133E-2</v>
      </c>
    </row>
    <row r="68" spans="1:30" x14ac:dyDescent="0.2">
      <c r="A68">
        <v>1963</v>
      </c>
      <c r="B68">
        <v>7340200</v>
      </c>
      <c r="C68">
        <v>2952900</v>
      </c>
      <c r="D68">
        <v>10351900</v>
      </c>
      <c r="E68">
        <v>2141500</v>
      </c>
      <c r="F68">
        <v>22786500</v>
      </c>
      <c r="G68">
        <v>6979100</v>
      </c>
      <c r="H68">
        <v>2912700</v>
      </c>
      <c r="I68">
        <v>10795400</v>
      </c>
      <c r="J68">
        <v>3499200</v>
      </c>
      <c r="K68">
        <v>24186400</v>
      </c>
      <c r="L68">
        <v>46972900</v>
      </c>
      <c r="M68">
        <v>15446300</v>
      </c>
      <c r="N68">
        <v>17207300</v>
      </c>
      <c r="O68">
        <v>32653600</v>
      </c>
      <c r="P68">
        <f t="shared" si="0"/>
        <v>6567547.3684210526</v>
      </c>
      <c r="Q68">
        <f t="shared" si="1"/>
        <v>6244457.8947368423</v>
      </c>
      <c r="R68">
        <f t="shared" si="2"/>
        <v>590580</v>
      </c>
      <c r="S68">
        <f t="shared" si="3"/>
        <v>582540</v>
      </c>
      <c r="T68">
        <f t="shared" si="4"/>
        <v>14855720</v>
      </c>
      <c r="U68">
        <f t="shared" si="5"/>
        <v>16624760</v>
      </c>
      <c r="V68">
        <f t="shared" si="6"/>
        <v>16218952.631578948</v>
      </c>
      <c r="W68">
        <f t="shared" si="7"/>
        <v>17941942.105263159</v>
      </c>
      <c r="Y68" s="30">
        <f t="shared" si="14"/>
        <v>0.67018387197724649</v>
      </c>
      <c r="Z68" s="30">
        <f t="shared" si="17"/>
        <v>0.92153558162072036</v>
      </c>
      <c r="AA68" s="30">
        <f t="shared" si="18"/>
        <v>0.91594817109677729</v>
      </c>
      <c r="AB68" s="30">
        <f t="shared" si="19"/>
        <v>0.92658642539723879</v>
      </c>
      <c r="AC68">
        <f t="shared" si="20"/>
        <v>1039900</v>
      </c>
      <c r="AD68" s="30">
        <f t="shared" si="10"/>
        <v>4.7518917368519806E-2</v>
      </c>
    </row>
    <row r="69" spans="1:30" x14ac:dyDescent="0.2">
      <c r="A69">
        <v>1964</v>
      </c>
      <c r="B69">
        <v>7426000</v>
      </c>
      <c r="C69">
        <v>3017900</v>
      </c>
      <c r="D69">
        <v>10354800</v>
      </c>
      <c r="E69">
        <v>2179800</v>
      </c>
      <c r="F69">
        <v>22978500</v>
      </c>
      <c r="G69">
        <v>7056100</v>
      </c>
      <c r="H69">
        <v>2965900</v>
      </c>
      <c r="I69">
        <v>10756100</v>
      </c>
      <c r="J69">
        <v>3567600</v>
      </c>
      <c r="K69">
        <v>24345700</v>
      </c>
      <c r="L69">
        <v>47324200</v>
      </c>
      <c r="M69">
        <v>15552500</v>
      </c>
      <c r="N69">
        <v>17289600</v>
      </c>
      <c r="O69">
        <v>32842100</v>
      </c>
      <c r="P69">
        <f t="shared" si="0"/>
        <v>6644315.7894736845</v>
      </c>
      <c r="Q69">
        <f t="shared" si="1"/>
        <v>6313352.6315789474</v>
      </c>
      <c r="R69">
        <f t="shared" si="2"/>
        <v>603580</v>
      </c>
      <c r="S69">
        <f t="shared" si="3"/>
        <v>593180</v>
      </c>
      <c r="T69">
        <f t="shared" si="4"/>
        <v>14948920</v>
      </c>
      <c r="U69">
        <f t="shared" si="5"/>
        <v>16696420</v>
      </c>
      <c r="V69">
        <f t="shared" si="6"/>
        <v>16334184.210526315</v>
      </c>
      <c r="W69">
        <f t="shared" si="7"/>
        <v>18032347.368421052</v>
      </c>
      <c r="Y69" s="30">
        <f t="shared" si="14"/>
        <v>0.66869255053439891</v>
      </c>
      <c r="Z69" s="30">
        <f t="shared" si="17"/>
        <v>0.92081855648725564</v>
      </c>
      <c r="AA69" s="30">
        <f t="shared" si="18"/>
        <v>0.91519232349335189</v>
      </c>
      <c r="AB69" s="30">
        <f t="shared" si="19"/>
        <v>0.92591494933374119</v>
      </c>
      <c r="AC69">
        <f t="shared" si="20"/>
        <v>1046424</v>
      </c>
      <c r="AD69" s="30">
        <f t="shared" si="10"/>
        <v>4.7648615662668245E-2</v>
      </c>
    </row>
    <row r="70" spans="1:30" x14ac:dyDescent="0.2">
      <c r="A70">
        <v>1965</v>
      </c>
      <c r="B70">
        <v>7512800</v>
      </c>
      <c r="C70">
        <v>3070700</v>
      </c>
      <c r="D70">
        <v>10336900</v>
      </c>
      <c r="E70">
        <v>2230200</v>
      </c>
      <c r="F70">
        <v>23150600</v>
      </c>
      <c r="G70">
        <v>7132400</v>
      </c>
      <c r="H70">
        <v>3020900</v>
      </c>
      <c r="I70">
        <v>10720300</v>
      </c>
      <c r="J70">
        <v>3647000</v>
      </c>
      <c r="K70">
        <v>24520600</v>
      </c>
      <c r="L70">
        <v>47671200</v>
      </c>
      <c r="M70">
        <v>15637800</v>
      </c>
      <c r="N70">
        <v>17388200</v>
      </c>
      <c r="O70">
        <v>33026000</v>
      </c>
      <c r="P70">
        <f t="shared" si="0"/>
        <v>6721978.9473684207</v>
      </c>
      <c r="Q70">
        <f t="shared" si="1"/>
        <v>6381621.0526315793</v>
      </c>
      <c r="R70">
        <f t="shared" si="2"/>
        <v>614140</v>
      </c>
      <c r="S70">
        <f t="shared" si="3"/>
        <v>604180</v>
      </c>
      <c r="T70">
        <f t="shared" si="4"/>
        <v>15023660</v>
      </c>
      <c r="U70">
        <f t="shared" si="5"/>
        <v>16784020</v>
      </c>
      <c r="V70">
        <f t="shared" si="6"/>
        <v>16428621.052631579</v>
      </c>
      <c r="W70">
        <f t="shared" si="7"/>
        <v>18138978.947368421</v>
      </c>
      <c r="Y70" s="30">
        <f t="shared" si="14"/>
        <v>0.66723052912450287</v>
      </c>
      <c r="Z70" s="30">
        <f t="shared" si="17"/>
        <v>0.92015876138349206</v>
      </c>
      <c r="AA70" s="30">
        <f t="shared" si="18"/>
        <v>0.91448088989754084</v>
      </c>
      <c r="AB70" s="30">
        <f t="shared" si="19"/>
        <v>0.92530125585900214</v>
      </c>
      <c r="AC70">
        <f t="shared" si="20"/>
        <v>1051656</v>
      </c>
      <c r="AD70" s="30">
        <f t="shared" si="10"/>
        <v>4.7724547372316475E-2</v>
      </c>
    </row>
    <row r="71" spans="1:30" x14ac:dyDescent="0.2">
      <c r="A71">
        <v>1966</v>
      </c>
      <c r="B71">
        <v>7570500</v>
      </c>
      <c r="C71">
        <v>3145300</v>
      </c>
      <c r="D71">
        <v>10327100</v>
      </c>
      <c r="E71">
        <v>2252900</v>
      </c>
      <c r="F71">
        <v>23295800</v>
      </c>
      <c r="G71">
        <v>7211400</v>
      </c>
      <c r="H71">
        <v>3082600</v>
      </c>
      <c r="I71">
        <v>10676300</v>
      </c>
      <c r="J71">
        <v>3700400</v>
      </c>
      <c r="K71">
        <v>24670700</v>
      </c>
      <c r="L71">
        <v>47966500</v>
      </c>
      <c r="M71">
        <v>15725300</v>
      </c>
      <c r="N71">
        <v>17459300</v>
      </c>
      <c r="O71">
        <v>33184600</v>
      </c>
      <c r="P71">
        <f t="shared" ref="P71:P105" si="21">B71-(B71/19)*2</f>
        <v>6773605.2631578948</v>
      </c>
      <c r="Q71">
        <f t="shared" ref="Q71:Q105" si="22">G71-(G71/19)*2</f>
        <v>6452305.2631578948</v>
      </c>
      <c r="R71">
        <f t="shared" ref="R71:R105" si="23">(C71/10)*2</f>
        <v>629060</v>
      </c>
      <c r="S71">
        <f t="shared" ref="S71:S105" si="24">(H71/10)*2</f>
        <v>616520</v>
      </c>
      <c r="T71">
        <f t="shared" ref="T71:T105" si="25">M71-R71</f>
        <v>15096240</v>
      </c>
      <c r="U71">
        <f t="shared" ref="U71:U105" si="26">N71-S71</f>
        <v>16842780</v>
      </c>
      <c r="V71">
        <f t="shared" ref="V71:V105" si="27">F71-P71</f>
        <v>16522194.736842105</v>
      </c>
      <c r="W71">
        <f t="shared" ref="W71:W105" si="28">K71-Q71</f>
        <v>18218394.736842103</v>
      </c>
      <c r="Y71" s="30">
        <f t="shared" si="14"/>
        <v>0.66586096546548112</v>
      </c>
      <c r="Z71" s="30">
        <f t="shared" si="17"/>
        <v>0.91935745719552686</v>
      </c>
      <c r="AA71" s="30">
        <f t="shared" si="18"/>
        <v>0.91369459326959557</v>
      </c>
      <c r="AB71" s="30">
        <f t="shared" si="19"/>
        <v>0.92449308752432124</v>
      </c>
      <c r="AC71">
        <f t="shared" si="20"/>
        <v>1056737</v>
      </c>
      <c r="AD71" s="30">
        <f t="shared" ref="AD71:AD73" si="29">AC71/(Y71*O71)</f>
        <v>4.7824096120204045E-2</v>
      </c>
    </row>
    <row r="72" spans="1:30" x14ac:dyDescent="0.2">
      <c r="A72">
        <v>1967</v>
      </c>
      <c r="B72">
        <v>7558100</v>
      </c>
      <c r="C72">
        <v>3279200</v>
      </c>
      <c r="D72">
        <v>10297900</v>
      </c>
      <c r="E72">
        <v>2316200</v>
      </c>
      <c r="F72">
        <v>23451400</v>
      </c>
      <c r="G72">
        <v>7197600</v>
      </c>
      <c r="H72">
        <v>3213300</v>
      </c>
      <c r="I72">
        <v>10634500</v>
      </c>
      <c r="J72">
        <v>3775300</v>
      </c>
      <c r="K72">
        <v>24820700</v>
      </c>
      <c r="L72">
        <v>48272100</v>
      </c>
      <c r="M72">
        <v>15893300</v>
      </c>
      <c r="N72">
        <v>17623100</v>
      </c>
      <c r="O72">
        <v>33516400</v>
      </c>
      <c r="P72">
        <f t="shared" si="21"/>
        <v>6762510.5263157897</v>
      </c>
      <c r="Q72">
        <f t="shared" si="22"/>
        <v>6439957.8947368423</v>
      </c>
      <c r="R72">
        <f t="shared" si="23"/>
        <v>655840</v>
      </c>
      <c r="S72">
        <f t="shared" si="24"/>
        <v>642660</v>
      </c>
      <c r="T72">
        <f t="shared" si="25"/>
        <v>15237460</v>
      </c>
      <c r="U72">
        <f t="shared" si="26"/>
        <v>16980440</v>
      </c>
      <c r="V72">
        <f t="shared" si="27"/>
        <v>16688889.47368421</v>
      </c>
      <c r="W72">
        <f t="shared" si="28"/>
        <v>18380742.105263159</v>
      </c>
      <c r="Y72" s="30">
        <f t="shared" si="14"/>
        <v>0.66742279701939633</v>
      </c>
      <c r="Z72" s="30">
        <f t="shared" si="17"/>
        <v>0.91868373146356952</v>
      </c>
      <c r="AA72" s="30">
        <f t="shared" si="18"/>
        <v>0.91303019437135768</v>
      </c>
      <c r="AB72" s="30">
        <f t="shared" si="19"/>
        <v>0.92381688958781516</v>
      </c>
      <c r="AC72">
        <f t="shared" si="20"/>
        <v>1066622</v>
      </c>
      <c r="AD72" s="30">
        <f t="shared" si="29"/>
        <v>4.7681744428573904E-2</v>
      </c>
    </row>
    <row r="73" spans="1:30" x14ac:dyDescent="0.2">
      <c r="A73">
        <v>1968</v>
      </c>
      <c r="B73">
        <v>7577800</v>
      </c>
      <c r="C73">
        <v>3363500</v>
      </c>
      <c r="D73">
        <v>10249200</v>
      </c>
      <c r="E73">
        <v>2363100</v>
      </c>
      <c r="F73">
        <v>23553600</v>
      </c>
      <c r="G73">
        <v>7229200</v>
      </c>
      <c r="H73">
        <v>3305000</v>
      </c>
      <c r="I73">
        <v>10580400</v>
      </c>
      <c r="J73">
        <v>3842500</v>
      </c>
      <c r="K73">
        <v>24957100</v>
      </c>
      <c r="L73">
        <v>48510700</v>
      </c>
      <c r="M73">
        <v>15975800</v>
      </c>
      <c r="N73">
        <v>17727900</v>
      </c>
      <c r="O73">
        <v>33703700</v>
      </c>
      <c r="P73">
        <f t="shared" si="21"/>
        <v>6780136.8421052629</v>
      </c>
      <c r="Q73">
        <f t="shared" si="22"/>
        <v>6468231.5789473681</v>
      </c>
      <c r="R73">
        <f t="shared" si="23"/>
        <v>672700</v>
      </c>
      <c r="S73">
        <f t="shared" si="24"/>
        <v>661000</v>
      </c>
      <c r="T73">
        <f t="shared" si="25"/>
        <v>15303100</v>
      </c>
      <c r="U73">
        <f t="shared" si="26"/>
        <v>17066900</v>
      </c>
      <c r="V73">
        <f t="shared" si="27"/>
        <v>16773463.157894738</v>
      </c>
      <c r="W73">
        <f t="shared" si="28"/>
        <v>18488868.421052631</v>
      </c>
      <c r="Y73" s="30">
        <f t="shared" si="14"/>
        <v>0.66727546706190588</v>
      </c>
      <c r="Z73" s="30">
        <f t="shared" si="17"/>
        <v>0.91797673467870822</v>
      </c>
      <c r="AA73" s="30">
        <f t="shared" si="18"/>
        <v>0.91233991787780067</v>
      </c>
      <c r="AB73" s="30">
        <f t="shared" si="19"/>
        <v>0.92309056516225274</v>
      </c>
      <c r="AC73">
        <f t="shared" si="20"/>
        <v>1071217</v>
      </c>
      <c r="AD73" s="30">
        <f t="shared" si="29"/>
        <v>4.7631550386656639E-2</v>
      </c>
    </row>
    <row r="74" spans="1:30" x14ac:dyDescent="0.2">
      <c r="A74">
        <v>1969</v>
      </c>
      <c r="B74">
        <v>7616900</v>
      </c>
      <c r="C74">
        <v>3424300</v>
      </c>
      <c r="D74">
        <v>10205700</v>
      </c>
      <c r="E74">
        <v>2419500</v>
      </c>
      <c r="F74">
        <v>23666400</v>
      </c>
      <c r="G74">
        <v>7263800</v>
      </c>
      <c r="H74">
        <v>3364200</v>
      </c>
      <c r="I74">
        <v>10527500</v>
      </c>
      <c r="J74">
        <v>3916300</v>
      </c>
      <c r="K74">
        <v>25071800</v>
      </c>
      <c r="L74">
        <v>48738200</v>
      </c>
      <c r="M74">
        <v>16049500</v>
      </c>
      <c r="N74">
        <v>17808000</v>
      </c>
      <c r="O74">
        <v>33857500</v>
      </c>
      <c r="P74">
        <f t="shared" si="21"/>
        <v>6815121.0526315793</v>
      </c>
      <c r="Q74">
        <f t="shared" si="22"/>
        <v>6499189.4736842103</v>
      </c>
      <c r="R74">
        <f t="shared" si="23"/>
        <v>684860</v>
      </c>
      <c r="S74">
        <f t="shared" si="24"/>
        <v>672840</v>
      </c>
      <c r="T74">
        <f t="shared" si="25"/>
        <v>15364640</v>
      </c>
      <c r="U74">
        <f t="shared" si="26"/>
        <v>17135160</v>
      </c>
      <c r="V74">
        <f t="shared" si="27"/>
        <v>16851278.947368421</v>
      </c>
      <c r="W74">
        <f t="shared" si="28"/>
        <v>18572610.52631579</v>
      </c>
      <c r="Y74" s="30">
        <f>(V74+W74)/L74</f>
        <v>0.72681981430754949</v>
      </c>
      <c r="Z74" s="30">
        <v>1</v>
      </c>
      <c r="AA74" s="30">
        <v>1</v>
      </c>
      <c r="AB74" s="30">
        <v>1</v>
      </c>
    </row>
    <row r="75" spans="1:30" x14ac:dyDescent="0.2">
      <c r="A75">
        <v>1970</v>
      </c>
      <c r="B75">
        <v>7638000</v>
      </c>
      <c r="C75">
        <v>3480200</v>
      </c>
      <c r="D75">
        <v>10150000</v>
      </c>
      <c r="E75">
        <v>2470000</v>
      </c>
      <c r="F75">
        <v>23738200</v>
      </c>
      <c r="G75">
        <v>7291000</v>
      </c>
      <c r="H75">
        <v>3415600</v>
      </c>
      <c r="I75">
        <v>10464100</v>
      </c>
      <c r="J75">
        <v>3982400</v>
      </c>
      <c r="K75">
        <v>25153100</v>
      </c>
      <c r="L75">
        <v>48891300</v>
      </c>
      <c r="M75">
        <v>16100200</v>
      </c>
      <c r="N75">
        <v>17862100</v>
      </c>
      <c r="O75">
        <v>33962300</v>
      </c>
      <c r="P75">
        <f t="shared" si="21"/>
        <v>6834000</v>
      </c>
      <c r="Q75">
        <f t="shared" si="22"/>
        <v>6523526.3157894742</v>
      </c>
      <c r="R75">
        <f t="shared" si="23"/>
        <v>696040</v>
      </c>
      <c r="S75">
        <f t="shared" si="24"/>
        <v>683120</v>
      </c>
      <c r="T75">
        <f t="shared" si="25"/>
        <v>15404160</v>
      </c>
      <c r="U75">
        <f t="shared" si="26"/>
        <v>17178980</v>
      </c>
      <c r="V75">
        <f t="shared" si="27"/>
        <v>16904200</v>
      </c>
      <c r="W75">
        <f t="shared" si="28"/>
        <v>18629573.684210524</v>
      </c>
      <c r="Y75" s="30">
        <f t="shared" ref="Y75:Y105" si="30">(V75+W75)/L75</f>
        <v>0.72679134496752029</v>
      </c>
      <c r="Z75" s="30">
        <v>1</v>
      </c>
      <c r="AA75" s="30">
        <v>1</v>
      </c>
      <c r="AB75" s="30">
        <v>1</v>
      </c>
    </row>
    <row r="76" spans="1:30" x14ac:dyDescent="0.2">
      <c r="A76">
        <v>1971</v>
      </c>
      <c r="B76">
        <v>7695400</v>
      </c>
      <c r="C76">
        <v>3557400</v>
      </c>
      <c r="D76">
        <v>10117300</v>
      </c>
      <c r="E76">
        <v>2526900</v>
      </c>
      <c r="F76">
        <v>23897000</v>
      </c>
      <c r="G76">
        <v>7304900</v>
      </c>
      <c r="H76">
        <v>3483000</v>
      </c>
      <c r="I76">
        <v>10402200</v>
      </c>
      <c r="J76">
        <v>4064900</v>
      </c>
      <c r="K76">
        <v>25255000</v>
      </c>
      <c r="L76">
        <v>49152000</v>
      </c>
      <c r="M76">
        <v>16201600</v>
      </c>
      <c r="N76">
        <v>17950100</v>
      </c>
      <c r="O76">
        <v>34151700</v>
      </c>
      <c r="P76">
        <f t="shared" si="21"/>
        <v>6885357.8947368423</v>
      </c>
      <c r="Q76">
        <f t="shared" si="22"/>
        <v>6535963.1578947371</v>
      </c>
      <c r="R76">
        <f t="shared" si="23"/>
        <v>711480</v>
      </c>
      <c r="S76">
        <f t="shared" si="24"/>
        <v>696600</v>
      </c>
      <c r="T76">
        <f t="shared" si="25"/>
        <v>15490120</v>
      </c>
      <c r="U76">
        <f t="shared" si="26"/>
        <v>17253500</v>
      </c>
      <c r="V76">
        <f t="shared" si="27"/>
        <v>17011642.105263159</v>
      </c>
      <c r="W76">
        <f t="shared" si="28"/>
        <v>18719036.842105262</v>
      </c>
      <c r="Y76" s="30">
        <f t="shared" si="30"/>
        <v>0.72694252415707239</v>
      </c>
      <c r="Z76" s="30">
        <v>1</v>
      </c>
      <c r="AA76" s="30">
        <v>1</v>
      </c>
      <c r="AB76" s="30">
        <v>1</v>
      </c>
    </row>
    <row r="77" spans="1:30" x14ac:dyDescent="0.2">
      <c r="A77">
        <v>1972</v>
      </c>
      <c r="B77">
        <v>7731700</v>
      </c>
      <c r="C77">
        <v>3601200</v>
      </c>
      <c r="D77">
        <v>10077700</v>
      </c>
      <c r="E77">
        <v>2578000</v>
      </c>
      <c r="F77">
        <v>23988600</v>
      </c>
      <c r="G77">
        <v>7340300</v>
      </c>
      <c r="H77">
        <v>3521100</v>
      </c>
      <c r="I77">
        <v>10350200</v>
      </c>
      <c r="J77">
        <v>4126900</v>
      </c>
      <c r="K77">
        <v>25338500</v>
      </c>
      <c r="L77">
        <v>49327100</v>
      </c>
      <c r="M77">
        <v>16256900</v>
      </c>
      <c r="N77">
        <v>17998200</v>
      </c>
      <c r="O77">
        <v>34255100</v>
      </c>
      <c r="P77">
        <f t="shared" si="21"/>
        <v>6917836.8421052629</v>
      </c>
      <c r="Q77">
        <f t="shared" si="22"/>
        <v>6567636.8421052629</v>
      </c>
      <c r="R77">
        <f t="shared" si="23"/>
        <v>720240</v>
      </c>
      <c r="S77">
        <f t="shared" si="24"/>
        <v>704220</v>
      </c>
      <c r="T77">
        <f t="shared" si="25"/>
        <v>15536660</v>
      </c>
      <c r="U77">
        <f t="shared" si="26"/>
        <v>17293980</v>
      </c>
      <c r="V77">
        <f t="shared" si="27"/>
        <v>17070763.157894738</v>
      </c>
      <c r="W77">
        <f t="shared" si="28"/>
        <v>18770863.157894738</v>
      </c>
      <c r="Y77" s="30">
        <f t="shared" si="30"/>
        <v>0.72661126066177573</v>
      </c>
      <c r="Z77" s="30">
        <v>1</v>
      </c>
      <c r="AA77" s="30">
        <v>1</v>
      </c>
      <c r="AB77" s="30">
        <v>1</v>
      </c>
    </row>
    <row r="78" spans="1:30" x14ac:dyDescent="0.2">
      <c r="A78">
        <v>1973</v>
      </c>
      <c r="B78">
        <v>7740900</v>
      </c>
      <c r="C78">
        <v>3618600</v>
      </c>
      <c r="D78">
        <v>10070800</v>
      </c>
      <c r="E78">
        <v>2630200</v>
      </c>
      <c r="F78">
        <v>24060500</v>
      </c>
      <c r="G78">
        <v>7352000</v>
      </c>
      <c r="H78">
        <v>3537400</v>
      </c>
      <c r="I78">
        <v>10323100</v>
      </c>
      <c r="J78">
        <v>4186000</v>
      </c>
      <c r="K78">
        <v>25398500</v>
      </c>
      <c r="L78">
        <v>49459000</v>
      </c>
      <c r="M78">
        <v>16319600</v>
      </c>
      <c r="N78">
        <v>18046500</v>
      </c>
      <c r="O78">
        <v>34366100</v>
      </c>
      <c r="P78">
        <f t="shared" si="21"/>
        <v>6926068.4210526319</v>
      </c>
      <c r="Q78">
        <f t="shared" si="22"/>
        <v>6578105.2631578948</v>
      </c>
      <c r="R78">
        <f t="shared" si="23"/>
        <v>723720</v>
      </c>
      <c r="S78">
        <f t="shared" si="24"/>
        <v>707480</v>
      </c>
      <c r="T78">
        <f t="shared" si="25"/>
        <v>15595880</v>
      </c>
      <c r="U78">
        <f t="shared" si="26"/>
        <v>17339020</v>
      </c>
      <c r="V78">
        <f t="shared" si="27"/>
        <v>17134431.578947369</v>
      </c>
      <c r="W78">
        <f t="shared" si="28"/>
        <v>18820394.736842103</v>
      </c>
      <c r="Y78" s="30">
        <f t="shared" si="30"/>
        <v>0.7269622579467736</v>
      </c>
      <c r="Z78" s="30">
        <v>1</v>
      </c>
      <c r="AA78" s="30">
        <v>1</v>
      </c>
      <c r="AB78" s="30">
        <v>1</v>
      </c>
    </row>
    <row r="79" spans="1:30" x14ac:dyDescent="0.2">
      <c r="A79">
        <v>1974</v>
      </c>
      <c r="B79">
        <v>7711300</v>
      </c>
      <c r="C79">
        <v>3619500</v>
      </c>
      <c r="D79">
        <v>10061500</v>
      </c>
      <c r="E79">
        <v>2682200</v>
      </c>
      <c r="F79">
        <v>24074500</v>
      </c>
      <c r="G79">
        <v>7324800</v>
      </c>
      <c r="H79">
        <v>3530200</v>
      </c>
      <c r="I79">
        <v>10291400</v>
      </c>
      <c r="J79">
        <v>4247000</v>
      </c>
      <c r="K79">
        <v>25393400</v>
      </c>
      <c r="L79">
        <v>49467900</v>
      </c>
      <c r="M79">
        <v>16363200</v>
      </c>
      <c r="N79">
        <v>18068600</v>
      </c>
      <c r="O79">
        <v>34431800</v>
      </c>
      <c r="P79">
        <f t="shared" si="21"/>
        <v>6899584.2105263155</v>
      </c>
      <c r="Q79">
        <f t="shared" si="22"/>
        <v>6553768.4210526319</v>
      </c>
      <c r="R79">
        <f t="shared" si="23"/>
        <v>723900</v>
      </c>
      <c r="S79">
        <f t="shared" si="24"/>
        <v>706040</v>
      </c>
      <c r="T79">
        <f t="shared" si="25"/>
        <v>15639300</v>
      </c>
      <c r="U79">
        <f t="shared" si="26"/>
        <v>17362560</v>
      </c>
      <c r="V79">
        <f t="shared" si="27"/>
        <v>17174915.789473683</v>
      </c>
      <c r="W79">
        <f t="shared" si="28"/>
        <v>18839631.578947369</v>
      </c>
      <c r="Y79" s="30">
        <f t="shared" si="30"/>
        <v>0.72803873559259735</v>
      </c>
      <c r="Z79" s="30">
        <v>1</v>
      </c>
      <c r="AA79" s="30">
        <v>1</v>
      </c>
      <c r="AB79" s="30">
        <v>1</v>
      </c>
    </row>
    <row r="80" spans="1:30" x14ac:dyDescent="0.2">
      <c r="A80">
        <v>1975</v>
      </c>
      <c r="B80">
        <v>7683600</v>
      </c>
      <c r="C80">
        <v>3617900</v>
      </c>
      <c r="D80">
        <v>10058300</v>
      </c>
      <c r="E80">
        <v>2731600</v>
      </c>
      <c r="F80">
        <v>24091400</v>
      </c>
      <c r="G80">
        <v>7294800</v>
      </c>
      <c r="H80">
        <v>3521200</v>
      </c>
      <c r="I80">
        <v>10260500</v>
      </c>
      <c r="J80">
        <v>4301900</v>
      </c>
      <c r="K80">
        <v>25378400</v>
      </c>
      <c r="L80">
        <v>49469800</v>
      </c>
      <c r="M80">
        <v>16407800</v>
      </c>
      <c r="N80">
        <v>18083600</v>
      </c>
      <c r="O80">
        <v>34491400</v>
      </c>
      <c r="P80">
        <f t="shared" si="21"/>
        <v>6874800</v>
      </c>
      <c r="Q80">
        <f t="shared" si="22"/>
        <v>6526926.3157894742</v>
      </c>
      <c r="R80">
        <f t="shared" si="23"/>
        <v>723580</v>
      </c>
      <c r="S80">
        <f t="shared" si="24"/>
        <v>704240</v>
      </c>
      <c r="T80">
        <f t="shared" si="25"/>
        <v>15684220</v>
      </c>
      <c r="U80">
        <f t="shared" si="26"/>
        <v>17379360</v>
      </c>
      <c r="V80">
        <f t="shared" si="27"/>
        <v>17216600</v>
      </c>
      <c r="W80">
        <f t="shared" si="28"/>
        <v>18851473.684210524</v>
      </c>
      <c r="Y80" s="30">
        <f t="shared" si="30"/>
        <v>0.72909277345391577</v>
      </c>
      <c r="Z80" s="30">
        <v>1</v>
      </c>
      <c r="AA80" s="30">
        <v>1</v>
      </c>
      <c r="AB80" s="30">
        <v>1</v>
      </c>
    </row>
    <row r="81" spans="1:28" x14ac:dyDescent="0.2">
      <c r="A81">
        <v>1976</v>
      </c>
      <c r="B81">
        <v>7630000</v>
      </c>
      <c r="C81">
        <v>3627800</v>
      </c>
      <c r="D81">
        <v>10058700</v>
      </c>
      <c r="E81">
        <v>2772600</v>
      </c>
      <c r="F81">
        <v>24089100</v>
      </c>
      <c r="G81">
        <v>7244100</v>
      </c>
      <c r="H81">
        <v>3526000</v>
      </c>
      <c r="I81">
        <v>10253500</v>
      </c>
      <c r="J81">
        <v>4346500</v>
      </c>
      <c r="K81">
        <v>25370100</v>
      </c>
      <c r="L81">
        <v>49459200</v>
      </c>
      <c r="M81">
        <v>16459100</v>
      </c>
      <c r="N81">
        <v>18126000</v>
      </c>
      <c r="O81">
        <v>34585100</v>
      </c>
      <c r="P81">
        <f t="shared" si="21"/>
        <v>6826842.1052631577</v>
      </c>
      <c r="Q81">
        <f t="shared" si="22"/>
        <v>6481563.1578947371</v>
      </c>
      <c r="R81">
        <f t="shared" si="23"/>
        <v>725560</v>
      </c>
      <c r="S81">
        <f t="shared" si="24"/>
        <v>705200</v>
      </c>
      <c r="T81">
        <f t="shared" si="25"/>
        <v>15733540</v>
      </c>
      <c r="U81">
        <f t="shared" si="26"/>
        <v>17420800</v>
      </c>
      <c r="V81">
        <f t="shared" si="27"/>
        <v>17262257.894736841</v>
      </c>
      <c r="W81">
        <f t="shared" si="28"/>
        <v>18888536.842105262</v>
      </c>
      <c r="Y81" s="30">
        <f t="shared" si="30"/>
        <v>0.73092154213659144</v>
      </c>
      <c r="Z81" s="30">
        <v>1</v>
      </c>
      <c r="AA81" s="30">
        <v>1</v>
      </c>
      <c r="AB81" s="30">
        <v>1</v>
      </c>
    </row>
    <row r="82" spans="1:28" x14ac:dyDescent="0.2">
      <c r="A82">
        <v>1977</v>
      </c>
      <c r="B82">
        <v>7551500</v>
      </c>
      <c r="C82">
        <v>3551000</v>
      </c>
      <c r="D82">
        <v>10155900</v>
      </c>
      <c r="E82">
        <v>2817800</v>
      </c>
      <c r="F82">
        <v>24076200</v>
      </c>
      <c r="G82">
        <v>7173200</v>
      </c>
      <c r="H82">
        <v>3452600</v>
      </c>
      <c r="I82">
        <v>10342000</v>
      </c>
      <c r="J82">
        <v>4396400</v>
      </c>
      <c r="K82">
        <v>25364200</v>
      </c>
      <c r="L82">
        <v>49440400</v>
      </c>
      <c r="M82">
        <v>16524700</v>
      </c>
      <c r="N82">
        <v>18191000</v>
      </c>
      <c r="O82">
        <v>34715700</v>
      </c>
      <c r="P82">
        <f t="shared" si="21"/>
        <v>6756605.2631578948</v>
      </c>
      <c r="Q82">
        <f t="shared" si="22"/>
        <v>6418126.3157894742</v>
      </c>
      <c r="R82">
        <f t="shared" si="23"/>
        <v>710200</v>
      </c>
      <c r="S82">
        <f t="shared" si="24"/>
        <v>690520</v>
      </c>
      <c r="T82">
        <f t="shared" si="25"/>
        <v>15814500</v>
      </c>
      <c r="U82">
        <f t="shared" si="26"/>
        <v>17500480</v>
      </c>
      <c r="V82">
        <f t="shared" si="27"/>
        <v>17319594.736842103</v>
      </c>
      <c r="W82">
        <f t="shared" si="28"/>
        <v>18946073.684210524</v>
      </c>
      <c r="Y82" s="30">
        <f t="shared" si="30"/>
        <v>0.73352295735982365</v>
      </c>
      <c r="Z82" s="30">
        <v>1</v>
      </c>
      <c r="AA82" s="30">
        <v>1</v>
      </c>
      <c r="AB82" s="30">
        <v>1</v>
      </c>
    </row>
    <row r="83" spans="1:28" x14ac:dyDescent="0.2">
      <c r="A83">
        <v>1978</v>
      </c>
      <c r="B83">
        <v>7476000</v>
      </c>
      <c r="C83">
        <v>3518000</v>
      </c>
      <c r="D83">
        <v>10210200</v>
      </c>
      <c r="E83">
        <v>2863100</v>
      </c>
      <c r="F83">
        <v>24067300</v>
      </c>
      <c r="G83">
        <v>7107100</v>
      </c>
      <c r="H83">
        <v>3425900</v>
      </c>
      <c r="I83">
        <v>10389500</v>
      </c>
      <c r="J83">
        <v>4452700</v>
      </c>
      <c r="K83">
        <v>25375200</v>
      </c>
      <c r="L83">
        <v>49442500</v>
      </c>
      <c r="M83">
        <v>16591300</v>
      </c>
      <c r="N83">
        <v>18268100</v>
      </c>
      <c r="O83">
        <v>34859400</v>
      </c>
      <c r="P83">
        <f t="shared" si="21"/>
        <v>6689052.6315789474</v>
      </c>
      <c r="Q83">
        <f t="shared" si="22"/>
        <v>6358984.2105263155</v>
      </c>
      <c r="R83">
        <f t="shared" si="23"/>
        <v>703600</v>
      </c>
      <c r="S83">
        <f t="shared" si="24"/>
        <v>685180</v>
      </c>
      <c r="T83">
        <f t="shared" si="25"/>
        <v>15887700</v>
      </c>
      <c r="U83">
        <f t="shared" si="26"/>
        <v>17582920</v>
      </c>
      <c r="V83">
        <f t="shared" si="27"/>
        <v>17378247.368421052</v>
      </c>
      <c r="W83">
        <f t="shared" si="28"/>
        <v>19016215.789473683</v>
      </c>
      <c r="Y83" s="30">
        <f t="shared" si="30"/>
        <v>0.73609674182929119</v>
      </c>
      <c r="Z83" s="30">
        <v>1</v>
      </c>
      <c r="AA83" s="30">
        <v>1</v>
      </c>
      <c r="AB83" s="30">
        <v>1</v>
      </c>
    </row>
    <row r="84" spans="1:28" x14ac:dyDescent="0.2">
      <c r="A84">
        <v>1979</v>
      </c>
      <c r="B84">
        <v>7426600</v>
      </c>
      <c r="C84">
        <v>3525500</v>
      </c>
      <c r="D84">
        <v>10253900</v>
      </c>
      <c r="E84">
        <v>2907100</v>
      </c>
      <c r="F84">
        <v>24113100</v>
      </c>
      <c r="G84">
        <v>7052000</v>
      </c>
      <c r="H84">
        <v>3428700</v>
      </c>
      <c r="I84">
        <v>10411900</v>
      </c>
      <c r="J84">
        <v>4502500</v>
      </c>
      <c r="K84">
        <v>25395100</v>
      </c>
      <c r="L84">
        <v>49508200</v>
      </c>
      <c r="M84">
        <v>16686500</v>
      </c>
      <c r="N84">
        <v>18343100</v>
      </c>
      <c r="O84">
        <v>35029600</v>
      </c>
      <c r="P84">
        <f t="shared" si="21"/>
        <v>6644852.6315789474</v>
      </c>
      <c r="Q84">
        <f t="shared" si="22"/>
        <v>6309684.2105263155</v>
      </c>
      <c r="R84">
        <f t="shared" si="23"/>
        <v>705100</v>
      </c>
      <c r="S84">
        <f t="shared" si="24"/>
        <v>685740</v>
      </c>
      <c r="T84">
        <f t="shared" si="25"/>
        <v>15981400</v>
      </c>
      <c r="U84">
        <f t="shared" si="26"/>
        <v>17657360</v>
      </c>
      <c r="V84">
        <f t="shared" si="27"/>
        <v>17468247.368421052</v>
      </c>
      <c r="W84">
        <f t="shared" si="28"/>
        <v>19085415.789473683</v>
      </c>
      <c r="Y84" s="30">
        <f t="shared" si="30"/>
        <v>0.73833553144518949</v>
      </c>
      <c r="Z84" s="30">
        <v>1</v>
      </c>
      <c r="AA84" s="30">
        <v>1</v>
      </c>
      <c r="AB84" s="30">
        <v>1</v>
      </c>
    </row>
    <row r="85" spans="1:28" x14ac:dyDescent="0.2">
      <c r="A85">
        <v>1980</v>
      </c>
      <c r="B85">
        <v>7370100</v>
      </c>
      <c r="C85">
        <v>3551300</v>
      </c>
      <c r="D85">
        <v>10283700</v>
      </c>
      <c r="E85">
        <v>2950400</v>
      </c>
      <c r="F85">
        <v>24155500</v>
      </c>
      <c r="G85">
        <v>6999900</v>
      </c>
      <c r="H85">
        <v>3461400</v>
      </c>
      <c r="I85">
        <v>10431200</v>
      </c>
      <c r="J85">
        <v>4555000</v>
      </c>
      <c r="K85">
        <v>25447500</v>
      </c>
      <c r="L85">
        <v>49603000</v>
      </c>
      <c r="M85">
        <v>16785400</v>
      </c>
      <c r="N85">
        <v>18447600</v>
      </c>
      <c r="O85">
        <v>35233000</v>
      </c>
      <c r="P85">
        <f t="shared" si="21"/>
        <v>6594300</v>
      </c>
      <c r="Q85">
        <f t="shared" si="22"/>
        <v>6263068.4210526319</v>
      </c>
      <c r="R85">
        <f t="shared" si="23"/>
        <v>710260</v>
      </c>
      <c r="S85">
        <f t="shared" si="24"/>
        <v>692280</v>
      </c>
      <c r="T85">
        <f t="shared" si="25"/>
        <v>16075140</v>
      </c>
      <c r="U85">
        <f t="shared" si="26"/>
        <v>17755320</v>
      </c>
      <c r="V85">
        <f t="shared" si="27"/>
        <v>17561200</v>
      </c>
      <c r="W85">
        <f t="shared" si="28"/>
        <v>19184431.578947369</v>
      </c>
      <c r="Y85" s="30">
        <f t="shared" si="30"/>
        <v>0.74079454022836044</v>
      </c>
      <c r="Z85" s="30">
        <v>1</v>
      </c>
      <c r="AA85" s="30">
        <v>1</v>
      </c>
      <c r="AB85" s="30">
        <v>1</v>
      </c>
    </row>
    <row r="86" spans="1:28" x14ac:dyDescent="0.2">
      <c r="A86">
        <v>1981</v>
      </c>
      <c r="B86">
        <v>7295000</v>
      </c>
      <c r="C86">
        <v>3596500</v>
      </c>
      <c r="D86">
        <v>10298000</v>
      </c>
      <c r="E86">
        <v>2970600</v>
      </c>
      <c r="F86">
        <v>24160100</v>
      </c>
      <c r="G86">
        <v>6925300</v>
      </c>
      <c r="H86">
        <v>3518700</v>
      </c>
      <c r="I86">
        <v>10452500</v>
      </c>
      <c r="J86">
        <v>4577700</v>
      </c>
      <c r="K86">
        <v>25474200</v>
      </c>
      <c r="L86">
        <v>49634300</v>
      </c>
      <c r="M86">
        <v>16865100</v>
      </c>
      <c r="N86">
        <v>18548900</v>
      </c>
      <c r="O86">
        <v>35414000</v>
      </c>
      <c r="P86">
        <f t="shared" si="21"/>
        <v>6527105.2631578948</v>
      </c>
      <c r="Q86">
        <f t="shared" si="22"/>
        <v>6196321.0526315793</v>
      </c>
      <c r="R86">
        <f t="shared" si="23"/>
        <v>719300</v>
      </c>
      <c r="S86">
        <f t="shared" si="24"/>
        <v>703740</v>
      </c>
      <c r="T86">
        <f t="shared" si="25"/>
        <v>16145800</v>
      </c>
      <c r="U86">
        <f t="shared" si="26"/>
        <v>17845160</v>
      </c>
      <c r="V86">
        <f t="shared" si="27"/>
        <v>17632994.736842103</v>
      </c>
      <c r="W86">
        <f t="shared" si="28"/>
        <v>19277878.947368421</v>
      </c>
      <c r="Y86" s="30">
        <f t="shared" si="30"/>
        <v>0.743656577894934</v>
      </c>
      <c r="Z86" s="30">
        <v>1</v>
      </c>
      <c r="AA86" s="30">
        <v>1</v>
      </c>
      <c r="AB86" s="30">
        <v>1</v>
      </c>
    </row>
    <row r="87" spans="1:28" x14ac:dyDescent="0.2">
      <c r="A87">
        <v>1982</v>
      </c>
      <c r="B87">
        <v>7196400</v>
      </c>
      <c r="C87">
        <v>3626900</v>
      </c>
      <c r="D87">
        <v>10326200</v>
      </c>
      <c r="E87">
        <v>2970200</v>
      </c>
      <c r="F87">
        <v>24119700</v>
      </c>
      <c r="G87">
        <v>6830800</v>
      </c>
      <c r="H87">
        <v>3570700</v>
      </c>
      <c r="I87">
        <v>10481000</v>
      </c>
      <c r="J87">
        <v>4579900</v>
      </c>
      <c r="K87">
        <v>25462400</v>
      </c>
      <c r="L87">
        <v>49582100</v>
      </c>
      <c r="M87">
        <v>16923300</v>
      </c>
      <c r="N87">
        <v>18631600</v>
      </c>
      <c r="O87">
        <v>35554900</v>
      </c>
      <c r="P87">
        <f t="shared" si="21"/>
        <v>6438884.2105263155</v>
      </c>
      <c r="Q87">
        <f t="shared" si="22"/>
        <v>6111768.4210526319</v>
      </c>
      <c r="R87">
        <f t="shared" si="23"/>
        <v>725380</v>
      </c>
      <c r="S87">
        <f t="shared" si="24"/>
        <v>714140</v>
      </c>
      <c r="T87">
        <f t="shared" si="25"/>
        <v>16197920</v>
      </c>
      <c r="U87">
        <f t="shared" si="26"/>
        <v>17917460</v>
      </c>
      <c r="V87">
        <f t="shared" si="27"/>
        <v>17680815.789473683</v>
      </c>
      <c r="W87">
        <f t="shared" si="28"/>
        <v>19350631.578947369</v>
      </c>
      <c r="Y87" s="30">
        <f t="shared" si="30"/>
        <v>0.74687129767438343</v>
      </c>
      <c r="Z87" s="30">
        <v>1</v>
      </c>
      <c r="AA87" s="30">
        <v>1</v>
      </c>
      <c r="AB87" s="30">
        <v>1</v>
      </c>
    </row>
    <row r="88" spans="1:28" x14ac:dyDescent="0.2">
      <c r="A88">
        <v>1983</v>
      </c>
      <c r="B88">
        <v>7091500</v>
      </c>
      <c r="C88">
        <v>3694100</v>
      </c>
      <c r="D88">
        <v>10400300</v>
      </c>
      <c r="E88">
        <v>2947200</v>
      </c>
      <c r="F88">
        <v>24133100</v>
      </c>
      <c r="G88">
        <v>6737200</v>
      </c>
      <c r="H88">
        <v>3640900</v>
      </c>
      <c r="I88">
        <v>10547700</v>
      </c>
      <c r="J88">
        <v>4557900</v>
      </c>
      <c r="K88">
        <v>25483700</v>
      </c>
      <c r="L88">
        <v>49616800</v>
      </c>
      <c r="M88">
        <v>17041600</v>
      </c>
      <c r="N88">
        <v>18746500</v>
      </c>
      <c r="O88">
        <v>35788100</v>
      </c>
      <c r="P88">
        <f t="shared" si="21"/>
        <v>6345026.3157894742</v>
      </c>
      <c r="Q88">
        <f t="shared" si="22"/>
        <v>6028021.0526315793</v>
      </c>
      <c r="R88">
        <f t="shared" si="23"/>
        <v>738820</v>
      </c>
      <c r="S88">
        <f t="shared" si="24"/>
        <v>728180</v>
      </c>
      <c r="T88">
        <f t="shared" si="25"/>
        <v>16302780</v>
      </c>
      <c r="U88">
        <f t="shared" si="26"/>
        <v>18018320</v>
      </c>
      <c r="V88">
        <f t="shared" si="27"/>
        <v>17788073.684210524</v>
      </c>
      <c r="W88">
        <f t="shared" si="28"/>
        <v>19455678.947368421</v>
      </c>
      <c r="Y88" s="30">
        <f t="shared" si="30"/>
        <v>0.75062786458576414</v>
      </c>
      <c r="Z88" s="30">
        <v>1</v>
      </c>
      <c r="AA88" s="30">
        <v>1</v>
      </c>
      <c r="AB88" s="30">
        <v>1</v>
      </c>
    </row>
    <row r="89" spans="1:28" x14ac:dyDescent="0.2">
      <c r="A89">
        <v>1984</v>
      </c>
      <c r="B89">
        <v>6965400</v>
      </c>
      <c r="C89">
        <v>3800600</v>
      </c>
      <c r="D89">
        <v>10482500</v>
      </c>
      <c r="E89">
        <v>2936200</v>
      </c>
      <c r="F89">
        <v>24184700</v>
      </c>
      <c r="G89">
        <v>6632800</v>
      </c>
      <c r="H89">
        <v>3732500</v>
      </c>
      <c r="I89">
        <v>10616800</v>
      </c>
      <c r="J89">
        <v>4546300</v>
      </c>
      <c r="K89">
        <v>25528400</v>
      </c>
      <c r="L89">
        <v>49713100</v>
      </c>
      <c r="M89">
        <v>17219300</v>
      </c>
      <c r="N89">
        <v>18895600</v>
      </c>
      <c r="O89">
        <v>36114900</v>
      </c>
      <c r="P89">
        <f t="shared" si="21"/>
        <v>6232200</v>
      </c>
      <c r="Q89">
        <f t="shared" si="22"/>
        <v>5934610.5263157897</v>
      </c>
      <c r="R89">
        <f t="shared" si="23"/>
        <v>760120</v>
      </c>
      <c r="S89">
        <f t="shared" si="24"/>
        <v>746500</v>
      </c>
      <c r="T89">
        <f t="shared" si="25"/>
        <v>16459180</v>
      </c>
      <c r="U89">
        <f t="shared" si="26"/>
        <v>18149100</v>
      </c>
      <c r="V89">
        <f t="shared" si="27"/>
        <v>17952500</v>
      </c>
      <c r="W89">
        <f t="shared" si="28"/>
        <v>19593789.47368421</v>
      </c>
      <c r="Y89" s="30">
        <f t="shared" si="30"/>
        <v>0.75525946830280566</v>
      </c>
      <c r="Z89" s="30">
        <v>1</v>
      </c>
      <c r="AA89" s="30">
        <v>1</v>
      </c>
      <c r="AB89" s="30">
        <v>1</v>
      </c>
    </row>
    <row r="90" spans="1:28" x14ac:dyDescent="0.2">
      <c r="A90">
        <v>1985</v>
      </c>
      <c r="B90">
        <v>6875500</v>
      </c>
      <c r="C90">
        <v>3896900</v>
      </c>
      <c r="D90">
        <v>10467700</v>
      </c>
      <c r="E90">
        <v>3014200</v>
      </c>
      <c r="F90">
        <v>24254300</v>
      </c>
      <c r="G90">
        <v>6553800</v>
      </c>
      <c r="H90">
        <v>3834800</v>
      </c>
      <c r="I90">
        <v>10585000</v>
      </c>
      <c r="J90">
        <v>4632800</v>
      </c>
      <c r="K90">
        <v>25606400</v>
      </c>
      <c r="L90">
        <v>49860700</v>
      </c>
      <c r="M90">
        <v>17378800</v>
      </c>
      <c r="N90">
        <v>19052600</v>
      </c>
      <c r="O90">
        <v>36431400</v>
      </c>
      <c r="P90">
        <f t="shared" si="21"/>
        <v>6151763.1578947371</v>
      </c>
      <c r="Q90">
        <f t="shared" si="22"/>
        <v>5863926.3157894742</v>
      </c>
      <c r="R90">
        <f t="shared" si="23"/>
        <v>779380</v>
      </c>
      <c r="S90">
        <f t="shared" si="24"/>
        <v>766960</v>
      </c>
      <c r="T90">
        <f t="shared" si="25"/>
        <v>16599420</v>
      </c>
      <c r="U90">
        <f t="shared" si="26"/>
        <v>18285640</v>
      </c>
      <c r="V90">
        <f t="shared" si="27"/>
        <v>18102536.842105262</v>
      </c>
      <c r="W90">
        <f t="shared" si="28"/>
        <v>19742473.684210524</v>
      </c>
      <c r="Y90" s="30">
        <f t="shared" si="30"/>
        <v>0.75901482583108115</v>
      </c>
      <c r="Z90" s="30">
        <v>1</v>
      </c>
      <c r="AA90" s="30">
        <v>1</v>
      </c>
      <c r="AB90" s="30">
        <v>1</v>
      </c>
    </row>
    <row r="91" spans="1:28" x14ac:dyDescent="0.2">
      <c r="A91">
        <v>1986</v>
      </c>
      <c r="B91">
        <v>6804600</v>
      </c>
      <c r="C91">
        <v>3962700</v>
      </c>
      <c r="D91">
        <v>10472400</v>
      </c>
      <c r="E91">
        <v>3071700</v>
      </c>
      <c r="F91">
        <v>24311400</v>
      </c>
      <c r="G91">
        <v>6488100</v>
      </c>
      <c r="H91">
        <v>3921600</v>
      </c>
      <c r="I91">
        <v>10582100</v>
      </c>
      <c r="J91">
        <v>4695900</v>
      </c>
      <c r="K91">
        <v>25687700</v>
      </c>
      <c r="L91">
        <v>49999100</v>
      </c>
      <c r="M91">
        <v>17506800</v>
      </c>
      <c r="N91">
        <v>19199600</v>
      </c>
      <c r="O91">
        <v>36706400</v>
      </c>
      <c r="P91">
        <f t="shared" si="21"/>
        <v>6088326.3157894742</v>
      </c>
      <c r="Q91">
        <f t="shared" si="22"/>
        <v>5805142.1052631577</v>
      </c>
      <c r="R91">
        <f t="shared" si="23"/>
        <v>792540</v>
      </c>
      <c r="S91">
        <f t="shared" si="24"/>
        <v>784320</v>
      </c>
      <c r="T91">
        <f t="shared" si="25"/>
        <v>16714260</v>
      </c>
      <c r="U91">
        <f t="shared" si="26"/>
        <v>18415280</v>
      </c>
      <c r="V91">
        <f t="shared" si="27"/>
        <v>18223073.684210524</v>
      </c>
      <c r="W91">
        <f t="shared" si="28"/>
        <v>19882557.894736841</v>
      </c>
      <c r="Y91" s="30">
        <f t="shared" si="30"/>
        <v>0.76212634985324468</v>
      </c>
      <c r="Z91" s="30">
        <v>1</v>
      </c>
      <c r="AA91" s="30">
        <v>1</v>
      </c>
      <c r="AB91" s="30">
        <v>1</v>
      </c>
    </row>
    <row r="92" spans="1:28" x14ac:dyDescent="0.2">
      <c r="A92">
        <v>1987</v>
      </c>
      <c r="B92">
        <v>6735600</v>
      </c>
      <c r="C92">
        <v>4019900</v>
      </c>
      <c r="D92">
        <v>10491800</v>
      </c>
      <c r="E92">
        <v>3123300</v>
      </c>
      <c r="F92">
        <v>24370600</v>
      </c>
      <c r="G92">
        <v>6427000</v>
      </c>
      <c r="H92">
        <v>3981000</v>
      </c>
      <c r="I92">
        <v>10601900</v>
      </c>
      <c r="J92">
        <v>4742400</v>
      </c>
      <c r="K92">
        <v>25752300</v>
      </c>
      <c r="L92">
        <v>50122900</v>
      </c>
      <c r="M92">
        <v>17635000</v>
      </c>
      <c r="N92">
        <v>19325300</v>
      </c>
      <c r="O92">
        <v>36960300</v>
      </c>
      <c r="P92">
        <f t="shared" si="21"/>
        <v>6026589.4736842103</v>
      </c>
      <c r="Q92">
        <f t="shared" si="22"/>
        <v>5750473.6842105258</v>
      </c>
      <c r="R92">
        <f t="shared" si="23"/>
        <v>803980</v>
      </c>
      <c r="S92">
        <f t="shared" si="24"/>
        <v>796200</v>
      </c>
      <c r="T92">
        <f t="shared" si="25"/>
        <v>16831020</v>
      </c>
      <c r="U92">
        <f t="shared" si="26"/>
        <v>18529100</v>
      </c>
      <c r="V92">
        <f t="shared" si="27"/>
        <v>18344010.52631579</v>
      </c>
      <c r="W92">
        <f t="shared" si="28"/>
        <v>20001826.315789476</v>
      </c>
      <c r="Y92" s="30">
        <f t="shared" si="30"/>
        <v>0.76503627767158866</v>
      </c>
      <c r="Z92" s="30">
        <v>1</v>
      </c>
      <c r="AA92" s="30">
        <v>1</v>
      </c>
      <c r="AB92" s="30">
        <v>1</v>
      </c>
    </row>
    <row r="93" spans="1:28" x14ac:dyDescent="0.2">
      <c r="A93">
        <v>1988</v>
      </c>
      <c r="B93">
        <v>6688300</v>
      </c>
      <c r="C93">
        <v>4047500</v>
      </c>
      <c r="D93">
        <v>10540100</v>
      </c>
      <c r="E93">
        <v>3157600</v>
      </c>
      <c r="F93">
        <v>24433500</v>
      </c>
      <c r="G93">
        <v>6383500</v>
      </c>
      <c r="H93">
        <v>4011600</v>
      </c>
      <c r="I93">
        <v>10650700</v>
      </c>
      <c r="J93">
        <v>4774300</v>
      </c>
      <c r="K93">
        <v>25820100</v>
      </c>
      <c r="L93">
        <v>50253600</v>
      </c>
      <c r="M93">
        <v>17745200</v>
      </c>
      <c r="N93">
        <v>19436600</v>
      </c>
      <c r="O93">
        <v>37181800</v>
      </c>
      <c r="P93">
        <f t="shared" si="21"/>
        <v>5984268.4210526319</v>
      </c>
      <c r="Q93">
        <f t="shared" si="22"/>
        <v>5711552.6315789474</v>
      </c>
      <c r="R93">
        <f t="shared" si="23"/>
        <v>809500</v>
      </c>
      <c r="S93">
        <f t="shared" si="24"/>
        <v>802320</v>
      </c>
      <c r="T93">
        <f t="shared" si="25"/>
        <v>16935700</v>
      </c>
      <c r="U93">
        <f t="shared" si="26"/>
        <v>18634280</v>
      </c>
      <c r="V93">
        <f t="shared" si="27"/>
        <v>18449231.578947369</v>
      </c>
      <c r="W93">
        <f t="shared" si="28"/>
        <v>20108547.368421052</v>
      </c>
      <c r="Y93" s="30">
        <f t="shared" si="30"/>
        <v>0.76726401585893189</v>
      </c>
      <c r="Z93" s="30">
        <v>1</v>
      </c>
      <c r="AA93" s="30">
        <v>1</v>
      </c>
      <c r="AB93" s="30">
        <v>1</v>
      </c>
    </row>
    <row r="94" spans="1:28" x14ac:dyDescent="0.2">
      <c r="A94">
        <v>1989</v>
      </c>
      <c r="B94">
        <v>6643800</v>
      </c>
      <c r="C94">
        <v>4065500</v>
      </c>
      <c r="D94">
        <v>10607800</v>
      </c>
      <c r="E94">
        <v>3192400</v>
      </c>
      <c r="F94">
        <v>24509500</v>
      </c>
      <c r="G94">
        <v>6343500</v>
      </c>
      <c r="H94">
        <v>4035900</v>
      </c>
      <c r="I94">
        <v>10714100</v>
      </c>
      <c r="J94">
        <v>4804800</v>
      </c>
      <c r="K94">
        <v>25898300</v>
      </c>
      <c r="L94">
        <v>50407800</v>
      </c>
      <c r="M94">
        <v>17865700</v>
      </c>
      <c r="N94">
        <v>19554800</v>
      </c>
      <c r="O94">
        <v>37420500</v>
      </c>
      <c r="P94">
        <f t="shared" si="21"/>
        <v>5944452.6315789474</v>
      </c>
      <c r="Q94">
        <f t="shared" si="22"/>
        <v>5675763.1578947371</v>
      </c>
      <c r="R94">
        <f t="shared" si="23"/>
        <v>813100</v>
      </c>
      <c r="S94">
        <f t="shared" si="24"/>
        <v>807180</v>
      </c>
      <c r="T94">
        <f t="shared" si="25"/>
        <v>17052600</v>
      </c>
      <c r="U94">
        <f t="shared" si="26"/>
        <v>18747620</v>
      </c>
      <c r="V94">
        <f t="shared" si="27"/>
        <v>18565047.368421052</v>
      </c>
      <c r="W94">
        <f t="shared" si="28"/>
        <v>20222536.842105262</v>
      </c>
      <c r="Y94" s="30">
        <f t="shared" si="30"/>
        <v>0.76947583926547714</v>
      </c>
      <c r="Z94" s="30">
        <v>1</v>
      </c>
      <c r="AA94" s="30">
        <v>1</v>
      </c>
      <c r="AB94" s="30">
        <v>1</v>
      </c>
    </row>
    <row r="95" spans="1:28" x14ac:dyDescent="0.2">
      <c r="A95">
        <v>1990</v>
      </c>
      <c r="B95">
        <v>6621000</v>
      </c>
      <c r="C95">
        <v>4070500</v>
      </c>
      <c r="D95">
        <v>10688100</v>
      </c>
      <c r="E95">
        <v>3217200</v>
      </c>
      <c r="F95">
        <v>24596800</v>
      </c>
      <c r="G95">
        <v>6320100</v>
      </c>
      <c r="H95">
        <v>4031200</v>
      </c>
      <c r="I95">
        <v>10796700</v>
      </c>
      <c r="J95">
        <v>4815900</v>
      </c>
      <c r="K95">
        <v>25963900</v>
      </c>
      <c r="L95">
        <v>50560700</v>
      </c>
      <c r="M95">
        <v>17975800</v>
      </c>
      <c r="N95">
        <v>19643800</v>
      </c>
      <c r="O95">
        <v>37619600</v>
      </c>
      <c r="P95">
        <f t="shared" si="21"/>
        <v>5924052.6315789474</v>
      </c>
      <c r="Q95">
        <f t="shared" si="22"/>
        <v>5654826.3157894742</v>
      </c>
      <c r="R95">
        <f t="shared" si="23"/>
        <v>814100</v>
      </c>
      <c r="S95">
        <f t="shared" si="24"/>
        <v>806240</v>
      </c>
      <c r="T95">
        <f t="shared" si="25"/>
        <v>17161700</v>
      </c>
      <c r="U95">
        <f t="shared" si="26"/>
        <v>18837560</v>
      </c>
      <c r="V95">
        <f t="shared" si="27"/>
        <v>18672747.368421052</v>
      </c>
      <c r="W95">
        <f t="shared" si="28"/>
        <v>20309073.684210524</v>
      </c>
      <c r="Y95" s="30">
        <f t="shared" si="30"/>
        <v>0.7709905332131789</v>
      </c>
      <c r="Z95" s="30">
        <v>1</v>
      </c>
      <c r="AA95" s="30">
        <v>1</v>
      </c>
      <c r="AB95" s="30">
        <v>1</v>
      </c>
    </row>
    <row r="96" spans="1:28" x14ac:dyDescent="0.2">
      <c r="A96">
        <v>1991</v>
      </c>
      <c r="B96">
        <v>6605900</v>
      </c>
      <c r="C96">
        <v>4041600</v>
      </c>
      <c r="D96">
        <v>10786000</v>
      </c>
      <c r="E96">
        <v>3248100</v>
      </c>
      <c r="F96">
        <v>24681600</v>
      </c>
      <c r="G96">
        <v>6306800</v>
      </c>
      <c r="H96">
        <v>4023900</v>
      </c>
      <c r="I96">
        <v>10903900</v>
      </c>
      <c r="J96">
        <v>4832200</v>
      </c>
      <c r="K96">
        <v>26066800</v>
      </c>
      <c r="L96">
        <v>50748400</v>
      </c>
      <c r="M96">
        <v>18075700</v>
      </c>
      <c r="N96">
        <v>19760000</v>
      </c>
      <c r="O96">
        <v>37835700</v>
      </c>
      <c r="P96">
        <f t="shared" si="21"/>
        <v>5910542.1052631577</v>
      </c>
      <c r="Q96">
        <f t="shared" si="22"/>
        <v>5642926.3157894742</v>
      </c>
      <c r="R96">
        <f t="shared" si="23"/>
        <v>808320</v>
      </c>
      <c r="S96">
        <f t="shared" si="24"/>
        <v>804780</v>
      </c>
      <c r="T96">
        <f t="shared" si="25"/>
        <v>17267380</v>
      </c>
      <c r="U96">
        <f t="shared" si="26"/>
        <v>18955220</v>
      </c>
      <c r="V96">
        <f t="shared" si="27"/>
        <v>18771057.894736841</v>
      </c>
      <c r="W96">
        <f t="shared" si="28"/>
        <v>20423873.684210524</v>
      </c>
      <c r="Y96" s="30">
        <f t="shared" si="30"/>
        <v>0.77233827231887831</v>
      </c>
      <c r="Z96" s="30">
        <v>1</v>
      </c>
      <c r="AA96" s="30">
        <v>1</v>
      </c>
      <c r="AB96" s="30">
        <v>1</v>
      </c>
    </row>
    <row r="97" spans="1:28" x14ac:dyDescent="0.2">
      <c r="A97">
        <v>1992</v>
      </c>
      <c r="B97">
        <v>6563600</v>
      </c>
      <c r="C97">
        <v>3992100</v>
      </c>
      <c r="D97">
        <v>10892400</v>
      </c>
      <c r="E97">
        <v>3274100</v>
      </c>
      <c r="F97">
        <v>24722200</v>
      </c>
      <c r="G97">
        <v>6293800</v>
      </c>
      <c r="H97">
        <v>3978300</v>
      </c>
      <c r="I97">
        <v>11018300</v>
      </c>
      <c r="J97">
        <v>4841600</v>
      </c>
      <c r="K97">
        <v>26132000</v>
      </c>
      <c r="L97">
        <v>50854200</v>
      </c>
      <c r="M97">
        <v>18158600</v>
      </c>
      <c r="N97">
        <v>19838200</v>
      </c>
      <c r="O97">
        <v>37996800</v>
      </c>
      <c r="P97">
        <f t="shared" si="21"/>
        <v>5872694.7368421052</v>
      </c>
      <c r="Q97">
        <f t="shared" si="22"/>
        <v>5631294.7368421052</v>
      </c>
      <c r="R97">
        <f t="shared" si="23"/>
        <v>798420</v>
      </c>
      <c r="S97">
        <f t="shared" si="24"/>
        <v>795660</v>
      </c>
      <c r="T97">
        <f t="shared" si="25"/>
        <v>17360180</v>
      </c>
      <c r="U97">
        <f t="shared" si="26"/>
        <v>19042540</v>
      </c>
      <c r="V97">
        <f t="shared" si="27"/>
        <v>18849505.263157897</v>
      </c>
      <c r="W97">
        <f t="shared" si="28"/>
        <v>20500705.263157897</v>
      </c>
      <c r="Y97" s="30">
        <f t="shared" si="30"/>
        <v>0.77378486981047379</v>
      </c>
      <c r="Z97" s="30">
        <v>1</v>
      </c>
      <c r="AA97" s="30">
        <v>1</v>
      </c>
      <c r="AB97" s="30">
        <v>1</v>
      </c>
    </row>
    <row r="98" spans="1:28" x14ac:dyDescent="0.2">
      <c r="A98">
        <v>1993</v>
      </c>
      <c r="B98">
        <v>6564100</v>
      </c>
      <c r="C98">
        <v>3926000</v>
      </c>
      <c r="D98">
        <v>11004000</v>
      </c>
      <c r="E98">
        <v>3298700</v>
      </c>
      <c r="F98">
        <v>24792800</v>
      </c>
      <c r="G98">
        <v>6289600</v>
      </c>
      <c r="H98">
        <v>3905500</v>
      </c>
      <c r="I98">
        <v>11147700</v>
      </c>
      <c r="J98">
        <v>4850500</v>
      </c>
      <c r="K98">
        <v>26193300</v>
      </c>
      <c r="L98">
        <v>50986100</v>
      </c>
      <c r="M98">
        <v>18228700</v>
      </c>
      <c r="N98">
        <v>19903700</v>
      </c>
      <c r="O98">
        <v>38132400</v>
      </c>
      <c r="P98">
        <f t="shared" si="21"/>
        <v>5873142.1052631577</v>
      </c>
      <c r="Q98">
        <f t="shared" si="22"/>
        <v>5627536.8421052629</v>
      </c>
      <c r="R98">
        <f t="shared" si="23"/>
        <v>785200</v>
      </c>
      <c r="S98">
        <f t="shared" si="24"/>
        <v>781100</v>
      </c>
      <c r="T98">
        <f t="shared" si="25"/>
        <v>17443500</v>
      </c>
      <c r="U98">
        <f t="shared" si="26"/>
        <v>19122600</v>
      </c>
      <c r="V98">
        <f t="shared" si="27"/>
        <v>18919657.894736841</v>
      </c>
      <c r="W98">
        <f t="shared" si="28"/>
        <v>20565763.157894738</v>
      </c>
      <c r="Y98" s="30">
        <f t="shared" si="30"/>
        <v>0.77443501371219958</v>
      </c>
      <c r="Z98" s="30">
        <v>1</v>
      </c>
      <c r="AA98" s="30">
        <v>1</v>
      </c>
      <c r="AB98" s="30">
        <v>1</v>
      </c>
    </row>
    <row r="99" spans="1:28" x14ac:dyDescent="0.2">
      <c r="A99">
        <v>1994</v>
      </c>
      <c r="B99">
        <v>6579500</v>
      </c>
      <c r="C99">
        <v>3825300</v>
      </c>
      <c r="D99">
        <v>11132800</v>
      </c>
      <c r="E99">
        <v>3315400</v>
      </c>
      <c r="F99">
        <v>24853000</v>
      </c>
      <c r="G99">
        <v>6307800</v>
      </c>
      <c r="H99">
        <v>3815600</v>
      </c>
      <c r="I99">
        <v>11291700</v>
      </c>
      <c r="J99">
        <v>4848200</v>
      </c>
      <c r="K99">
        <v>26263300</v>
      </c>
      <c r="L99">
        <v>51116300</v>
      </c>
      <c r="M99">
        <v>18273500</v>
      </c>
      <c r="N99">
        <v>19955500</v>
      </c>
      <c r="O99">
        <v>38229000</v>
      </c>
      <c r="P99">
        <f t="shared" si="21"/>
        <v>5886921.0526315793</v>
      </c>
      <c r="Q99">
        <f t="shared" si="22"/>
        <v>5643821.0526315793</v>
      </c>
      <c r="R99">
        <f t="shared" si="23"/>
        <v>765060</v>
      </c>
      <c r="S99">
        <f t="shared" si="24"/>
        <v>763120</v>
      </c>
      <c r="T99">
        <f t="shared" si="25"/>
        <v>17508440</v>
      </c>
      <c r="U99">
        <f t="shared" si="26"/>
        <v>19192380</v>
      </c>
      <c r="V99">
        <f t="shared" si="27"/>
        <v>18966078.947368421</v>
      </c>
      <c r="W99">
        <f t="shared" si="28"/>
        <v>20619478.947368421</v>
      </c>
      <c r="Y99" s="30">
        <f t="shared" si="30"/>
        <v>0.77442142515668855</v>
      </c>
      <c r="Z99" s="30">
        <v>1</v>
      </c>
      <c r="AA99" s="30">
        <v>1</v>
      </c>
      <c r="AB99" s="30">
        <v>1</v>
      </c>
    </row>
    <row r="100" spans="1:28" x14ac:dyDescent="0.2">
      <c r="A100">
        <v>1995</v>
      </c>
      <c r="B100">
        <v>6601200</v>
      </c>
      <c r="C100">
        <v>3731600</v>
      </c>
      <c r="D100">
        <v>11271200</v>
      </c>
      <c r="E100">
        <v>3342400</v>
      </c>
      <c r="F100">
        <v>24946400</v>
      </c>
      <c r="G100">
        <v>6329400</v>
      </c>
      <c r="H100">
        <v>3716900</v>
      </c>
      <c r="I100">
        <v>11422900</v>
      </c>
      <c r="J100">
        <v>4856400</v>
      </c>
      <c r="K100">
        <v>26325600</v>
      </c>
      <c r="L100">
        <v>51272000</v>
      </c>
      <c r="M100">
        <v>18345200</v>
      </c>
      <c r="N100">
        <v>19996200</v>
      </c>
      <c r="O100">
        <v>38341400</v>
      </c>
      <c r="P100">
        <f t="shared" si="21"/>
        <v>5906336.8421052629</v>
      </c>
      <c r="Q100">
        <f t="shared" si="22"/>
        <v>5663147.3684210526</v>
      </c>
      <c r="R100">
        <f t="shared" si="23"/>
        <v>746320</v>
      </c>
      <c r="S100">
        <f t="shared" si="24"/>
        <v>743380</v>
      </c>
      <c r="T100">
        <f t="shared" si="25"/>
        <v>17598880</v>
      </c>
      <c r="U100">
        <f t="shared" si="26"/>
        <v>19252820</v>
      </c>
      <c r="V100">
        <f t="shared" si="27"/>
        <v>19040063.157894738</v>
      </c>
      <c r="W100">
        <f t="shared" si="28"/>
        <v>20662452.631578948</v>
      </c>
      <c r="Y100" s="30">
        <f t="shared" si="30"/>
        <v>0.77435083065754573</v>
      </c>
      <c r="Z100" s="30">
        <v>1</v>
      </c>
      <c r="AA100" s="30">
        <v>1</v>
      </c>
      <c r="AB100" s="30">
        <v>1</v>
      </c>
    </row>
    <row r="101" spans="1:28" x14ac:dyDescent="0.2">
      <c r="A101">
        <v>1996</v>
      </c>
      <c r="B101">
        <v>6631500</v>
      </c>
      <c r="C101">
        <v>3628200</v>
      </c>
      <c r="D101">
        <v>11403100</v>
      </c>
      <c r="E101">
        <v>3366900</v>
      </c>
      <c r="F101">
        <v>25029700</v>
      </c>
      <c r="G101">
        <v>6354100</v>
      </c>
      <c r="H101">
        <v>3612700</v>
      </c>
      <c r="I101">
        <v>11559400</v>
      </c>
      <c r="J101">
        <v>4854400</v>
      </c>
      <c r="K101">
        <v>26380600</v>
      </c>
      <c r="L101">
        <v>51410300</v>
      </c>
      <c r="M101">
        <v>18398200</v>
      </c>
      <c r="N101">
        <v>20026500</v>
      </c>
      <c r="O101">
        <v>38424700</v>
      </c>
      <c r="P101">
        <f t="shared" si="21"/>
        <v>5933447.3684210526</v>
      </c>
      <c r="Q101">
        <f t="shared" si="22"/>
        <v>5685247.3684210526</v>
      </c>
      <c r="R101">
        <f t="shared" si="23"/>
        <v>725640</v>
      </c>
      <c r="S101">
        <f t="shared" si="24"/>
        <v>722540</v>
      </c>
      <c r="T101">
        <f t="shared" si="25"/>
        <v>17672560</v>
      </c>
      <c r="U101">
        <f t="shared" si="26"/>
        <v>19303960</v>
      </c>
      <c r="V101">
        <f t="shared" si="27"/>
        <v>19096252.631578948</v>
      </c>
      <c r="W101">
        <f t="shared" si="28"/>
        <v>20695352.631578948</v>
      </c>
      <c r="Y101" s="30">
        <f t="shared" si="30"/>
        <v>0.77400064312322425</v>
      </c>
      <c r="Z101" s="30">
        <v>1</v>
      </c>
      <c r="AA101" s="30">
        <v>1</v>
      </c>
      <c r="AB101" s="30">
        <v>1</v>
      </c>
    </row>
    <row r="102" spans="1:28" x14ac:dyDescent="0.2">
      <c r="A102">
        <v>1997</v>
      </c>
      <c r="B102">
        <v>6676900</v>
      </c>
      <c r="C102">
        <v>3512100</v>
      </c>
      <c r="D102">
        <v>11532700</v>
      </c>
      <c r="E102">
        <v>3391500</v>
      </c>
      <c r="F102">
        <v>25113200</v>
      </c>
      <c r="G102">
        <v>6394900</v>
      </c>
      <c r="H102">
        <v>3505800</v>
      </c>
      <c r="I102">
        <v>11700600</v>
      </c>
      <c r="J102">
        <v>4845100</v>
      </c>
      <c r="K102">
        <v>26446400</v>
      </c>
      <c r="L102">
        <v>51559600</v>
      </c>
      <c r="M102">
        <v>18436300</v>
      </c>
      <c r="N102">
        <v>20051500</v>
      </c>
      <c r="O102">
        <v>38487800</v>
      </c>
      <c r="P102">
        <f t="shared" si="21"/>
        <v>5974068.4210526319</v>
      </c>
      <c r="Q102">
        <f t="shared" si="22"/>
        <v>5721752.6315789474</v>
      </c>
      <c r="R102">
        <f t="shared" si="23"/>
        <v>702420</v>
      </c>
      <c r="S102">
        <f t="shared" si="24"/>
        <v>701160</v>
      </c>
      <c r="T102">
        <f t="shared" si="25"/>
        <v>17733880</v>
      </c>
      <c r="U102">
        <f t="shared" si="26"/>
        <v>19350340</v>
      </c>
      <c r="V102">
        <f t="shared" si="27"/>
        <v>19139131.578947369</v>
      </c>
      <c r="W102">
        <f t="shared" si="28"/>
        <v>20724647.368421052</v>
      </c>
      <c r="Y102" s="30">
        <f t="shared" si="30"/>
        <v>0.77315919726623983</v>
      </c>
      <c r="Z102" s="30">
        <v>1</v>
      </c>
      <c r="AA102" s="30">
        <v>1</v>
      </c>
      <c r="AB102" s="30">
        <v>1</v>
      </c>
    </row>
    <row r="103" spans="1:28" x14ac:dyDescent="0.2">
      <c r="A103">
        <v>1998</v>
      </c>
      <c r="B103">
        <v>6709100</v>
      </c>
      <c r="C103">
        <v>3416900</v>
      </c>
      <c r="D103">
        <v>11657500</v>
      </c>
      <c r="E103">
        <v>3417200</v>
      </c>
      <c r="F103">
        <v>25200700</v>
      </c>
      <c r="G103">
        <v>6421800</v>
      </c>
      <c r="H103">
        <v>3419000</v>
      </c>
      <c r="I103">
        <v>11837700</v>
      </c>
      <c r="J103">
        <v>4840900</v>
      </c>
      <c r="K103">
        <v>26519400</v>
      </c>
      <c r="L103">
        <v>51720100</v>
      </c>
      <c r="M103">
        <v>18491600</v>
      </c>
      <c r="N103">
        <v>20097600</v>
      </c>
      <c r="O103">
        <v>38589200</v>
      </c>
      <c r="P103">
        <f t="shared" si="21"/>
        <v>6002878.9473684207</v>
      </c>
      <c r="Q103">
        <f t="shared" si="22"/>
        <v>5745821.0526315793</v>
      </c>
      <c r="R103">
        <f t="shared" si="23"/>
        <v>683380</v>
      </c>
      <c r="S103">
        <f t="shared" si="24"/>
        <v>683800</v>
      </c>
      <c r="T103">
        <f t="shared" si="25"/>
        <v>17808220</v>
      </c>
      <c r="U103">
        <f t="shared" si="26"/>
        <v>19413800</v>
      </c>
      <c r="V103">
        <f t="shared" si="27"/>
        <v>19197821.052631579</v>
      </c>
      <c r="W103">
        <f t="shared" si="28"/>
        <v>20773578.947368421</v>
      </c>
      <c r="Y103" s="30">
        <f t="shared" si="30"/>
        <v>0.77284073309989731</v>
      </c>
      <c r="Z103" s="30">
        <v>1</v>
      </c>
      <c r="AA103" s="30">
        <v>1</v>
      </c>
      <c r="AB103" s="30">
        <v>1</v>
      </c>
    </row>
    <row r="104" spans="1:28" x14ac:dyDescent="0.2">
      <c r="A104">
        <v>1999</v>
      </c>
      <c r="B104">
        <v>6721400</v>
      </c>
      <c r="C104">
        <v>3366100</v>
      </c>
      <c r="D104">
        <v>11798700</v>
      </c>
      <c r="E104">
        <v>3437300</v>
      </c>
      <c r="F104">
        <v>25323500</v>
      </c>
      <c r="G104">
        <v>6430200</v>
      </c>
      <c r="H104">
        <v>3367800</v>
      </c>
      <c r="I104">
        <v>11987200</v>
      </c>
      <c r="J104">
        <v>4824900</v>
      </c>
      <c r="K104">
        <v>26610100</v>
      </c>
      <c r="L104">
        <v>51933600</v>
      </c>
      <c r="M104">
        <v>18602100</v>
      </c>
      <c r="N104">
        <v>20179900</v>
      </c>
      <c r="O104">
        <v>38782000</v>
      </c>
      <c r="P104">
        <f t="shared" si="21"/>
        <v>6013884.2105263155</v>
      </c>
      <c r="Q104">
        <f t="shared" si="22"/>
        <v>5753336.8421052629</v>
      </c>
      <c r="R104">
        <f t="shared" si="23"/>
        <v>673220</v>
      </c>
      <c r="S104">
        <f t="shared" si="24"/>
        <v>673560</v>
      </c>
      <c r="T104">
        <f t="shared" si="25"/>
        <v>17928880</v>
      </c>
      <c r="U104">
        <f t="shared" si="26"/>
        <v>19506340</v>
      </c>
      <c r="V104">
        <f t="shared" si="27"/>
        <v>19309615.789473683</v>
      </c>
      <c r="W104">
        <f t="shared" si="28"/>
        <v>20856763.157894738</v>
      </c>
      <c r="Y104" s="30">
        <f t="shared" si="30"/>
        <v>0.77341795961320647</v>
      </c>
      <c r="Z104" s="30">
        <v>1</v>
      </c>
      <c r="AA104" s="30">
        <v>1</v>
      </c>
      <c r="AB104" s="30">
        <v>1</v>
      </c>
    </row>
    <row r="105" spans="1:28" x14ac:dyDescent="0.2">
      <c r="A105">
        <v>2000</v>
      </c>
      <c r="B105">
        <v>6699300</v>
      </c>
      <c r="C105">
        <v>3343400</v>
      </c>
      <c r="D105">
        <v>11929600</v>
      </c>
      <c r="E105">
        <v>3465700</v>
      </c>
      <c r="F105">
        <v>25438000</v>
      </c>
      <c r="G105">
        <v>6395500</v>
      </c>
      <c r="H105">
        <v>3349900</v>
      </c>
      <c r="I105">
        <v>12135100</v>
      </c>
      <c r="J105">
        <v>4821400</v>
      </c>
      <c r="K105">
        <v>26701900</v>
      </c>
      <c r="L105">
        <v>52139900</v>
      </c>
      <c r="M105">
        <v>18738700</v>
      </c>
      <c r="N105">
        <v>20306400</v>
      </c>
      <c r="O105">
        <v>39045100</v>
      </c>
      <c r="P105">
        <f t="shared" si="21"/>
        <v>5994110.5263157897</v>
      </c>
      <c r="Q105">
        <f t="shared" si="22"/>
        <v>5722289.4736842103</v>
      </c>
      <c r="R105">
        <f t="shared" si="23"/>
        <v>668680</v>
      </c>
      <c r="S105">
        <f t="shared" si="24"/>
        <v>669980</v>
      </c>
      <c r="T105">
        <f t="shared" si="25"/>
        <v>18070020</v>
      </c>
      <c r="U105">
        <f t="shared" si="26"/>
        <v>19636420</v>
      </c>
      <c r="V105">
        <f t="shared" si="27"/>
        <v>19443889.47368421</v>
      </c>
      <c r="W105">
        <f t="shared" si="28"/>
        <v>20979610.52631579</v>
      </c>
      <c r="Y105" s="30">
        <f t="shared" si="30"/>
        <v>0.77528917393397379</v>
      </c>
      <c r="Z105" s="30">
        <v>1</v>
      </c>
      <c r="AA105" s="30">
        <v>1</v>
      </c>
      <c r="AB105" s="3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EDD4-A122-49CD-9722-60E8707B2D98}">
  <dimension ref="A1:D3643"/>
  <sheetViews>
    <sheetView topLeftCell="A3600" workbookViewId="0">
      <selection activeCell="E26" sqref="E26"/>
    </sheetView>
  </sheetViews>
  <sheetFormatPr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1901</v>
      </c>
      <c r="B2" s="1" t="s">
        <v>24</v>
      </c>
      <c r="C2" s="1" t="s">
        <v>29</v>
      </c>
      <c r="D2">
        <v>393100</v>
      </c>
    </row>
    <row r="3" spans="1:4" x14ac:dyDescent="0.2">
      <c r="A3">
        <v>1901</v>
      </c>
      <c r="B3" s="1" t="s">
        <v>25</v>
      </c>
      <c r="C3" s="1" t="s">
        <v>29</v>
      </c>
      <c r="D3">
        <v>393500</v>
      </c>
    </row>
    <row r="4" spans="1:4" x14ac:dyDescent="0.2">
      <c r="A4">
        <v>1901</v>
      </c>
      <c r="B4" s="1" t="s">
        <v>24</v>
      </c>
      <c r="C4" s="2" t="s">
        <v>26</v>
      </c>
      <c r="D4">
        <v>1469600</v>
      </c>
    </row>
    <row r="5" spans="1:4" x14ac:dyDescent="0.2">
      <c r="A5">
        <v>1901</v>
      </c>
      <c r="B5" s="1" t="s">
        <v>25</v>
      </c>
      <c r="C5" s="2" t="s">
        <v>26</v>
      </c>
      <c r="D5">
        <v>1463800</v>
      </c>
    </row>
    <row r="6" spans="1:4" x14ac:dyDescent="0.2">
      <c r="A6">
        <v>1901</v>
      </c>
      <c r="B6" s="1" t="s">
        <v>24</v>
      </c>
      <c r="C6" s="2" t="s">
        <v>27</v>
      </c>
      <c r="D6">
        <v>1750700</v>
      </c>
    </row>
    <row r="7" spans="1:4" x14ac:dyDescent="0.2">
      <c r="A7">
        <v>1901</v>
      </c>
      <c r="B7" s="1" t="s">
        <v>25</v>
      </c>
      <c r="C7" s="2" t="s">
        <v>27</v>
      </c>
      <c r="D7">
        <v>1741600</v>
      </c>
    </row>
    <row r="8" spans="1:4" x14ac:dyDescent="0.2">
      <c r="A8">
        <v>1901</v>
      </c>
      <c r="B8" s="1" t="s">
        <v>24</v>
      </c>
      <c r="C8" s="3" t="s">
        <v>28</v>
      </c>
      <c r="D8">
        <v>1672700</v>
      </c>
    </row>
    <row r="9" spans="1:4" x14ac:dyDescent="0.2">
      <c r="A9">
        <v>1901</v>
      </c>
      <c r="B9" s="1" t="s">
        <v>25</v>
      </c>
      <c r="C9" s="3" t="s">
        <v>28</v>
      </c>
      <c r="D9">
        <v>1672800</v>
      </c>
    </row>
    <row r="10" spans="1:4" x14ac:dyDescent="0.2">
      <c r="A10">
        <v>1901</v>
      </c>
      <c r="B10" s="1" t="s">
        <v>24</v>
      </c>
      <c r="C10" t="s">
        <v>4</v>
      </c>
      <c r="D10">
        <v>1639600</v>
      </c>
    </row>
    <row r="11" spans="1:4" x14ac:dyDescent="0.2">
      <c r="A11">
        <v>1901</v>
      </c>
      <c r="B11" s="1" t="s">
        <v>25</v>
      </c>
      <c r="C11" t="s">
        <v>4</v>
      </c>
      <c r="D11">
        <v>1608600</v>
      </c>
    </row>
    <row r="12" spans="1:4" x14ac:dyDescent="0.2">
      <c r="A12">
        <v>1901</v>
      </c>
      <c r="B12" s="1" t="s">
        <v>24</v>
      </c>
      <c r="C12" t="s">
        <v>5</v>
      </c>
      <c r="D12">
        <v>1648900</v>
      </c>
    </row>
    <row r="13" spans="1:4" x14ac:dyDescent="0.2">
      <c r="A13">
        <v>1901</v>
      </c>
      <c r="B13" s="1" t="s">
        <v>25</v>
      </c>
      <c r="C13" t="s">
        <v>5</v>
      </c>
      <c r="D13">
        <v>1473400</v>
      </c>
    </row>
    <row r="14" spans="1:4" x14ac:dyDescent="0.2">
      <c r="A14">
        <v>1901</v>
      </c>
      <c r="B14" s="1" t="s">
        <v>24</v>
      </c>
      <c r="C14" t="s">
        <v>31</v>
      </c>
      <c r="D14">
        <v>30800</v>
      </c>
    </row>
    <row r="15" spans="1:4" x14ac:dyDescent="0.2">
      <c r="A15">
        <v>1901</v>
      </c>
      <c r="B15" s="1" t="s">
        <v>25</v>
      </c>
      <c r="C15" t="s">
        <v>31</v>
      </c>
      <c r="D15">
        <v>18100</v>
      </c>
    </row>
    <row r="16" spans="1:4" x14ac:dyDescent="0.2">
      <c r="A16">
        <v>1901</v>
      </c>
      <c r="B16" s="1" t="s">
        <v>24</v>
      </c>
      <c r="C16" t="s">
        <v>6</v>
      </c>
      <c r="D16">
        <v>2778300</v>
      </c>
    </row>
    <row r="17" spans="1:4" x14ac:dyDescent="0.2">
      <c r="A17">
        <v>1901</v>
      </c>
      <c r="B17" s="1" t="s">
        <v>25</v>
      </c>
      <c r="C17" t="s">
        <v>6</v>
      </c>
      <c r="D17">
        <v>2494200</v>
      </c>
    </row>
    <row r="18" spans="1:4" x14ac:dyDescent="0.2">
      <c r="A18">
        <v>1901</v>
      </c>
      <c r="B18" s="1" t="s">
        <v>24</v>
      </c>
      <c r="C18" t="s">
        <v>7</v>
      </c>
      <c r="D18">
        <v>2074600</v>
      </c>
    </row>
    <row r="19" spans="1:4" x14ac:dyDescent="0.2">
      <c r="A19">
        <v>1901</v>
      </c>
      <c r="B19" s="1" t="s">
        <v>25</v>
      </c>
      <c r="C19" t="s">
        <v>7</v>
      </c>
      <c r="D19">
        <v>1941600</v>
      </c>
    </row>
    <row r="20" spans="1:4" x14ac:dyDescent="0.2">
      <c r="A20">
        <v>1901</v>
      </c>
      <c r="B20" s="1" t="s">
        <v>24</v>
      </c>
      <c r="C20" t="s">
        <v>8</v>
      </c>
      <c r="D20">
        <v>1513800</v>
      </c>
    </row>
    <row r="21" spans="1:4" x14ac:dyDescent="0.2">
      <c r="A21">
        <v>1901</v>
      </c>
      <c r="B21" s="1" t="s">
        <v>25</v>
      </c>
      <c r="C21" t="s">
        <v>8</v>
      </c>
      <c r="D21">
        <v>1403300</v>
      </c>
    </row>
    <row r="22" spans="1:4" x14ac:dyDescent="0.2">
      <c r="A22">
        <v>1901</v>
      </c>
      <c r="B22" s="1" t="s">
        <v>24</v>
      </c>
      <c r="C22" t="s">
        <v>9</v>
      </c>
      <c r="D22">
        <v>1039500</v>
      </c>
    </row>
    <row r="23" spans="1:4" x14ac:dyDescent="0.2">
      <c r="A23">
        <v>1901</v>
      </c>
      <c r="B23" s="1" t="s">
        <v>25</v>
      </c>
      <c r="C23" t="s">
        <v>9</v>
      </c>
      <c r="D23">
        <v>912200</v>
      </c>
    </row>
    <row r="24" spans="1:4" x14ac:dyDescent="0.2">
      <c r="A24">
        <v>1901</v>
      </c>
      <c r="B24" s="1" t="s">
        <v>24</v>
      </c>
      <c r="C24" t="s">
        <v>10</v>
      </c>
      <c r="D24">
        <v>601900</v>
      </c>
    </row>
    <row r="25" spans="1:4" x14ac:dyDescent="0.2">
      <c r="A25">
        <v>1901</v>
      </c>
      <c r="B25" s="1" t="s">
        <v>25</v>
      </c>
      <c r="C25" t="s">
        <v>10</v>
      </c>
      <c r="D25">
        <v>480800</v>
      </c>
    </row>
    <row r="26" spans="1:4" x14ac:dyDescent="0.2">
      <c r="A26">
        <v>1901</v>
      </c>
      <c r="B26" s="1" t="s">
        <v>24</v>
      </c>
      <c r="C26" t="s">
        <v>11</v>
      </c>
      <c r="D26">
        <v>229000</v>
      </c>
    </row>
    <row r="27" spans="1:4" x14ac:dyDescent="0.2">
      <c r="A27">
        <v>1901</v>
      </c>
      <c r="B27" s="1" t="s">
        <v>25</v>
      </c>
      <c r="C27" t="s">
        <v>11</v>
      </c>
      <c r="D27">
        <v>165700</v>
      </c>
    </row>
    <row r="28" spans="1:4" x14ac:dyDescent="0.2">
      <c r="A28">
        <v>1902</v>
      </c>
      <c r="B28" s="1" t="s">
        <v>24</v>
      </c>
      <c r="C28" s="1" t="s">
        <v>29</v>
      </c>
      <c r="D28">
        <v>400200</v>
      </c>
    </row>
    <row r="29" spans="1:4" x14ac:dyDescent="0.2">
      <c r="A29">
        <v>1902</v>
      </c>
      <c r="B29" s="1" t="s">
        <v>25</v>
      </c>
      <c r="C29" s="1" t="s">
        <v>29</v>
      </c>
      <c r="D29">
        <v>402100</v>
      </c>
    </row>
    <row r="30" spans="1:4" x14ac:dyDescent="0.2">
      <c r="A30">
        <v>1902</v>
      </c>
      <c r="B30" s="1" t="s">
        <v>24</v>
      </c>
      <c r="C30" s="2" t="s">
        <v>26</v>
      </c>
      <c r="D30">
        <v>1467900</v>
      </c>
    </row>
    <row r="31" spans="1:4" x14ac:dyDescent="0.2">
      <c r="A31">
        <v>1902</v>
      </c>
      <c r="B31" s="1" t="s">
        <v>25</v>
      </c>
      <c r="C31" s="2" t="s">
        <v>26</v>
      </c>
      <c r="D31">
        <v>1462900</v>
      </c>
    </row>
    <row r="32" spans="1:4" x14ac:dyDescent="0.2">
      <c r="A32">
        <v>1902</v>
      </c>
      <c r="B32" s="1" t="s">
        <v>24</v>
      </c>
      <c r="C32" s="2" t="s">
        <v>27</v>
      </c>
      <c r="D32">
        <v>1760400</v>
      </c>
    </row>
    <row r="33" spans="1:4" x14ac:dyDescent="0.2">
      <c r="A33">
        <v>1902</v>
      </c>
      <c r="B33" s="1" t="s">
        <v>25</v>
      </c>
      <c r="C33" s="2" t="s">
        <v>27</v>
      </c>
      <c r="D33">
        <v>1751900</v>
      </c>
    </row>
    <row r="34" spans="1:4" x14ac:dyDescent="0.2">
      <c r="A34">
        <v>1902</v>
      </c>
      <c r="B34" s="1" t="s">
        <v>24</v>
      </c>
      <c r="C34" s="3" t="s">
        <v>28</v>
      </c>
      <c r="D34">
        <v>1680500</v>
      </c>
    </row>
    <row r="35" spans="1:4" x14ac:dyDescent="0.2">
      <c r="A35">
        <v>1902</v>
      </c>
      <c r="B35" s="1" t="s">
        <v>25</v>
      </c>
      <c r="C35" s="3" t="s">
        <v>28</v>
      </c>
      <c r="D35">
        <v>1680100</v>
      </c>
    </row>
    <row r="36" spans="1:4" x14ac:dyDescent="0.2">
      <c r="A36">
        <v>1902</v>
      </c>
      <c r="B36" s="1" t="s">
        <v>24</v>
      </c>
      <c r="C36" t="s">
        <v>4</v>
      </c>
      <c r="D36">
        <v>1643800</v>
      </c>
    </row>
    <row r="37" spans="1:4" x14ac:dyDescent="0.2">
      <c r="A37">
        <v>1902</v>
      </c>
      <c r="B37" s="1" t="s">
        <v>25</v>
      </c>
      <c r="C37" t="s">
        <v>4</v>
      </c>
      <c r="D37">
        <v>1613200</v>
      </c>
    </row>
    <row r="38" spans="1:4" x14ac:dyDescent="0.2">
      <c r="A38">
        <v>1902</v>
      </c>
      <c r="B38" s="1" t="s">
        <v>24</v>
      </c>
      <c r="C38" t="s">
        <v>5</v>
      </c>
      <c r="D38">
        <v>1651200</v>
      </c>
    </row>
    <row r="39" spans="1:4" x14ac:dyDescent="0.2">
      <c r="A39">
        <v>1902</v>
      </c>
      <c r="B39" s="1" t="s">
        <v>25</v>
      </c>
      <c r="C39" t="s">
        <v>5</v>
      </c>
      <c r="D39">
        <v>1476200</v>
      </c>
    </row>
    <row r="40" spans="1:4" x14ac:dyDescent="0.2">
      <c r="A40">
        <v>1902</v>
      </c>
      <c r="B40" s="1" t="s">
        <v>24</v>
      </c>
      <c r="C40" t="s">
        <v>31</v>
      </c>
      <c r="D40">
        <v>31800</v>
      </c>
    </row>
    <row r="41" spans="1:4" x14ac:dyDescent="0.2">
      <c r="A41">
        <v>1902</v>
      </c>
      <c r="B41" s="1" t="s">
        <v>25</v>
      </c>
      <c r="C41" t="s">
        <v>31</v>
      </c>
      <c r="D41">
        <v>18500</v>
      </c>
    </row>
    <row r="42" spans="1:4" x14ac:dyDescent="0.2">
      <c r="A42">
        <v>1902</v>
      </c>
      <c r="B42" s="1" t="s">
        <v>24</v>
      </c>
      <c r="C42" t="s">
        <v>6</v>
      </c>
      <c r="D42">
        <v>2812200</v>
      </c>
    </row>
    <row r="43" spans="1:4" x14ac:dyDescent="0.2">
      <c r="A43">
        <v>1902</v>
      </c>
      <c r="B43" s="1" t="s">
        <v>25</v>
      </c>
      <c r="C43" t="s">
        <v>6</v>
      </c>
      <c r="D43">
        <v>2527200</v>
      </c>
    </row>
    <row r="44" spans="1:4" x14ac:dyDescent="0.2">
      <c r="A44">
        <v>1902</v>
      </c>
      <c r="B44" s="1" t="s">
        <v>24</v>
      </c>
      <c r="C44" t="s">
        <v>7</v>
      </c>
      <c r="D44">
        <v>2117200</v>
      </c>
    </row>
    <row r="45" spans="1:4" x14ac:dyDescent="0.2">
      <c r="A45">
        <v>1902</v>
      </c>
      <c r="B45" s="1" t="s">
        <v>25</v>
      </c>
      <c r="C45" t="s">
        <v>7</v>
      </c>
      <c r="D45">
        <v>1980300</v>
      </c>
    </row>
    <row r="46" spans="1:4" x14ac:dyDescent="0.2">
      <c r="A46">
        <v>1902</v>
      </c>
      <c r="B46" s="1" t="s">
        <v>24</v>
      </c>
      <c r="C46" t="s">
        <v>8</v>
      </c>
      <c r="D46">
        <v>1545100</v>
      </c>
    </row>
    <row r="47" spans="1:4" x14ac:dyDescent="0.2">
      <c r="A47">
        <v>1902</v>
      </c>
      <c r="B47" s="1" t="s">
        <v>25</v>
      </c>
      <c r="C47" t="s">
        <v>8</v>
      </c>
      <c r="D47">
        <v>1431800</v>
      </c>
    </row>
    <row r="48" spans="1:4" x14ac:dyDescent="0.2">
      <c r="A48">
        <v>1902</v>
      </c>
      <c r="B48" s="1" t="s">
        <v>24</v>
      </c>
      <c r="C48" t="s">
        <v>9</v>
      </c>
      <c r="D48">
        <v>1056600</v>
      </c>
    </row>
    <row r="49" spans="1:4" x14ac:dyDescent="0.2">
      <c r="A49">
        <v>1902</v>
      </c>
      <c r="B49" s="1" t="s">
        <v>25</v>
      </c>
      <c r="C49" t="s">
        <v>9</v>
      </c>
      <c r="D49">
        <v>929100</v>
      </c>
    </row>
    <row r="50" spans="1:4" x14ac:dyDescent="0.2">
      <c r="A50">
        <v>1902</v>
      </c>
      <c r="B50" s="1" t="s">
        <v>24</v>
      </c>
      <c r="C50" t="s">
        <v>10</v>
      </c>
      <c r="D50">
        <v>617200</v>
      </c>
    </row>
    <row r="51" spans="1:4" x14ac:dyDescent="0.2">
      <c r="A51">
        <v>1902</v>
      </c>
      <c r="B51" s="1" t="s">
        <v>25</v>
      </c>
      <c r="C51" t="s">
        <v>10</v>
      </c>
      <c r="D51">
        <v>492800</v>
      </c>
    </row>
    <row r="52" spans="1:4" x14ac:dyDescent="0.2">
      <c r="A52">
        <v>1902</v>
      </c>
      <c r="B52" s="1" t="s">
        <v>24</v>
      </c>
      <c r="C52" t="s">
        <v>11</v>
      </c>
      <c r="D52">
        <v>233100</v>
      </c>
    </row>
    <row r="53" spans="1:4" x14ac:dyDescent="0.2">
      <c r="A53">
        <v>1902</v>
      </c>
      <c r="B53" s="1" t="s">
        <v>25</v>
      </c>
      <c r="C53" t="s">
        <v>11</v>
      </c>
      <c r="D53">
        <v>167500</v>
      </c>
    </row>
    <row r="54" spans="1:4" x14ac:dyDescent="0.2">
      <c r="A54">
        <v>1903</v>
      </c>
      <c r="B54" s="1" t="s">
        <v>24</v>
      </c>
      <c r="C54" s="1" t="s">
        <v>29</v>
      </c>
      <c r="D54">
        <v>408900</v>
      </c>
    </row>
    <row r="55" spans="1:4" x14ac:dyDescent="0.2">
      <c r="A55">
        <v>1903</v>
      </c>
      <c r="B55" s="1" t="s">
        <v>25</v>
      </c>
      <c r="C55" s="1" t="s">
        <v>29</v>
      </c>
      <c r="D55">
        <v>410700</v>
      </c>
    </row>
    <row r="56" spans="1:4" x14ac:dyDescent="0.2">
      <c r="A56">
        <v>1903</v>
      </c>
      <c r="B56" s="1" t="s">
        <v>24</v>
      </c>
      <c r="C56" s="2" t="s">
        <v>26</v>
      </c>
      <c r="D56">
        <v>1464800</v>
      </c>
    </row>
    <row r="57" spans="1:4" x14ac:dyDescent="0.2">
      <c r="A57">
        <v>1903</v>
      </c>
      <c r="B57" s="1" t="s">
        <v>25</v>
      </c>
      <c r="C57" s="2" t="s">
        <v>26</v>
      </c>
      <c r="D57">
        <v>1462200</v>
      </c>
    </row>
    <row r="58" spans="1:4" x14ac:dyDescent="0.2">
      <c r="A58">
        <v>1903</v>
      </c>
      <c r="B58" s="1" t="s">
        <v>24</v>
      </c>
      <c r="C58" s="2" t="s">
        <v>27</v>
      </c>
      <c r="D58">
        <v>1770200</v>
      </c>
    </row>
    <row r="59" spans="1:4" x14ac:dyDescent="0.2">
      <c r="A59">
        <v>1903</v>
      </c>
      <c r="B59" s="1" t="s">
        <v>25</v>
      </c>
      <c r="C59" s="2" t="s">
        <v>27</v>
      </c>
      <c r="D59">
        <v>1762400</v>
      </c>
    </row>
    <row r="60" spans="1:4" x14ac:dyDescent="0.2">
      <c r="A60">
        <v>1903</v>
      </c>
      <c r="B60" s="1" t="s">
        <v>24</v>
      </c>
      <c r="C60" s="3" t="s">
        <v>28</v>
      </c>
      <c r="D60">
        <v>1688300</v>
      </c>
    </row>
    <row r="61" spans="1:4" x14ac:dyDescent="0.2">
      <c r="A61">
        <v>1903</v>
      </c>
      <c r="B61" s="1" t="s">
        <v>25</v>
      </c>
      <c r="C61" s="3" t="s">
        <v>28</v>
      </c>
      <c r="D61">
        <v>1687500</v>
      </c>
    </row>
    <row r="62" spans="1:4" x14ac:dyDescent="0.2">
      <c r="A62">
        <v>1903</v>
      </c>
      <c r="B62" s="1" t="s">
        <v>24</v>
      </c>
      <c r="C62" t="s">
        <v>4</v>
      </c>
      <c r="D62">
        <v>1647900</v>
      </c>
    </row>
    <row r="63" spans="1:4" x14ac:dyDescent="0.2">
      <c r="A63">
        <v>1903</v>
      </c>
      <c r="B63" s="1" t="s">
        <v>25</v>
      </c>
      <c r="C63" t="s">
        <v>4</v>
      </c>
      <c r="D63">
        <v>1617800</v>
      </c>
    </row>
    <row r="64" spans="1:4" x14ac:dyDescent="0.2">
      <c r="A64">
        <v>1903</v>
      </c>
      <c r="B64" s="1" t="s">
        <v>24</v>
      </c>
      <c r="C64" t="s">
        <v>5</v>
      </c>
      <c r="D64">
        <v>1653600</v>
      </c>
    </row>
    <row r="65" spans="1:4" x14ac:dyDescent="0.2">
      <c r="A65">
        <v>1903</v>
      </c>
      <c r="B65" s="1" t="s">
        <v>25</v>
      </c>
      <c r="C65" t="s">
        <v>5</v>
      </c>
      <c r="D65">
        <v>1479100</v>
      </c>
    </row>
    <row r="66" spans="1:4" x14ac:dyDescent="0.2">
      <c r="A66">
        <v>1903</v>
      </c>
      <c r="B66" s="1" t="s">
        <v>24</v>
      </c>
      <c r="C66" t="s">
        <v>31</v>
      </c>
      <c r="D66">
        <v>32900</v>
      </c>
    </row>
    <row r="67" spans="1:4" x14ac:dyDescent="0.2">
      <c r="A67">
        <v>1903</v>
      </c>
      <c r="B67" s="1" t="s">
        <v>25</v>
      </c>
      <c r="C67" t="s">
        <v>31</v>
      </c>
      <c r="D67">
        <v>19000</v>
      </c>
    </row>
    <row r="68" spans="1:4" x14ac:dyDescent="0.2">
      <c r="A68">
        <v>1903</v>
      </c>
      <c r="B68" s="1" t="s">
        <v>24</v>
      </c>
      <c r="C68" t="s">
        <v>6</v>
      </c>
      <c r="D68">
        <v>2846500</v>
      </c>
    </row>
    <row r="69" spans="1:4" x14ac:dyDescent="0.2">
      <c r="A69">
        <v>1903</v>
      </c>
      <c r="B69" s="1" t="s">
        <v>25</v>
      </c>
      <c r="C69" t="s">
        <v>6</v>
      </c>
      <c r="D69">
        <v>2560700</v>
      </c>
    </row>
    <row r="70" spans="1:4" x14ac:dyDescent="0.2">
      <c r="A70">
        <v>1903</v>
      </c>
      <c r="B70" s="1" t="s">
        <v>24</v>
      </c>
      <c r="C70" t="s">
        <v>7</v>
      </c>
      <c r="D70">
        <v>2160300</v>
      </c>
    </row>
    <row r="71" spans="1:4" x14ac:dyDescent="0.2">
      <c r="A71">
        <v>1903</v>
      </c>
      <c r="B71" s="1" t="s">
        <v>25</v>
      </c>
      <c r="C71" t="s">
        <v>7</v>
      </c>
      <c r="D71">
        <v>2019400</v>
      </c>
    </row>
    <row r="72" spans="1:4" x14ac:dyDescent="0.2">
      <c r="A72">
        <v>1903</v>
      </c>
      <c r="B72" s="1" t="s">
        <v>24</v>
      </c>
      <c r="C72" t="s">
        <v>8</v>
      </c>
      <c r="D72">
        <v>1576800</v>
      </c>
    </row>
    <row r="73" spans="1:4" x14ac:dyDescent="0.2">
      <c r="A73">
        <v>1903</v>
      </c>
      <c r="B73" s="1" t="s">
        <v>25</v>
      </c>
      <c r="C73" t="s">
        <v>8</v>
      </c>
      <c r="D73">
        <v>1460600</v>
      </c>
    </row>
    <row r="74" spans="1:4" x14ac:dyDescent="0.2">
      <c r="A74">
        <v>1903</v>
      </c>
      <c r="B74" s="1" t="s">
        <v>24</v>
      </c>
      <c r="C74" t="s">
        <v>9</v>
      </c>
      <c r="D74">
        <v>1073700</v>
      </c>
    </row>
    <row r="75" spans="1:4" x14ac:dyDescent="0.2">
      <c r="A75">
        <v>1903</v>
      </c>
      <c r="B75" s="1" t="s">
        <v>25</v>
      </c>
      <c r="C75" t="s">
        <v>9</v>
      </c>
      <c r="D75">
        <v>946200</v>
      </c>
    </row>
    <row r="76" spans="1:4" x14ac:dyDescent="0.2">
      <c r="A76">
        <v>1903</v>
      </c>
      <c r="B76" s="1" t="s">
        <v>24</v>
      </c>
      <c r="C76" t="s">
        <v>10</v>
      </c>
      <c r="D76">
        <v>632600</v>
      </c>
    </row>
    <row r="77" spans="1:4" x14ac:dyDescent="0.2">
      <c r="A77">
        <v>1903</v>
      </c>
      <c r="B77" s="1" t="s">
        <v>25</v>
      </c>
      <c r="C77" t="s">
        <v>10</v>
      </c>
      <c r="D77">
        <v>504900</v>
      </c>
    </row>
    <row r="78" spans="1:4" x14ac:dyDescent="0.2">
      <c r="A78">
        <v>1903</v>
      </c>
      <c r="B78" s="1" t="s">
        <v>24</v>
      </c>
      <c r="C78" t="s">
        <v>11</v>
      </c>
      <c r="D78">
        <v>237100</v>
      </c>
    </row>
    <row r="79" spans="1:4" x14ac:dyDescent="0.2">
      <c r="A79">
        <v>1903</v>
      </c>
      <c r="B79" s="1" t="s">
        <v>25</v>
      </c>
      <c r="C79" t="s">
        <v>11</v>
      </c>
      <c r="D79">
        <v>169300</v>
      </c>
    </row>
    <row r="80" spans="1:4" x14ac:dyDescent="0.2">
      <c r="A80">
        <v>1904</v>
      </c>
      <c r="B80" s="1" t="s">
        <v>24</v>
      </c>
      <c r="C80" s="1" t="s">
        <v>29</v>
      </c>
      <c r="D80">
        <v>407100</v>
      </c>
    </row>
    <row r="81" spans="1:4" x14ac:dyDescent="0.2">
      <c r="A81">
        <v>1904</v>
      </c>
      <c r="B81" s="1" t="s">
        <v>25</v>
      </c>
      <c r="C81" s="1" t="s">
        <v>29</v>
      </c>
      <c r="D81">
        <v>408700</v>
      </c>
    </row>
    <row r="82" spans="1:4" x14ac:dyDescent="0.2">
      <c r="A82">
        <v>1904</v>
      </c>
      <c r="B82" s="1" t="s">
        <v>24</v>
      </c>
      <c r="C82" s="2" t="s">
        <v>26</v>
      </c>
      <c r="D82">
        <v>1477300</v>
      </c>
    </row>
    <row r="83" spans="1:4" x14ac:dyDescent="0.2">
      <c r="A83">
        <v>1904</v>
      </c>
      <c r="B83" s="1" t="s">
        <v>25</v>
      </c>
      <c r="C83" s="2" t="s">
        <v>26</v>
      </c>
      <c r="D83">
        <v>1477100</v>
      </c>
    </row>
    <row r="84" spans="1:4" x14ac:dyDescent="0.2">
      <c r="A84">
        <v>1904</v>
      </c>
      <c r="B84" s="1" t="s">
        <v>24</v>
      </c>
      <c r="C84" s="2" t="s">
        <v>27</v>
      </c>
      <c r="D84">
        <v>1784900</v>
      </c>
    </row>
    <row r="85" spans="1:4" x14ac:dyDescent="0.2">
      <c r="A85">
        <v>1904</v>
      </c>
      <c r="B85" s="1" t="s">
        <v>25</v>
      </c>
      <c r="C85" s="2" t="s">
        <v>27</v>
      </c>
      <c r="D85">
        <v>1777800</v>
      </c>
    </row>
    <row r="86" spans="1:4" x14ac:dyDescent="0.2">
      <c r="A86">
        <v>1904</v>
      </c>
      <c r="B86" s="1" t="s">
        <v>24</v>
      </c>
      <c r="C86" s="3" t="s">
        <v>28</v>
      </c>
      <c r="D86">
        <v>1700900</v>
      </c>
    </row>
    <row r="87" spans="1:4" x14ac:dyDescent="0.2">
      <c r="A87">
        <v>1904</v>
      </c>
      <c r="B87" s="1" t="s">
        <v>25</v>
      </c>
      <c r="C87" s="3" t="s">
        <v>28</v>
      </c>
      <c r="D87">
        <v>1699700</v>
      </c>
    </row>
    <row r="88" spans="1:4" x14ac:dyDescent="0.2">
      <c r="A88">
        <v>1904</v>
      </c>
      <c r="B88" s="1" t="s">
        <v>24</v>
      </c>
      <c r="C88" t="s">
        <v>4</v>
      </c>
      <c r="D88">
        <v>1656700</v>
      </c>
    </row>
    <row r="89" spans="1:4" x14ac:dyDescent="0.2">
      <c r="A89">
        <v>1904</v>
      </c>
      <c r="B89" s="1" t="s">
        <v>25</v>
      </c>
      <c r="C89" t="s">
        <v>4</v>
      </c>
      <c r="D89">
        <v>1626800</v>
      </c>
    </row>
    <row r="90" spans="1:4" x14ac:dyDescent="0.2">
      <c r="A90">
        <v>1904</v>
      </c>
      <c r="B90" s="1" t="s">
        <v>24</v>
      </c>
      <c r="C90" t="s">
        <v>5</v>
      </c>
      <c r="D90">
        <v>1660600</v>
      </c>
    </row>
    <row r="91" spans="1:4" x14ac:dyDescent="0.2">
      <c r="A91">
        <v>1904</v>
      </c>
      <c r="B91" s="1" t="s">
        <v>25</v>
      </c>
      <c r="C91" t="s">
        <v>5</v>
      </c>
      <c r="D91">
        <v>1486100</v>
      </c>
    </row>
    <row r="92" spans="1:4" x14ac:dyDescent="0.2">
      <c r="A92">
        <v>1904</v>
      </c>
      <c r="B92" s="1" t="s">
        <v>24</v>
      </c>
      <c r="C92" t="s">
        <v>31</v>
      </c>
      <c r="D92">
        <v>34000</v>
      </c>
    </row>
    <row r="93" spans="1:4" x14ac:dyDescent="0.2">
      <c r="A93">
        <v>1904</v>
      </c>
      <c r="B93" s="1" t="s">
        <v>25</v>
      </c>
      <c r="C93" t="s">
        <v>31</v>
      </c>
      <c r="D93">
        <v>19500</v>
      </c>
    </row>
    <row r="94" spans="1:4" x14ac:dyDescent="0.2">
      <c r="A94">
        <v>1904</v>
      </c>
      <c r="B94" s="1" t="s">
        <v>24</v>
      </c>
      <c r="C94" t="s">
        <v>6</v>
      </c>
      <c r="D94">
        <v>2889100</v>
      </c>
    </row>
    <row r="95" spans="1:4" x14ac:dyDescent="0.2">
      <c r="A95">
        <v>1904</v>
      </c>
      <c r="B95" s="1" t="s">
        <v>25</v>
      </c>
      <c r="C95" t="s">
        <v>6</v>
      </c>
      <c r="D95">
        <v>2601500</v>
      </c>
    </row>
    <row r="96" spans="1:4" x14ac:dyDescent="0.2">
      <c r="A96">
        <v>1904</v>
      </c>
      <c r="B96" s="1" t="s">
        <v>24</v>
      </c>
      <c r="C96" t="s">
        <v>7</v>
      </c>
      <c r="D96">
        <v>2209800</v>
      </c>
    </row>
    <row r="97" spans="1:4" x14ac:dyDescent="0.2">
      <c r="A97">
        <v>1904</v>
      </c>
      <c r="B97" s="1" t="s">
        <v>25</v>
      </c>
      <c r="C97" t="s">
        <v>7</v>
      </c>
      <c r="D97">
        <v>2064500</v>
      </c>
    </row>
    <row r="98" spans="1:4" x14ac:dyDescent="0.2">
      <c r="A98">
        <v>1904</v>
      </c>
      <c r="B98" s="1" t="s">
        <v>24</v>
      </c>
      <c r="C98" t="s">
        <v>8</v>
      </c>
      <c r="D98">
        <v>1613300</v>
      </c>
    </row>
    <row r="99" spans="1:4" x14ac:dyDescent="0.2">
      <c r="A99">
        <v>1904</v>
      </c>
      <c r="B99" s="1" t="s">
        <v>25</v>
      </c>
      <c r="C99" t="s">
        <v>8</v>
      </c>
      <c r="D99">
        <v>1493800</v>
      </c>
    </row>
    <row r="100" spans="1:4" x14ac:dyDescent="0.2">
      <c r="A100">
        <v>1904</v>
      </c>
      <c r="B100" s="1" t="s">
        <v>24</v>
      </c>
      <c r="C100" t="s">
        <v>9</v>
      </c>
      <c r="D100">
        <v>1094100</v>
      </c>
    </row>
    <row r="101" spans="1:4" x14ac:dyDescent="0.2">
      <c r="A101">
        <v>1904</v>
      </c>
      <c r="B101" s="1" t="s">
        <v>25</v>
      </c>
      <c r="C101" t="s">
        <v>9</v>
      </c>
      <c r="D101">
        <v>966200</v>
      </c>
    </row>
    <row r="102" spans="1:4" x14ac:dyDescent="0.2">
      <c r="A102">
        <v>1904</v>
      </c>
      <c r="B102" s="1" t="s">
        <v>24</v>
      </c>
      <c r="C102" t="s">
        <v>10</v>
      </c>
      <c r="D102">
        <v>649900</v>
      </c>
    </row>
    <row r="103" spans="1:4" x14ac:dyDescent="0.2">
      <c r="A103">
        <v>1904</v>
      </c>
      <c r="B103" s="1" t="s">
        <v>25</v>
      </c>
      <c r="C103" t="s">
        <v>10</v>
      </c>
      <c r="D103">
        <v>518500</v>
      </c>
    </row>
    <row r="104" spans="1:4" x14ac:dyDescent="0.2">
      <c r="A104">
        <v>1904</v>
      </c>
      <c r="B104" s="1" t="s">
        <v>24</v>
      </c>
      <c r="C104" t="s">
        <v>11</v>
      </c>
      <c r="D104">
        <v>241900</v>
      </c>
    </row>
    <row r="105" spans="1:4" x14ac:dyDescent="0.2">
      <c r="A105">
        <v>1904</v>
      </c>
      <c r="B105" s="1" t="s">
        <v>25</v>
      </c>
      <c r="C105" t="s">
        <v>11</v>
      </c>
      <c r="D105">
        <v>171500</v>
      </c>
    </row>
    <row r="106" spans="1:4" x14ac:dyDescent="0.2">
      <c r="A106">
        <v>1905</v>
      </c>
      <c r="B106" s="1" t="s">
        <v>24</v>
      </c>
      <c r="C106" s="1" t="s">
        <v>29</v>
      </c>
      <c r="D106">
        <v>403600</v>
      </c>
    </row>
    <row r="107" spans="1:4" x14ac:dyDescent="0.2">
      <c r="A107">
        <v>1905</v>
      </c>
      <c r="B107" s="1" t="s">
        <v>25</v>
      </c>
      <c r="C107" s="1" t="s">
        <v>29</v>
      </c>
      <c r="D107">
        <v>405500</v>
      </c>
    </row>
    <row r="108" spans="1:4" x14ac:dyDescent="0.2">
      <c r="A108">
        <v>1905</v>
      </c>
      <c r="B108" s="1" t="s">
        <v>24</v>
      </c>
      <c r="C108" s="2" t="s">
        <v>26</v>
      </c>
      <c r="D108">
        <v>1481300</v>
      </c>
    </row>
    <row r="109" spans="1:4" x14ac:dyDescent="0.2">
      <c r="A109">
        <v>1905</v>
      </c>
      <c r="B109" s="1" t="s">
        <v>25</v>
      </c>
      <c r="C109" s="2" t="s">
        <v>26</v>
      </c>
      <c r="D109">
        <v>1483100</v>
      </c>
    </row>
    <row r="110" spans="1:4" x14ac:dyDescent="0.2">
      <c r="A110">
        <v>1905</v>
      </c>
      <c r="B110" s="1" t="s">
        <v>24</v>
      </c>
      <c r="C110" s="2" t="s">
        <v>27</v>
      </c>
      <c r="D110">
        <v>1790000</v>
      </c>
    </row>
    <row r="111" spans="1:4" x14ac:dyDescent="0.2">
      <c r="A111">
        <v>1905</v>
      </c>
      <c r="B111" s="1" t="s">
        <v>25</v>
      </c>
      <c r="C111" s="2" t="s">
        <v>27</v>
      </c>
      <c r="D111">
        <v>1783700</v>
      </c>
    </row>
    <row r="112" spans="1:4" x14ac:dyDescent="0.2">
      <c r="A112">
        <v>1905</v>
      </c>
      <c r="B112" s="1" t="s">
        <v>24</v>
      </c>
      <c r="C112" s="3" t="s">
        <v>28</v>
      </c>
      <c r="D112">
        <v>1704300</v>
      </c>
    </row>
    <row r="113" spans="1:4" x14ac:dyDescent="0.2">
      <c r="A113">
        <v>1905</v>
      </c>
      <c r="B113" s="1" t="s">
        <v>25</v>
      </c>
      <c r="C113" s="3" t="s">
        <v>28</v>
      </c>
      <c r="D113">
        <v>1702600</v>
      </c>
    </row>
    <row r="114" spans="1:4" x14ac:dyDescent="0.2">
      <c r="A114">
        <v>1905</v>
      </c>
      <c r="B114" s="1" t="s">
        <v>24</v>
      </c>
      <c r="C114" t="s">
        <v>4</v>
      </c>
      <c r="D114">
        <v>1656400</v>
      </c>
    </row>
    <row r="115" spans="1:4" x14ac:dyDescent="0.2">
      <c r="A115">
        <v>1905</v>
      </c>
      <c r="B115" s="1" t="s">
        <v>25</v>
      </c>
      <c r="C115" t="s">
        <v>4</v>
      </c>
      <c r="D115">
        <v>1627100</v>
      </c>
    </row>
    <row r="116" spans="1:4" x14ac:dyDescent="0.2">
      <c r="A116">
        <v>1905</v>
      </c>
      <c r="B116" s="1" t="s">
        <v>24</v>
      </c>
      <c r="C116" t="s">
        <v>5</v>
      </c>
      <c r="D116">
        <v>1658500</v>
      </c>
    </row>
    <row r="117" spans="1:4" x14ac:dyDescent="0.2">
      <c r="A117">
        <v>1905</v>
      </c>
      <c r="B117" s="1" t="s">
        <v>25</v>
      </c>
      <c r="C117" t="s">
        <v>5</v>
      </c>
      <c r="D117">
        <v>1485000</v>
      </c>
    </row>
    <row r="118" spans="1:4" x14ac:dyDescent="0.2">
      <c r="A118">
        <v>1905</v>
      </c>
      <c r="B118" s="1" t="s">
        <v>24</v>
      </c>
      <c r="C118" t="s">
        <v>31</v>
      </c>
      <c r="D118">
        <v>35000</v>
      </c>
    </row>
    <row r="119" spans="1:4" x14ac:dyDescent="0.2">
      <c r="A119">
        <v>1905</v>
      </c>
      <c r="B119" s="1" t="s">
        <v>25</v>
      </c>
      <c r="C119" t="s">
        <v>31</v>
      </c>
      <c r="D119">
        <v>19900</v>
      </c>
    </row>
    <row r="120" spans="1:4" x14ac:dyDescent="0.2">
      <c r="A120">
        <v>1905</v>
      </c>
      <c r="B120" s="1" t="s">
        <v>24</v>
      </c>
      <c r="C120" t="s">
        <v>6</v>
      </c>
      <c r="D120">
        <v>2916200</v>
      </c>
    </row>
    <row r="121" spans="1:4" x14ac:dyDescent="0.2">
      <c r="A121">
        <v>1905</v>
      </c>
      <c r="B121" s="1" t="s">
        <v>25</v>
      </c>
      <c r="C121" t="s">
        <v>6</v>
      </c>
      <c r="D121">
        <v>2628500</v>
      </c>
    </row>
    <row r="122" spans="1:4" x14ac:dyDescent="0.2">
      <c r="A122">
        <v>1905</v>
      </c>
      <c r="B122" s="1" t="s">
        <v>24</v>
      </c>
      <c r="C122" t="s">
        <v>7</v>
      </c>
      <c r="D122">
        <v>2247700</v>
      </c>
    </row>
    <row r="123" spans="1:4" x14ac:dyDescent="0.2">
      <c r="A123">
        <v>1905</v>
      </c>
      <c r="B123" s="1" t="s">
        <v>25</v>
      </c>
      <c r="C123" t="s">
        <v>7</v>
      </c>
      <c r="D123">
        <v>2098800</v>
      </c>
    </row>
    <row r="124" spans="1:4" x14ac:dyDescent="0.2">
      <c r="A124">
        <v>1905</v>
      </c>
      <c r="B124" s="1" t="s">
        <v>24</v>
      </c>
      <c r="C124" t="s">
        <v>8</v>
      </c>
      <c r="D124">
        <v>1641200</v>
      </c>
    </row>
    <row r="125" spans="1:4" x14ac:dyDescent="0.2">
      <c r="A125">
        <v>1905</v>
      </c>
      <c r="B125" s="1" t="s">
        <v>25</v>
      </c>
      <c r="C125" t="s">
        <v>8</v>
      </c>
      <c r="D125">
        <v>1519200</v>
      </c>
    </row>
    <row r="126" spans="1:4" x14ac:dyDescent="0.2">
      <c r="A126">
        <v>1905</v>
      </c>
      <c r="B126" s="1" t="s">
        <v>24</v>
      </c>
      <c r="C126" t="s">
        <v>9</v>
      </c>
      <c r="D126">
        <v>1108700</v>
      </c>
    </row>
    <row r="127" spans="1:4" x14ac:dyDescent="0.2">
      <c r="A127">
        <v>1905</v>
      </c>
      <c r="B127" s="1" t="s">
        <v>25</v>
      </c>
      <c r="C127" t="s">
        <v>9</v>
      </c>
      <c r="D127">
        <v>981000</v>
      </c>
    </row>
    <row r="128" spans="1:4" x14ac:dyDescent="0.2">
      <c r="A128">
        <v>1905</v>
      </c>
      <c r="B128" s="1" t="s">
        <v>24</v>
      </c>
      <c r="C128" t="s">
        <v>10</v>
      </c>
      <c r="D128">
        <v>663900</v>
      </c>
    </row>
    <row r="129" spans="1:4" x14ac:dyDescent="0.2">
      <c r="A129">
        <v>1905</v>
      </c>
      <c r="B129" s="1" t="s">
        <v>25</v>
      </c>
      <c r="C129" t="s">
        <v>10</v>
      </c>
      <c r="D129">
        <v>529400</v>
      </c>
    </row>
    <row r="130" spans="1:4" x14ac:dyDescent="0.2">
      <c r="A130">
        <v>1905</v>
      </c>
      <c r="B130" s="1" t="s">
        <v>24</v>
      </c>
      <c r="C130" t="s">
        <v>11</v>
      </c>
      <c r="D130">
        <v>245400</v>
      </c>
    </row>
    <row r="131" spans="1:4" x14ac:dyDescent="0.2">
      <c r="A131">
        <v>1905</v>
      </c>
      <c r="B131" s="1" t="s">
        <v>25</v>
      </c>
      <c r="C131" t="s">
        <v>11</v>
      </c>
      <c r="D131">
        <v>172900</v>
      </c>
    </row>
    <row r="132" spans="1:4" x14ac:dyDescent="0.2">
      <c r="A132">
        <v>1906</v>
      </c>
      <c r="B132" s="1" t="s">
        <v>24</v>
      </c>
      <c r="C132" s="1" t="s">
        <v>29</v>
      </c>
      <c r="D132">
        <v>403700</v>
      </c>
    </row>
    <row r="133" spans="1:4" x14ac:dyDescent="0.2">
      <c r="A133">
        <v>1906</v>
      </c>
      <c r="B133" s="1" t="s">
        <v>25</v>
      </c>
      <c r="C133" s="1" t="s">
        <v>29</v>
      </c>
      <c r="D133">
        <v>407000</v>
      </c>
    </row>
    <row r="134" spans="1:4" x14ac:dyDescent="0.2">
      <c r="A134">
        <v>1906</v>
      </c>
      <c r="B134" s="1" t="s">
        <v>24</v>
      </c>
      <c r="C134" s="2" t="s">
        <v>26</v>
      </c>
      <c r="D134">
        <v>1486800</v>
      </c>
    </row>
    <row r="135" spans="1:4" x14ac:dyDescent="0.2">
      <c r="A135">
        <v>1906</v>
      </c>
      <c r="B135" s="1" t="s">
        <v>25</v>
      </c>
      <c r="C135" s="2" t="s">
        <v>26</v>
      </c>
      <c r="D135">
        <v>1489700</v>
      </c>
    </row>
    <row r="136" spans="1:4" x14ac:dyDescent="0.2">
      <c r="A136">
        <v>1906</v>
      </c>
      <c r="B136" s="1" t="s">
        <v>24</v>
      </c>
      <c r="C136" s="2" t="s">
        <v>27</v>
      </c>
      <c r="D136">
        <v>1800100</v>
      </c>
    </row>
    <row r="137" spans="1:4" x14ac:dyDescent="0.2">
      <c r="A137">
        <v>1906</v>
      </c>
      <c r="B137" s="1" t="s">
        <v>25</v>
      </c>
      <c r="C137" s="2" t="s">
        <v>27</v>
      </c>
      <c r="D137">
        <v>1794500</v>
      </c>
    </row>
    <row r="138" spans="1:4" x14ac:dyDescent="0.2">
      <c r="A138">
        <v>1906</v>
      </c>
      <c r="B138" s="1" t="s">
        <v>24</v>
      </c>
      <c r="C138" s="3" t="s">
        <v>28</v>
      </c>
      <c r="D138">
        <v>1712400</v>
      </c>
    </row>
    <row r="139" spans="1:4" x14ac:dyDescent="0.2">
      <c r="A139">
        <v>1906</v>
      </c>
      <c r="B139" s="1" t="s">
        <v>25</v>
      </c>
      <c r="C139" s="3" t="s">
        <v>28</v>
      </c>
      <c r="D139">
        <v>1710200</v>
      </c>
    </row>
    <row r="140" spans="1:4" x14ac:dyDescent="0.2">
      <c r="A140">
        <v>1906</v>
      </c>
      <c r="B140" s="1" t="s">
        <v>24</v>
      </c>
      <c r="C140" t="s">
        <v>4</v>
      </c>
      <c r="D140">
        <v>1660700</v>
      </c>
    </row>
    <row r="141" spans="1:4" x14ac:dyDescent="0.2">
      <c r="A141">
        <v>1906</v>
      </c>
      <c r="B141" s="1" t="s">
        <v>25</v>
      </c>
      <c r="C141" t="s">
        <v>4</v>
      </c>
      <c r="D141">
        <v>1631800</v>
      </c>
    </row>
    <row r="142" spans="1:4" x14ac:dyDescent="0.2">
      <c r="A142">
        <v>1906</v>
      </c>
      <c r="B142" s="1" t="s">
        <v>24</v>
      </c>
      <c r="C142" t="s">
        <v>5</v>
      </c>
      <c r="D142">
        <v>1661000</v>
      </c>
    </row>
    <row r="143" spans="1:4" x14ac:dyDescent="0.2">
      <c r="A143">
        <v>1906</v>
      </c>
      <c r="B143" s="1" t="s">
        <v>25</v>
      </c>
      <c r="C143" t="s">
        <v>5</v>
      </c>
      <c r="D143">
        <v>1488000</v>
      </c>
    </row>
    <row r="144" spans="1:4" x14ac:dyDescent="0.2">
      <c r="A144">
        <v>1906</v>
      </c>
      <c r="B144" s="1" t="s">
        <v>24</v>
      </c>
      <c r="C144" t="s">
        <v>31</v>
      </c>
      <c r="D144">
        <v>36100</v>
      </c>
    </row>
    <row r="145" spans="1:4" x14ac:dyDescent="0.2">
      <c r="A145">
        <v>1906</v>
      </c>
      <c r="B145" s="1" t="s">
        <v>25</v>
      </c>
      <c r="C145" t="s">
        <v>31</v>
      </c>
      <c r="D145">
        <v>20400</v>
      </c>
    </row>
    <row r="146" spans="1:4" x14ac:dyDescent="0.2">
      <c r="A146">
        <v>1906</v>
      </c>
      <c r="B146" s="1" t="s">
        <v>24</v>
      </c>
      <c r="C146" t="s">
        <v>6</v>
      </c>
      <c r="D146">
        <v>2951500</v>
      </c>
    </row>
    <row r="147" spans="1:4" x14ac:dyDescent="0.2">
      <c r="A147">
        <v>1906</v>
      </c>
      <c r="B147" s="1" t="s">
        <v>25</v>
      </c>
      <c r="C147" t="s">
        <v>6</v>
      </c>
      <c r="D147">
        <v>2663000</v>
      </c>
    </row>
    <row r="148" spans="1:4" x14ac:dyDescent="0.2">
      <c r="A148">
        <v>1906</v>
      </c>
      <c r="B148" s="1" t="s">
        <v>24</v>
      </c>
      <c r="C148" t="s">
        <v>7</v>
      </c>
      <c r="D148">
        <v>2292100</v>
      </c>
    </row>
    <row r="149" spans="1:4" x14ac:dyDescent="0.2">
      <c r="A149">
        <v>1906</v>
      </c>
      <c r="B149" s="1" t="s">
        <v>25</v>
      </c>
      <c r="C149" t="s">
        <v>7</v>
      </c>
      <c r="D149">
        <v>2139100</v>
      </c>
    </row>
    <row r="150" spans="1:4" x14ac:dyDescent="0.2">
      <c r="A150">
        <v>1906</v>
      </c>
      <c r="B150" s="1" t="s">
        <v>24</v>
      </c>
      <c r="C150" t="s">
        <v>8</v>
      </c>
      <c r="D150">
        <v>1673900</v>
      </c>
    </row>
    <row r="151" spans="1:4" x14ac:dyDescent="0.2">
      <c r="A151">
        <v>1906</v>
      </c>
      <c r="B151" s="1" t="s">
        <v>25</v>
      </c>
      <c r="C151" t="s">
        <v>8</v>
      </c>
      <c r="D151">
        <v>1548900</v>
      </c>
    </row>
    <row r="152" spans="1:4" x14ac:dyDescent="0.2">
      <c r="A152">
        <v>1906</v>
      </c>
      <c r="B152" s="1" t="s">
        <v>24</v>
      </c>
      <c r="C152" t="s">
        <v>9</v>
      </c>
      <c r="D152">
        <v>1126400</v>
      </c>
    </row>
    <row r="153" spans="1:4" x14ac:dyDescent="0.2">
      <c r="A153">
        <v>1906</v>
      </c>
      <c r="B153" s="1" t="s">
        <v>25</v>
      </c>
      <c r="C153" t="s">
        <v>9</v>
      </c>
      <c r="D153">
        <v>998700</v>
      </c>
    </row>
    <row r="154" spans="1:4" x14ac:dyDescent="0.2">
      <c r="A154">
        <v>1906</v>
      </c>
      <c r="B154" s="1" t="s">
        <v>24</v>
      </c>
      <c r="C154" t="s">
        <v>10</v>
      </c>
      <c r="D154">
        <v>679800</v>
      </c>
    </row>
    <row r="155" spans="1:4" x14ac:dyDescent="0.2">
      <c r="A155">
        <v>1906</v>
      </c>
      <c r="B155" s="1" t="s">
        <v>25</v>
      </c>
      <c r="C155" t="s">
        <v>10</v>
      </c>
      <c r="D155">
        <v>541800</v>
      </c>
    </row>
    <row r="156" spans="1:4" x14ac:dyDescent="0.2">
      <c r="A156">
        <v>1906</v>
      </c>
      <c r="B156" s="1" t="s">
        <v>24</v>
      </c>
      <c r="C156" t="s">
        <v>11</v>
      </c>
      <c r="D156">
        <v>249600</v>
      </c>
    </row>
    <row r="157" spans="1:4" x14ac:dyDescent="0.2">
      <c r="A157">
        <v>1906</v>
      </c>
      <c r="B157" s="1" t="s">
        <v>25</v>
      </c>
      <c r="C157" t="s">
        <v>11</v>
      </c>
      <c r="D157">
        <v>174800</v>
      </c>
    </row>
    <row r="158" spans="1:4" x14ac:dyDescent="0.2">
      <c r="A158">
        <v>1907</v>
      </c>
      <c r="B158" s="1" t="s">
        <v>24</v>
      </c>
      <c r="C158" s="1" t="s">
        <v>29</v>
      </c>
      <c r="D158">
        <v>403300</v>
      </c>
    </row>
    <row r="159" spans="1:4" x14ac:dyDescent="0.2">
      <c r="A159">
        <v>1907</v>
      </c>
      <c r="B159" s="1" t="s">
        <v>25</v>
      </c>
      <c r="C159" s="1" t="s">
        <v>29</v>
      </c>
      <c r="D159">
        <v>407300</v>
      </c>
    </row>
    <row r="160" spans="1:4" x14ac:dyDescent="0.2">
      <c r="A160">
        <v>1907</v>
      </c>
      <c r="B160" s="1" t="s">
        <v>24</v>
      </c>
      <c r="C160" s="2" t="s">
        <v>26</v>
      </c>
      <c r="D160">
        <v>1492900</v>
      </c>
    </row>
    <row r="161" spans="1:4" x14ac:dyDescent="0.2">
      <c r="A161">
        <v>1907</v>
      </c>
      <c r="B161" s="1" t="s">
        <v>25</v>
      </c>
      <c r="C161" s="2" t="s">
        <v>26</v>
      </c>
      <c r="D161">
        <v>1497500</v>
      </c>
    </row>
    <row r="162" spans="1:4" x14ac:dyDescent="0.2">
      <c r="A162">
        <v>1907</v>
      </c>
      <c r="B162" s="1" t="s">
        <v>24</v>
      </c>
      <c r="C162" s="2" t="s">
        <v>27</v>
      </c>
      <c r="D162">
        <v>1810300</v>
      </c>
    </row>
    <row r="163" spans="1:4" x14ac:dyDescent="0.2">
      <c r="A163">
        <v>1907</v>
      </c>
      <c r="B163" s="1" t="s">
        <v>25</v>
      </c>
      <c r="C163" s="2" t="s">
        <v>27</v>
      </c>
      <c r="D163">
        <v>1805400</v>
      </c>
    </row>
    <row r="164" spans="1:4" x14ac:dyDescent="0.2">
      <c r="A164">
        <v>1907</v>
      </c>
      <c r="B164" s="1" t="s">
        <v>24</v>
      </c>
      <c r="C164" s="3" t="s">
        <v>28</v>
      </c>
      <c r="D164">
        <v>1720600</v>
      </c>
    </row>
    <row r="165" spans="1:4" x14ac:dyDescent="0.2">
      <c r="A165">
        <v>1907</v>
      </c>
      <c r="B165" s="1" t="s">
        <v>25</v>
      </c>
      <c r="C165" s="3" t="s">
        <v>28</v>
      </c>
      <c r="D165">
        <v>1718000</v>
      </c>
    </row>
    <row r="166" spans="1:4" x14ac:dyDescent="0.2">
      <c r="A166">
        <v>1907</v>
      </c>
      <c r="B166" s="1" t="s">
        <v>24</v>
      </c>
      <c r="C166" t="s">
        <v>4</v>
      </c>
      <c r="D166">
        <v>1665000</v>
      </c>
    </row>
    <row r="167" spans="1:4" x14ac:dyDescent="0.2">
      <c r="A167">
        <v>1907</v>
      </c>
      <c r="B167" s="1" t="s">
        <v>25</v>
      </c>
      <c r="C167" t="s">
        <v>4</v>
      </c>
      <c r="D167">
        <v>1636600</v>
      </c>
    </row>
    <row r="168" spans="1:4" x14ac:dyDescent="0.2">
      <c r="A168">
        <v>1907</v>
      </c>
      <c r="B168" s="1" t="s">
        <v>24</v>
      </c>
      <c r="C168" t="s">
        <v>5</v>
      </c>
      <c r="D168">
        <v>1663500</v>
      </c>
    </row>
    <row r="169" spans="1:4" x14ac:dyDescent="0.2">
      <c r="A169">
        <v>1907</v>
      </c>
      <c r="B169" s="1" t="s">
        <v>25</v>
      </c>
      <c r="C169" t="s">
        <v>5</v>
      </c>
      <c r="D169">
        <v>1491000</v>
      </c>
    </row>
    <row r="170" spans="1:4" x14ac:dyDescent="0.2">
      <c r="A170">
        <v>1907</v>
      </c>
      <c r="B170" s="1" t="s">
        <v>24</v>
      </c>
      <c r="C170" t="s">
        <v>31</v>
      </c>
      <c r="D170">
        <v>37100</v>
      </c>
    </row>
    <row r="171" spans="1:4" x14ac:dyDescent="0.2">
      <c r="A171">
        <v>1907</v>
      </c>
      <c r="B171" s="1" t="s">
        <v>25</v>
      </c>
      <c r="C171" t="s">
        <v>31</v>
      </c>
      <c r="D171">
        <v>20900</v>
      </c>
    </row>
    <row r="172" spans="1:4" x14ac:dyDescent="0.2">
      <c r="A172">
        <v>1907</v>
      </c>
      <c r="B172" s="1" t="s">
        <v>24</v>
      </c>
      <c r="C172" t="s">
        <v>6</v>
      </c>
      <c r="D172">
        <v>2987300</v>
      </c>
    </row>
    <row r="173" spans="1:4" x14ac:dyDescent="0.2">
      <c r="A173">
        <v>1907</v>
      </c>
      <c r="B173" s="1" t="s">
        <v>25</v>
      </c>
      <c r="C173" t="s">
        <v>6</v>
      </c>
      <c r="D173">
        <v>2697800</v>
      </c>
    </row>
    <row r="174" spans="1:4" x14ac:dyDescent="0.2">
      <c r="A174">
        <v>1907</v>
      </c>
      <c r="B174" s="1" t="s">
        <v>24</v>
      </c>
      <c r="C174" t="s">
        <v>7</v>
      </c>
      <c r="D174">
        <v>2337000</v>
      </c>
    </row>
    <row r="175" spans="1:4" x14ac:dyDescent="0.2">
      <c r="A175">
        <v>1907</v>
      </c>
      <c r="B175" s="1" t="s">
        <v>25</v>
      </c>
      <c r="C175" t="s">
        <v>7</v>
      </c>
      <c r="D175">
        <v>2179900</v>
      </c>
    </row>
    <row r="176" spans="1:4" x14ac:dyDescent="0.2">
      <c r="A176">
        <v>1907</v>
      </c>
      <c r="B176" s="1" t="s">
        <v>24</v>
      </c>
      <c r="C176" t="s">
        <v>8</v>
      </c>
      <c r="D176">
        <v>1707000</v>
      </c>
    </row>
    <row r="177" spans="1:4" x14ac:dyDescent="0.2">
      <c r="A177">
        <v>1907</v>
      </c>
      <c r="B177" s="1" t="s">
        <v>25</v>
      </c>
      <c r="C177" t="s">
        <v>8</v>
      </c>
      <c r="D177">
        <v>1578900</v>
      </c>
    </row>
    <row r="178" spans="1:4" x14ac:dyDescent="0.2">
      <c r="A178">
        <v>1907</v>
      </c>
      <c r="B178" s="1" t="s">
        <v>24</v>
      </c>
      <c r="C178" t="s">
        <v>9</v>
      </c>
      <c r="D178">
        <v>1144300</v>
      </c>
    </row>
    <row r="179" spans="1:4" x14ac:dyDescent="0.2">
      <c r="A179">
        <v>1907</v>
      </c>
      <c r="B179" s="1" t="s">
        <v>25</v>
      </c>
      <c r="C179" t="s">
        <v>9</v>
      </c>
      <c r="D179">
        <v>1016500</v>
      </c>
    </row>
    <row r="180" spans="1:4" x14ac:dyDescent="0.2">
      <c r="A180">
        <v>1907</v>
      </c>
      <c r="B180" s="1" t="s">
        <v>24</v>
      </c>
      <c r="C180" t="s">
        <v>10</v>
      </c>
      <c r="D180">
        <v>695900</v>
      </c>
    </row>
    <row r="181" spans="1:4" x14ac:dyDescent="0.2">
      <c r="A181">
        <v>1907</v>
      </c>
      <c r="B181" s="1" t="s">
        <v>25</v>
      </c>
      <c r="C181" t="s">
        <v>10</v>
      </c>
      <c r="D181">
        <v>554400</v>
      </c>
    </row>
    <row r="182" spans="1:4" x14ac:dyDescent="0.2">
      <c r="A182">
        <v>1907</v>
      </c>
      <c r="B182" s="1" t="s">
        <v>24</v>
      </c>
      <c r="C182" t="s">
        <v>11</v>
      </c>
      <c r="D182">
        <v>253900</v>
      </c>
    </row>
    <row r="183" spans="1:4" x14ac:dyDescent="0.2">
      <c r="A183">
        <v>1907</v>
      </c>
      <c r="B183" s="1" t="s">
        <v>25</v>
      </c>
      <c r="C183" t="s">
        <v>11</v>
      </c>
      <c r="D183">
        <v>176700</v>
      </c>
    </row>
    <row r="184" spans="1:4" x14ac:dyDescent="0.2">
      <c r="A184">
        <v>1908</v>
      </c>
      <c r="B184" s="1" t="s">
        <v>24</v>
      </c>
      <c r="C184" s="1" t="s">
        <v>29</v>
      </c>
      <c r="D184">
        <v>407800</v>
      </c>
    </row>
    <row r="185" spans="1:4" x14ac:dyDescent="0.2">
      <c r="A185">
        <v>1908</v>
      </c>
      <c r="B185" s="1" t="s">
        <v>25</v>
      </c>
      <c r="C185" s="1" t="s">
        <v>29</v>
      </c>
      <c r="D185">
        <v>410800</v>
      </c>
    </row>
    <row r="186" spans="1:4" x14ac:dyDescent="0.2">
      <c r="A186">
        <v>1908</v>
      </c>
      <c r="B186" s="1" t="s">
        <v>24</v>
      </c>
      <c r="C186" s="2" t="s">
        <v>26</v>
      </c>
      <c r="D186">
        <v>1499400</v>
      </c>
    </row>
    <row r="187" spans="1:4" x14ac:dyDescent="0.2">
      <c r="A187">
        <v>1908</v>
      </c>
      <c r="B187" s="1" t="s">
        <v>25</v>
      </c>
      <c r="C187" s="2" t="s">
        <v>26</v>
      </c>
      <c r="D187">
        <v>1507500</v>
      </c>
    </row>
    <row r="188" spans="1:4" x14ac:dyDescent="0.2">
      <c r="A188">
        <v>1908</v>
      </c>
      <c r="B188" s="1" t="s">
        <v>24</v>
      </c>
      <c r="C188" s="2" t="s">
        <v>27</v>
      </c>
      <c r="D188">
        <v>1825600</v>
      </c>
    </row>
    <row r="189" spans="1:4" x14ac:dyDescent="0.2">
      <c r="A189">
        <v>1908</v>
      </c>
      <c r="B189" s="1" t="s">
        <v>25</v>
      </c>
      <c r="C189" s="2" t="s">
        <v>27</v>
      </c>
      <c r="D189">
        <v>1821400</v>
      </c>
    </row>
    <row r="190" spans="1:4" x14ac:dyDescent="0.2">
      <c r="A190">
        <v>1908</v>
      </c>
      <c r="B190" s="1" t="s">
        <v>24</v>
      </c>
      <c r="C190" s="3" t="s">
        <v>28</v>
      </c>
      <c r="D190">
        <v>1733600</v>
      </c>
    </row>
    <row r="191" spans="1:4" x14ac:dyDescent="0.2">
      <c r="A191">
        <v>1908</v>
      </c>
      <c r="B191" s="1" t="s">
        <v>25</v>
      </c>
      <c r="C191" s="3" t="s">
        <v>28</v>
      </c>
      <c r="D191">
        <v>1730500</v>
      </c>
    </row>
    <row r="192" spans="1:4" x14ac:dyDescent="0.2">
      <c r="A192">
        <v>1908</v>
      </c>
      <c r="B192" s="1" t="s">
        <v>24</v>
      </c>
      <c r="C192" t="s">
        <v>4</v>
      </c>
      <c r="D192">
        <v>1674000</v>
      </c>
    </row>
    <row r="193" spans="1:4" x14ac:dyDescent="0.2">
      <c r="A193">
        <v>1908</v>
      </c>
      <c r="B193" s="1" t="s">
        <v>25</v>
      </c>
      <c r="C193" t="s">
        <v>4</v>
      </c>
      <c r="D193">
        <v>1645900</v>
      </c>
    </row>
    <row r="194" spans="1:4" x14ac:dyDescent="0.2">
      <c r="A194">
        <v>1908</v>
      </c>
      <c r="B194" s="1" t="s">
        <v>24</v>
      </c>
      <c r="C194" t="s">
        <v>5</v>
      </c>
      <c r="D194">
        <v>1670600</v>
      </c>
    </row>
    <row r="195" spans="1:4" x14ac:dyDescent="0.2">
      <c r="A195">
        <v>1908</v>
      </c>
      <c r="B195" s="1" t="s">
        <v>25</v>
      </c>
      <c r="C195" t="s">
        <v>5</v>
      </c>
      <c r="D195">
        <v>1498200</v>
      </c>
    </row>
    <row r="196" spans="1:4" x14ac:dyDescent="0.2">
      <c r="A196">
        <v>1908</v>
      </c>
      <c r="B196" s="1" t="s">
        <v>24</v>
      </c>
      <c r="C196" t="s">
        <v>31</v>
      </c>
      <c r="D196">
        <v>38300</v>
      </c>
    </row>
    <row r="197" spans="1:4" x14ac:dyDescent="0.2">
      <c r="A197">
        <v>1908</v>
      </c>
      <c r="B197" s="1" t="s">
        <v>25</v>
      </c>
      <c r="C197" t="s">
        <v>31</v>
      </c>
      <c r="D197">
        <v>21400</v>
      </c>
    </row>
    <row r="198" spans="1:4" x14ac:dyDescent="0.2">
      <c r="A198">
        <v>1908</v>
      </c>
      <c r="B198" s="1" t="s">
        <v>24</v>
      </c>
      <c r="C198" t="s">
        <v>6</v>
      </c>
      <c r="D198">
        <v>3031600</v>
      </c>
    </row>
    <row r="199" spans="1:4" x14ac:dyDescent="0.2">
      <c r="A199">
        <v>1908</v>
      </c>
      <c r="B199" s="1" t="s">
        <v>25</v>
      </c>
      <c r="C199" t="s">
        <v>6</v>
      </c>
      <c r="D199">
        <v>2740500</v>
      </c>
    </row>
    <row r="200" spans="1:4" x14ac:dyDescent="0.2">
      <c r="A200">
        <v>1908</v>
      </c>
      <c r="B200" s="1" t="s">
        <v>24</v>
      </c>
      <c r="C200" t="s">
        <v>7</v>
      </c>
      <c r="D200">
        <v>2388800</v>
      </c>
    </row>
    <row r="201" spans="1:4" x14ac:dyDescent="0.2">
      <c r="A201">
        <v>1908</v>
      </c>
      <c r="B201" s="1" t="s">
        <v>25</v>
      </c>
      <c r="C201" t="s">
        <v>7</v>
      </c>
      <c r="D201">
        <v>2227100</v>
      </c>
    </row>
    <row r="202" spans="1:4" x14ac:dyDescent="0.2">
      <c r="A202">
        <v>1908</v>
      </c>
      <c r="B202" s="1" t="s">
        <v>24</v>
      </c>
      <c r="C202" t="s">
        <v>8</v>
      </c>
      <c r="D202">
        <v>1745100</v>
      </c>
    </row>
    <row r="203" spans="1:4" x14ac:dyDescent="0.2">
      <c r="A203">
        <v>1908</v>
      </c>
      <c r="B203" s="1" t="s">
        <v>25</v>
      </c>
      <c r="C203" t="s">
        <v>8</v>
      </c>
      <c r="D203">
        <v>1613700</v>
      </c>
    </row>
    <row r="204" spans="1:4" x14ac:dyDescent="0.2">
      <c r="A204">
        <v>1908</v>
      </c>
      <c r="B204" s="1" t="s">
        <v>24</v>
      </c>
      <c r="C204" t="s">
        <v>9</v>
      </c>
      <c r="D204">
        <v>1165600</v>
      </c>
    </row>
    <row r="205" spans="1:4" x14ac:dyDescent="0.2">
      <c r="A205">
        <v>1908</v>
      </c>
      <c r="B205" s="1" t="s">
        <v>25</v>
      </c>
      <c r="C205" t="s">
        <v>9</v>
      </c>
      <c r="D205">
        <v>1037400</v>
      </c>
    </row>
    <row r="206" spans="1:4" x14ac:dyDescent="0.2">
      <c r="A206">
        <v>1908</v>
      </c>
      <c r="B206" s="1" t="s">
        <v>24</v>
      </c>
      <c r="C206" t="s">
        <v>10</v>
      </c>
      <c r="D206">
        <v>714000</v>
      </c>
    </row>
    <row r="207" spans="1:4" x14ac:dyDescent="0.2">
      <c r="A207">
        <v>1908</v>
      </c>
      <c r="B207" s="1" t="s">
        <v>25</v>
      </c>
      <c r="C207" t="s">
        <v>10</v>
      </c>
      <c r="D207">
        <v>568700</v>
      </c>
    </row>
    <row r="208" spans="1:4" x14ac:dyDescent="0.2">
      <c r="A208">
        <v>1908</v>
      </c>
      <c r="B208" s="1" t="s">
        <v>24</v>
      </c>
      <c r="C208" t="s">
        <v>11</v>
      </c>
      <c r="D208">
        <v>258900</v>
      </c>
    </row>
    <row r="209" spans="1:4" x14ac:dyDescent="0.2">
      <c r="A209">
        <v>1908</v>
      </c>
      <c r="B209" s="1" t="s">
        <v>25</v>
      </c>
      <c r="C209" t="s">
        <v>11</v>
      </c>
      <c r="D209">
        <v>179000</v>
      </c>
    </row>
    <row r="210" spans="1:4" x14ac:dyDescent="0.2">
      <c r="A210">
        <v>1909</v>
      </c>
      <c r="B210" s="1" t="s">
        <v>24</v>
      </c>
      <c r="C210" s="1" t="s">
        <v>29</v>
      </c>
      <c r="D210">
        <v>408500</v>
      </c>
    </row>
    <row r="211" spans="1:4" x14ac:dyDescent="0.2">
      <c r="A211">
        <v>1909</v>
      </c>
      <c r="B211" s="1" t="s">
        <v>25</v>
      </c>
      <c r="C211" s="1" t="s">
        <v>29</v>
      </c>
      <c r="D211">
        <v>412600</v>
      </c>
    </row>
    <row r="212" spans="1:4" x14ac:dyDescent="0.2">
      <c r="A212">
        <v>1909</v>
      </c>
      <c r="B212" s="1" t="s">
        <v>24</v>
      </c>
      <c r="C212" s="2" t="s">
        <v>26</v>
      </c>
      <c r="D212">
        <v>1499400</v>
      </c>
    </row>
    <row r="213" spans="1:4" x14ac:dyDescent="0.2">
      <c r="A213">
        <v>1909</v>
      </c>
      <c r="B213" s="1" t="s">
        <v>25</v>
      </c>
      <c r="C213" s="2" t="s">
        <v>26</v>
      </c>
      <c r="D213">
        <v>1508700</v>
      </c>
    </row>
    <row r="214" spans="1:4" x14ac:dyDescent="0.2">
      <c r="A214">
        <v>1909</v>
      </c>
      <c r="B214" s="1" t="s">
        <v>24</v>
      </c>
      <c r="C214" s="2" t="s">
        <v>27</v>
      </c>
      <c r="D214">
        <v>1831000</v>
      </c>
    </row>
    <row r="215" spans="1:4" x14ac:dyDescent="0.2">
      <c r="A215">
        <v>1909</v>
      </c>
      <c r="B215" s="1" t="s">
        <v>25</v>
      </c>
      <c r="C215" s="2" t="s">
        <v>27</v>
      </c>
      <c r="D215">
        <v>1827500</v>
      </c>
    </row>
    <row r="216" spans="1:4" x14ac:dyDescent="0.2">
      <c r="A216">
        <v>1909</v>
      </c>
      <c r="B216" s="1" t="s">
        <v>24</v>
      </c>
      <c r="C216" s="3" t="s">
        <v>28</v>
      </c>
      <c r="D216">
        <v>1737200</v>
      </c>
    </row>
    <row r="217" spans="1:4" x14ac:dyDescent="0.2">
      <c r="A217">
        <v>1909</v>
      </c>
      <c r="B217" s="1" t="s">
        <v>25</v>
      </c>
      <c r="C217" s="3" t="s">
        <v>28</v>
      </c>
      <c r="D217">
        <v>1733600</v>
      </c>
    </row>
    <row r="218" spans="1:4" x14ac:dyDescent="0.2">
      <c r="A218">
        <v>1909</v>
      </c>
      <c r="B218" s="1" t="s">
        <v>24</v>
      </c>
      <c r="C218" t="s">
        <v>4</v>
      </c>
      <c r="D218">
        <v>1673900</v>
      </c>
    </row>
    <row r="219" spans="1:4" x14ac:dyDescent="0.2">
      <c r="A219">
        <v>1909</v>
      </c>
      <c r="B219" s="1" t="s">
        <v>25</v>
      </c>
      <c r="C219" t="s">
        <v>4</v>
      </c>
      <c r="D219">
        <v>1646200</v>
      </c>
    </row>
    <row r="220" spans="1:4" x14ac:dyDescent="0.2">
      <c r="A220">
        <v>1909</v>
      </c>
      <c r="B220" s="1" t="s">
        <v>24</v>
      </c>
      <c r="C220" t="s">
        <v>5</v>
      </c>
      <c r="D220">
        <v>1668500</v>
      </c>
    </row>
    <row r="221" spans="1:4" x14ac:dyDescent="0.2">
      <c r="A221">
        <v>1909</v>
      </c>
      <c r="B221" s="1" t="s">
        <v>25</v>
      </c>
      <c r="C221" t="s">
        <v>5</v>
      </c>
      <c r="D221">
        <v>1497200</v>
      </c>
    </row>
    <row r="222" spans="1:4" x14ac:dyDescent="0.2">
      <c r="A222">
        <v>1909</v>
      </c>
      <c r="B222" s="1" t="s">
        <v>24</v>
      </c>
      <c r="C222" t="s">
        <v>31</v>
      </c>
      <c r="D222">
        <v>39300</v>
      </c>
    </row>
    <row r="223" spans="1:4" x14ac:dyDescent="0.2">
      <c r="A223">
        <v>1909</v>
      </c>
      <c r="B223" s="1" t="s">
        <v>25</v>
      </c>
      <c r="C223" t="s">
        <v>31</v>
      </c>
      <c r="D223">
        <v>21900</v>
      </c>
    </row>
    <row r="224" spans="1:4" x14ac:dyDescent="0.2">
      <c r="A224">
        <v>1909</v>
      </c>
      <c r="B224" s="1" t="s">
        <v>24</v>
      </c>
      <c r="C224" t="s">
        <v>6</v>
      </c>
      <c r="D224">
        <v>3059800</v>
      </c>
    </row>
    <row r="225" spans="1:4" x14ac:dyDescent="0.2">
      <c r="A225">
        <v>1909</v>
      </c>
      <c r="B225" s="1" t="s">
        <v>25</v>
      </c>
      <c r="C225" t="s">
        <v>6</v>
      </c>
      <c r="D225">
        <v>2768500</v>
      </c>
    </row>
    <row r="226" spans="1:4" x14ac:dyDescent="0.2">
      <c r="A226">
        <v>1909</v>
      </c>
      <c r="B226" s="1" t="s">
        <v>24</v>
      </c>
      <c r="C226" t="s">
        <v>7</v>
      </c>
      <c r="D226">
        <v>2428100</v>
      </c>
    </row>
    <row r="227" spans="1:4" x14ac:dyDescent="0.2">
      <c r="A227">
        <v>1909</v>
      </c>
      <c r="B227" s="1" t="s">
        <v>25</v>
      </c>
      <c r="C227" t="s">
        <v>7</v>
      </c>
      <c r="D227">
        <v>2262700</v>
      </c>
    </row>
    <row r="228" spans="1:4" x14ac:dyDescent="0.2">
      <c r="A228">
        <v>1909</v>
      </c>
      <c r="B228" s="1" t="s">
        <v>24</v>
      </c>
      <c r="C228" t="s">
        <v>8</v>
      </c>
      <c r="D228">
        <v>1774100</v>
      </c>
    </row>
    <row r="229" spans="1:4" x14ac:dyDescent="0.2">
      <c r="A229">
        <v>1909</v>
      </c>
      <c r="B229" s="1" t="s">
        <v>25</v>
      </c>
      <c r="C229" t="s">
        <v>8</v>
      </c>
      <c r="D229">
        <v>1639900</v>
      </c>
    </row>
    <row r="230" spans="1:4" x14ac:dyDescent="0.2">
      <c r="A230">
        <v>1909</v>
      </c>
      <c r="B230" s="1" t="s">
        <v>24</v>
      </c>
      <c r="C230" t="s">
        <v>9</v>
      </c>
      <c r="D230">
        <v>1180800</v>
      </c>
    </row>
    <row r="231" spans="1:4" x14ac:dyDescent="0.2">
      <c r="A231">
        <v>1909</v>
      </c>
      <c r="B231" s="1" t="s">
        <v>25</v>
      </c>
      <c r="C231" t="s">
        <v>9</v>
      </c>
      <c r="D231">
        <v>1052800</v>
      </c>
    </row>
    <row r="232" spans="1:4" x14ac:dyDescent="0.2">
      <c r="A232">
        <v>1909</v>
      </c>
      <c r="B232" s="1" t="s">
        <v>24</v>
      </c>
      <c r="C232" t="s">
        <v>10</v>
      </c>
      <c r="D232">
        <v>728500</v>
      </c>
    </row>
    <row r="233" spans="1:4" x14ac:dyDescent="0.2">
      <c r="A233">
        <v>1909</v>
      </c>
      <c r="B233" s="1" t="s">
        <v>25</v>
      </c>
      <c r="C233" t="s">
        <v>10</v>
      </c>
      <c r="D233">
        <v>580000</v>
      </c>
    </row>
    <row r="234" spans="1:4" x14ac:dyDescent="0.2">
      <c r="A234">
        <v>1909</v>
      </c>
      <c r="B234" s="1" t="s">
        <v>24</v>
      </c>
      <c r="C234" t="s">
        <v>11</v>
      </c>
      <c r="D234">
        <v>262500</v>
      </c>
    </row>
    <row r="235" spans="1:4" x14ac:dyDescent="0.2">
      <c r="A235">
        <v>1909</v>
      </c>
      <c r="B235" s="1" t="s">
        <v>25</v>
      </c>
      <c r="C235" t="s">
        <v>11</v>
      </c>
      <c r="D235">
        <v>180500</v>
      </c>
    </row>
    <row r="236" spans="1:4" x14ac:dyDescent="0.2">
      <c r="A236">
        <v>1910</v>
      </c>
      <c r="B236" s="1" t="s">
        <v>24</v>
      </c>
      <c r="C236" s="1" t="s">
        <v>29</v>
      </c>
      <c r="D236">
        <v>401400</v>
      </c>
    </row>
    <row r="237" spans="1:4" x14ac:dyDescent="0.2">
      <c r="A237">
        <v>1910</v>
      </c>
      <c r="B237" s="1" t="s">
        <v>25</v>
      </c>
      <c r="C237" s="1" t="s">
        <v>29</v>
      </c>
      <c r="D237">
        <v>407300</v>
      </c>
    </row>
    <row r="238" spans="1:4" x14ac:dyDescent="0.2">
      <c r="A238">
        <v>1910</v>
      </c>
      <c r="B238" s="1" t="s">
        <v>24</v>
      </c>
      <c r="C238" s="2" t="s">
        <v>26</v>
      </c>
      <c r="D238">
        <v>1512400</v>
      </c>
    </row>
    <row r="239" spans="1:4" x14ac:dyDescent="0.2">
      <c r="A239">
        <v>1910</v>
      </c>
      <c r="B239" s="1" t="s">
        <v>25</v>
      </c>
      <c r="C239" s="2" t="s">
        <v>26</v>
      </c>
      <c r="D239">
        <v>1522500</v>
      </c>
    </row>
    <row r="240" spans="1:4" x14ac:dyDescent="0.2">
      <c r="A240">
        <v>1910</v>
      </c>
      <c r="B240" s="1" t="s">
        <v>24</v>
      </c>
      <c r="C240" s="2" t="s">
        <v>27</v>
      </c>
      <c r="D240">
        <v>1841500</v>
      </c>
    </row>
    <row r="241" spans="1:4" x14ac:dyDescent="0.2">
      <c r="A241">
        <v>1910</v>
      </c>
      <c r="B241" s="1" t="s">
        <v>25</v>
      </c>
      <c r="C241" s="2" t="s">
        <v>27</v>
      </c>
      <c r="D241">
        <v>1838800</v>
      </c>
    </row>
    <row r="242" spans="1:4" x14ac:dyDescent="0.2">
      <c r="A242">
        <v>1910</v>
      </c>
      <c r="B242" s="1" t="s">
        <v>24</v>
      </c>
      <c r="C242" s="3" t="s">
        <v>28</v>
      </c>
      <c r="D242">
        <v>1745700</v>
      </c>
    </row>
    <row r="243" spans="1:4" x14ac:dyDescent="0.2">
      <c r="A243">
        <v>1910</v>
      </c>
      <c r="B243" s="1" t="s">
        <v>25</v>
      </c>
      <c r="C243" s="3" t="s">
        <v>28</v>
      </c>
      <c r="D243">
        <v>1741600</v>
      </c>
    </row>
    <row r="244" spans="1:4" x14ac:dyDescent="0.2">
      <c r="A244">
        <v>1910</v>
      </c>
      <c r="B244" s="1" t="s">
        <v>24</v>
      </c>
      <c r="C244" t="s">
        <v>4</v>
      </c>
      <c r="D244">
        <v>1678300</v>
      </c>
    </row>
    <row r="245" spans="1:4" x14ac:dyDescent="0.2">
      <c r="A245">
        <v>1910</v>
      </c>
      <c r="B245" s="1" t="s">
        <v>25</v>
      </c>
      <c r="C245" t="s">
        <v>4</v>
      </c>
      <c r="D245">
        <v>1651200</v>
      </c>
    </row>
    <row r="246" spans="1:4" x14ac:dyDescent="0.2">
      <c r="A246">
        <v>1910</v>
      </c>
      <c r="B246" s="1" t="s">
        <v>24</v>
      </c>
      <c r="C246" t="s">
        <v>5</v>
      </c>
      <c r="D246">
        <v>1671100</v>
      </c>
    </row>
    <row r="247" spans="1:4" x14ac:dyDescent="0.2">
      <c r="A247">
        <v>1910</v>
      </c>
      <c r="B247" s="1" t="s">
        <v>25</v>
      </c>
      <c r="C247" t="s">
        <v>5</v>
      </c>
      <c r="D247">
        <v>1500300</v>
      </c>
    </row>
    <row r="248" spans="1:4" x14ac:dyDescent="0.2">
      <c r="A248">
        <v>1910</v>
      </c>
      <c r="B248" s="1" t="s">
        <v>24</v>
      </c>
      <c r="C248" t="s">
        <v>31</v>
      </c>
      <c r="D248">
        <v>40500</v>
      </c>
    </row>
    <row r="249" spans="1:4" x14ac:dyDescent="0.2">
      <c r="A249">
        <v>1910</v>
      </c>
      <c r="B249" s="1" t="s">
        <v>25</v>
      </c>
      <c r="C249" t="s">
        <v>31</v>
      </c>
      <c r="D249">
        <v>22400</v>
      </c>
    </row>
    <row r="250" spans="1:4" x14ac:dyDescent="0.2">
      <c r="A250">
        <v>1910</v>
      </c>
      <c r="B250" s="1" t="s">
        <v>24</v>
      </c>
      <c r="C250" t="s">
        <v>6</v>
      </c>
      <c r="D250">
        <v>3096700</v>
      </c>
    </row>
    <row r="251" spans="1:4" x14ac:dyDescent="0.2">
      <c r="A251">
        <v>1910</v>
      </c>
      <c r="B251" s="1" t="s">
        <v>25</v>
      </c>
      <c r="C251" t="s">
        <v>6</v>
      </c>
      <c r="D251">
        <v>2804500</v>
      </c>
    </row>
    <row r="252" spans="1:4" x14ac:dyDescent="0.2">
      <c r="A252">
        <v>1910</v>
      </c>
      <c r="B252" s="1" t="s">
        <v>24</v>
      </c>
      <c r="C252" t="s">
        <v>7</v>
      </c>
      <c r="D252">
        <v>2474400</v>
      </c>
    </row>
    <row r="253" spans="1:4" x14ac:dyDescent="0.2">
      <c r="A253">
        <v>1910</v>
      </c>
      <c r="B253" s="1" t="s">
        <v>25</v>
      </c>
      <c r="C253" t="s">
        <v>7</v>
      </c>
      <c r="D253">
        <v>2304700</v>
      </c>
    </row>
    <row r="254" spans="1:4" x14ac:dyDescent="0.2">
      <c r="A254">
        <v>1910</v>
      </c>
      <c r="B254" s="1" t="s">
        <v>24</v>
      </c>
      <c r="C254" t="s">
        <v>8</v>
      </c>
      <c r="D254">
        <v>1808100</v>
      </c>
    </row>
    <row r="255" spans="1:4" x14ac:dyDescent="0.2">
      <c r="A255">
        <v>1910</v>
      </c>
      <c r="B255" s="1" t="s">
        <v>25</v>
      </c>
      <c r="C255" t="s">
        <v>8</v>
      </c>
      <c r="D255">
        <v>1670900</v>
      </c>
    </row>
    <row r="256" spans="1:4" x14ac:dyDescent="0.2">
      <c r="A256">
        <v>1910</v>
      </c>
      <c r="B256" s="1" t="s">
        <v>24</v>
      </c>
      <c r="C256" t="s">
        <v>9</v>
      </c>
      <c r="D256">
        <v>1199200</v>
      </c>
    </row>
    <row r="257" spans="1:4" x14ac:dyDescent="0.2">
      <c r="A257">
        <v>1910</v>
      </c>
      <c r="B257" s="1" t="s">
        <v>25</v>
      </c>
      <c r="C257" t="s">
        <v>9</v>
      </c>
      <c r="D257">
        <v>1071200</v>
      </c>
    </row>
    <row r="258" spans="1:4" x14ac:dyDescent="0.2">
      <c r="A258">
        <v>1910</v>
      </c>
      <c r="B258" s="1" t="s">
        <v>24</v>
      </c>
      <c r="C258" t="s">
        <v>10</v>
      </c>
      <c r="D258">
        <v>745100</v>
      </c>
    </row>
    <row r="259" spans="1:4" x14ac:dyDescent="0.2">
      <c r="A259">
        <v>1910</v>
      </c>
      <c r="B259" s="1" t="s">
        <v>25</v>
      </c>
      <c r="C259" t="s">
        <v>10</v>
      </c>
      <c r="D259">
        <v>592900</v>
      </c>
    </row>
    <row r="260" spans="1:4" x14ac:dyDescent="0.2">
      <c r="A260">
        <v>1910</v>
      </c>
      <c r="B260" s="1" t="s">
        <v>24</v>
      </c>
      <c r="C260" t="s">
        <v>11</v>
      </c>
      <c r="D260">
        <v>266900</v>
      </c>
    </row>
    <row r="261" spans="1:4" x14ac:dyDescent="0.2">
      <c r="A261">
        <v>1910</v>
      </c>
      <c r="B261" s="1" t="s">
        <v>25</v>
      </c>
      <c r="C261" t="s">
        <v>11</v>
      </c>
      <c r="D261">
        <v>182400</v>
      </c>
    </row>
    <row r="262" spans="1:4" x14ac:dyDescent="0.2">
      <c r="A262">
        <v>1911</v>
      </c>
      <c r="B262" s="1" t="s">
        <v>24</v>
      </c>
      <c r="C262" s="1" t="s">
        <v>29</v>
      </c>
      <c r="D262">
        <v>407000</v>
      </c>
    </row>
    <row r="263" spans="1:4" x14ac:dyDescent="0.2">
      <c r="A263">
        <v>1911</v>
      </c>
      <c r="B263" s="1" t="s">
        <v>25</v>
      </c>
      <c r="C263" s="1" t="s">
        <v>29</v>
      </c>
      <c r="D263">
        <v>415000</v>
      </c>
    </row>
    <row r="264" spans="1:4" x14ac:dyDescent="0.2">
      <c r="A264">
        <v>1911</v>
      </c>
      <c r="B264" s="1" t="s">
        <v>24</v>
      </c>
      <c r="C264" s="2" t="s">
        <v>26</v>
      </c>
      <c r="D264">
        <v>1549000</v>
      </c>
    </row>
    <row r="265" spans="1:4" x14ac:dyDescent="0.2">
      <c r="A265">
        <v>1911</v>
      </c>
      <c r="B265" s="1" t="s">
        <v>25</v>
      </c>
      <c r="C265" s="2" t="s">
        <v>26</v>
      </c>
      <c r="D265">
        <v>1554000</v>
      </c>
    </row>
    <row r="266" spans="1:4" x14ac:dyDescent="0.2">
      <c r="A266">
        <v>1911</v>
      </c>
      <c r="B266" s="1" t="s">
        <v>24</v>
      </c>
      <c r="C266" s="2" t="s">
        <v>27</v>
      </c>
      <c r="D266">
        <v>1850000</v>
      </c>
    </row>
    <row r="267" spans="1:4" x14ac:dyDescent="0.2">
      <c r="A267">
        <v>1911</v>
      </c>
      <c r="B267" s="1" t="s">
        <v>25</v>
      </c>
      <c r="C267" s="2" t="s">
        <v>27</v>
      </c>
      <c r="D267">
        <v>1848000</v>
      </c>
    </row>
    <row r="268" spans="1:4" x14ac:dyDescent="0.2">
      <c r="A268">
        <v>1911</v>
      </c>
      <c r="B268" s="1" t="s">
        <v>24</v>
      </c>
      <c r="C268" s="3" t="s">
        <v>28</v>
      </c>
      <c r="D268">
        <v>1753000</v>
      </c>
    </row>
    <row r="269" spans="1:4" x14ac:dyDescent="0.2">
      <c r="A269">
        <v>1911</v>
      </c>
      <c r="B269" s="1" t="s">
        <v>25</v>
      </c>
      <c r="C269" s="3" t="s">
        <v>28</v>
      </c>
      <c r="D269">
        <v>1739000</v>
      </c>
    </row>
    <row r="270" spans="1:4" x14ac:dyDescent="0.2">
      <c r="A270">
        <v>1911</v>
      </c>
      <c r="B270" s="1" t="s">
        <v>24</v>
      </c>
      <c r="C270" t="s">
        <v>4</v>
      </c>
      <c r="D270">
        <v>1683000</v>
      </c>
    </row>
    <row r="271" spans="1:4" x14ac:dyDescent="0.2">
      <c r="A271">
        <v>1911</v>
      </c>
      <c r="B271" s="1" t="s">
        <v>25</v>
      </c>
      <c r="C271" t="s">
        <v>4</v>
      </c>
      <c r="D271">
        <v>1646000</v>
      </c>
    </row>
    <row r="272" spans="1:4" x14ac:dyDescent="0.2">
      <c r="A272">
        <v>1911</v>
      </c>
      <c r="B272" s="1" t="s">
        <v>24</v>
      </c>
      <c r="C272" t="s">
        <v>5</v>
      </c>
      <c r="D272">
        <v>1644000</v>
      </c>
    </row>
    <row r="273" spans="1:4" x14ac:dyDescent="0.2">
      <c r="A273">
        <v>1911</v>
      </c>
      <c r="B273" s="1" t="s">
        <v>25</v>
      </c>
      <c r="C273" t="s">
        <v>5</v>
      </c>
      <c r="D273">
        <v>1510000</v>
      </c>
    </row>
    <row r="274" spans="1:4" x14ac:dyDescent="0.2">
      <c r="A274">
        <v>1911</v>
      </c>
      <c r="B274" s="1" t="s">
        <v>24</v>
      </c>
      <c r="C274" t="s">
        <v>12</v>
      </c>
      <c r="D274">
        <v>1603000</v>
      </c>
    </row>
    <row r="275" spans="1:4" x14ac:dyDescent="0.2">
      <c r="A275">
        <v>1911</v>
      </c>
      <c r="B275" s="1" t="s">
        <v>25</v>
      </c>
      <c r="C275" t="s">
        <v>12</v>
      </c>
      <c r="D275">
        <v>1441000</v>
      </c>
    </row>
    <row r="276" spans="1:4" x14ac:dyDescent="0.2">
      <c r="A276">
        <v>1911</v>
      </c>
      <c r="B276" s="1" t="s">
        <v>24</v>
      </c>
      <c r="C276" t="s">
        <v>13</v>
      </c>
      <c r="D276">
        <v>1507000</v>
      </c>
    </row>
    <row r="277" spans="1:4" x14ac:dyDescent="0.2">
      <c r="A277">
        <v>1911</v>
      </c>
      <c r="B277" s="1" t="s">
        <v>25</v>
      </c>
      <c r="C277" t="s">
        <v>13</v>
      </c>
      <c r="D277">
        <v>1382000</v>
      </c>
    </row>
    <row r="278" spans="1:4" x14ac:dyDescent="0.2">
      <c r="A278">
        <v>1911</v>
      </c>
      <c r="B278" s="1" t="s">
        <v>24</v>
      </c>
      <c r="C278" t="s">
        <v>14</v>
      </c>
      <c r="D278">
        <v>1352000</v>
      </c>
    </row>
    <row r="279" spans="1:4" x14ac:dyDescent="0.2">
      <c r="A279">
        <v>1911</v>
      </c>
      <c r="B279" s="1" t="s">
        <v>25</v>
      </c>
      <c r="C279" t="s">
        <v>14</v>
      </c>
      <c r="D279">
        <v>1260000</v>
      </c>
    </row>
    <row r="280" spans="1:4" x14ac:dyDescent="0.2">
      <c r="A280">
        <v>1911</v>
      </c>
      <c r="B280" s="1" t="s">
        <v>24</v>
      </c>
      <c r="C280" t="s">
        <v>15</v>
      </c>
      <c r="D280">
        <v>1177000</v>
      </c>
    </row>
    <row r="281" spans="1:4" x14ac:dyDescent="0.2">
      <c r="A281">
        <v>1911</v>
      </c>
      <c r="B281" s="1" t="s">
        <v>25</v>
      </c>
      <c r="C281" t="s">
        <v>15</v>
      </c>
      <c r="D281">
        <v>1094000</v>
      </c>
    </row>
    <row r="282" spans="1:4" x14ac:dyDescent="0.2">
      <c r="A282">
        <v>1911</v>
      </c>
      <c r="B282" s="1" t="s">
        <v>24</v>
      </c>
      <c r="C282" t="s">
        <v>16</v>
      </c>
      <c r="D282">
        <v>985000</v>
      </c>
    </row>
    <row r="283" spans="1:4" x14ac:dyDescent="0.2">
      <c r="A283">
        <v>1911</v>
      </c>
      <c r="B283" s="1" t="s">
        <v>25</v>
      </c>
      <c r="C283" t="s">
        <v>16</v>
      </c>
      <c r="D283">
        <v>906000</v>
      </c>
    </row>
    <row r="284" spans="1:4" x14ac:dyDescent="0.2">
      <c r="A284">
        <v>1911</v>
      </c>
      <c r="B284" s="1" t="s">
        <v>24</v>
      </c>
      <c r="C284" t="s">
        <v>17</v>
      </c>
      <c r="D284">
        <v>846000</v>
      </c>
    </row>
    <row r="285" spans="1:4" x14ac:dyDescent="0.2">
      <c r="A285">
        <v>1911</v>
      </c>
      <c r="B285" s="1" t="s">
        <v>25</v>
      </c>
      <c r="C285" t="s">
        <v>17</v>
      </c>
      <c r="D285">
        <v>773000</v>
      </c>
    </row>
    <row r="286" spans="1:4" x14ac:dyDescent="0.2">
      <c r="A286">
        <v>1911</v>
      </c>
      <c r="B286" s="1" t="s">
        <v>24</v>
      </c>
      <c r="C286" t="s">
        <v>18</v>
      </c>
      <c r="D286">
        <v>675000</v>
      </c>
    </row>
    <row r="287" spans="1:4" x14ac:dyDescent="0.2">
      <c r="A287">
        <v>1911</v>
      </c>
      <c r="B287" s="1" t="s">
        <v>25</v>
      </c>
      <c r="C287" t="s">
        <v>18</v>
      </c>
      <c r="D287">
        <v>607000</v>
      </c>
    </row>
    <row r="288" spans="1:4" x14ac:dyDescent="0.2">
      <c r="A288">
        <v>1911</v>
      </c>
      <c r="B288" s="1" t="s">
        <v>24</v>
      </c>
      <c r="C288" t="s">
        <v>19</v>
      </c>
      <c r="D288">
        <v>548000</v>
      </c>
    </row>
    <row r="289" spans="1:4" x14ac:dyDescent="0.2">
      <c r="A289">
        <v>1911</v>
      </c>
      <c r="B289" s="1" t="s">
        <v>25</v>
      </c>
      <c r="C289" t="s">
        <v>19</v>
      </c>
      <c r="D289">
        <v>481000</v>
      </c>
    </row>
    <row r="290" spans="1:4" x14ac:dyDescent="0.2">
      <c r="A290">
        <v>1911</v>
      </c>
      <c r="B290" s="1" t="s">
        <v>24</v>
      </c>
      <c r="C290" t="s">
        <v>20</v>
      </c>
      <c r="D290">
        <v>441000</v>
      </c>
    </row>
    <row r="291" spans="1:4" x14ac:dyDescent="0.2">
      <c r="A291">
        <v>1911</v>
      </c>
      <c r="B291" s="1" t="s">
        <v>25</v>
      </c>
      <c r="C291" t="s">
        <v>20</v>
      </c>
      <c r="D291">
        <v>368000</v>
      </c>
    </row>
    <row r="292" spans="1:4" x14ac:dyDescent="0.2">
      <c r="A292">
        <v>1911</v>
      </c>
      <c r="B292" s="1" t="s">
        <v>24</v>
      </c>
      <c r="C292" t="s">
        <v>21</v>
      </c>
      <c r="D292">
        <v>324000</v>
      </c>
    </row>
    <row r="293" spans="1:4" x14ac:dyDescent="0.2">
      <c r="A293">
        <v>1911</v>
      </c>
      <c r="B293" s="1" t="s">
        <v>25</v>
      </c>
      <c r="C293" t="s">
        <v>21</v>
      </c>
      <c r="D293">
        <v>246000</v>
      </c>
    </row>
    <row r="294" spans="1:4" x14ac:dyDescent="0.2">
      <c r="A294">
        <v>1911</v>
      </c>
      <c r="B294" s="1" t="s">
        <v>24</v>
      </c>
      <c r="C294" t="s">
        <v>22</v>
      </c>
      <c r="D294">
        <v>188000</v>
      </c>
    </row>
    <row r="295" spans="1:4" x14ac:dyDescent="0.2">
      <c r="A295">
        <v>1911</v>
      </c>
      <c r="B295" s="1" t="s">
        <v>25</v>
      </c>
      <c r="C295" t="s">
        <v>22</v>
      </c>
      <c r="D295">
        <v>127000</v>
      </c>
    </row>
    <row r="296" spans="1:4" x14ac:dyDescent="0.2">
      <c r="A296">
        <v>1911</v>
      </c>
      <c r="B296" s="1" t="s">
        <v>24</v>
      </c>
      <c r="C296" t="s">
        <v>23</v>
      </c>
      <c r="D296">
        <v>86000</v>
      </c>
    </row>
    <row r="297" spans="1:4" x14ac:dyDescent="0.2">
      <c r="A297">
        <v>1911</v>
      </c>
      <c r="B297" s="1" t="s">
        <v>25</v>
      </c>
      <c r="C297" t="s">
        <v>23</v>
      </c>
      <c r="D297">
        <v>56000</v>
      </c>
    </row>
    <row r="298" spans="1:4" x14ac:dyDescent="0.2">
      <c r="A298">
        <v>1911</v>
      </c>
      <c r="B298" s="1" t="s">
        <v>24</v>
      </c>
      <c r="C298" t="s">
        <v>31</v>
      </c>
      <c r="D298">
        <v>42000</v>
      </c>
    </row>
    <row r="299" spans="1:4" x14ac:dyDescent="0.2">
      <c r="A299">
        <v>1911</v>
      </c>
      <c r="B299" s="1" t="s">
        <v>25</v>
      </c>
      <c r="C299" t="s">
        <v>31</v>
      </c>
      <c r="D299">
        <v>23000</v>
      </c>
    </row>
    <row r="300" spans="1:4" x14ac:dyDescent="0.2">
      <c r="A300">
        <v>1912</v>
      </c>
      <c r="B300" s="1" t="s">
        <v>24</v>
      </c>
      <c r="C300" s="1" t="s">
        <v>29</v>
      </c>
      <c r="D300">
        <v>398000</v>
      </c>
    </row>
    <row r="301" spans="1:4" x14ac:dyDescent="0.2">
      <c r="A301">
        <v>1912</v>
      </c>
      <c r="B301" s="1" t="s">
        <v>25</v>
      </c>
      <c r="C301" s="1" t="s">
        <v>29</v>
      </c>
      <c r="D301">
        <v>406000</v>
      </c>
    </row>
    <row r="302" spans="1:4" x14ac:dyDescent="0.2">
      <c r="A302">
        <v>1912</v>
      </c>
      <c r="B302" s="1" t="s">
        <v>24</v>
      </c>
      <c r="C302" s="2" t="s">
        <v>26</v>
      </c>
      <c r="D302">
        <v>1523000</v>
      </c>
    </row>
    <row r="303" spans="1:4" x14ac:dyDescent="0.2">
      <c r="A303">
        <v>1912</v>
      </c>
      <c r="B303" s="1" t="s">
        <v>25</v>
      </c>
      <c r="C303" s="2" t="s">
        <v>26</v>
      </c>
      <c r="D303">
        <v>1535000</v>
      </c>
    </row>
    <row r="304" spans="1:4" x14ac:dyDescent="0.2">
      <c r="A304">
        <v>1912</v>
      </c>
      <c r="B304" s="1" t="s">
        <v>24</v>
      </c>
      <c r="C304" s="2" t="s">
        <v>27</v>
      </c>
      <c r="D304">
        <v>1851000</v>
      </c>
    </row>
    <row r="305" spans="1:4" x14ac:dyDescent="0.2">
      <c r="A305">
        <v>1912</v>
      </c>
      <c r="B305" s="1" t="s">
        <v>25</v>
      </c>
      <c r="C305" s="2" t="s">
        <v>27</v>
      </c>
      <c r="D305">
        <v>1851000</v>
      </c>
    </row>
    <row r="306" spans="1:4" x14ac:dyDescent="0.2">
      <c r="A306">
        <v>1912</v>
      </c>
      <c r="B306" s="1" t="s">
        <v>24</v>
      </c>
      <c r="C306" s="3" t="s">
        <v>28</v>
      </c>
      <c r="D306">
        <v>1767000</v>
      </c>
    </row>
    <row r="307" spans="1:4" x14ac:dyDescent="0.2">
      <c r="A307">
        <v>1912</v>
      </c>
      <c r="B307" s="1" t="s">
        <v>25</v>
      </c>
      <c r="C307" s="3" t="s">
        <v>28</v>
      </c>
      <c r="D307">
        <v>1750000</v>
      </c>
    </row>
    <row r="308" spans="1:4" x14ac:dyDescent="0.2">
      <c r="A308">
        <v>1912</v>
      </c>
      <c r="B308" s="1" t="s">
        <v>24</v>
      </c>
      <c r="C308" t="s">
        <v>4</v>
      </c>
      <c r="D308">
        <v>1687000</v>
      </c>
    </row>
    <row r="309" spans="1:4" x14ac:dyDescent="0.2">
      <c r="A309">
        <v>1912</v>
      </c>
      <c r="B309" s="1" t="s">
        <v>25</v>
      </c>
      <c r="C309" t="s">
        <v>4</v>
      </c>
      <c r="D309">
        <v>1652000</v>
      </c>
    </row>
    <row r="310" spans="1:4" x14ac:dyDescent="0.2">
      <c r="A310">
        <v>1912</v>
      </c>
      <c r="B310" s="1" t="s">
        <v>24</v>
      </c>
      <c r="C310" t="s">
        <v>5</v>
      </c>
      <c r="D310">
        <v>1636000</v>
      </c>
    </row>
    <row r="311" spans="1:4" x14ac:dyDescent="0.2">
      <c r="A311">
        <v>1912</v>
      </c>
      <c r="B311" s="1" t="s">
        <v>25</v>
      </c>
      <c r="C311" t="s">
        <v>5</v>
      </c>
      <c r="D311">
        <v>1502000</v>
      </c>
    </row>
    <row r="312" spans="1:4" x14ac:dyDescent="0.2">
      <c r="A312">
        <v>1912</v>
      </c>
      <c r="B312" s="1" t="s">
        <v>24</v>
      </c>
      <c r="C312" t="s">
        <v>12</v>
      </c>
      <c r="D312">
        <v>1593000</v>
      </c>
    </row>
    <row r="313" spans="1:4" x14ac:dyDescent="0.2">
      <c r="A313">
        <v>1912</v>
      </c>
      <c r="B313" s="1" t="s">
        <v>25</v>
      </c>
      <c r="C313" t="s">
        <v>12</v>
      </c>
      <c r="D313">
        <v>1436000</v>
      </c>
    </row>
    <row r="314" spans="1:4" x14ac:dyDescent="0.2">
      <c r="A314">
        <v>1912</v>
      </c>
      <c r="B314" s="1" t="s">
        <v>24</v>
      </c>
      <c r="C314" t="s">
        <v>13</v>
      </c>
      <c r="D314">
        <v>1509000</v>
      </c>
    </row>
    <row r="315" spans="1:4" x14ac:dyDescent="0.2">
      <c r="A315">
        <v>1912</v>
      </c>
      <c r="B315" s="1" t="s">
        <v>25</v>
      </c>
      <c r="C315" t="s">
        <v>13</v>
      </c>
      <c r="D315">
        <v>1382000</v>
      </c>
    </row>
    <row r="316" spans="1:4" x14ac:dyDescent="0.2">
      <c r="A316">
        <v>1912</v>
      </c>
      <c r="B316" s="1" t="s">
        <v>24</v>
      </c>
      <c r="C316" t="s">
        <v>14</v>
      </c>
      <c r="D316">
        <v>1370000</v>
      </c>
    </row>
    <row r="317" spans="1:4" x14ac:dyDescent="0.2">
      <c r="A317">
        <v>1912</v>
      </c>
      <c r="B317" s="1" t="s">
        <v>25</v>
      </c>
      <c r="C317" t="s">
        <v>14</v>
      </c>
      <c r="D317">
        <v>1275000</v>
      </c>
    </row>
    <row r="318" spans="1:4" x14ac:dyDescent="0.2">
      <c r="A318">
        <v>1912</v>
      </c>
      <c r="B318" s="1" t="s">
        <v>24</v>
      </c>
      <c r="C318" t="s">
        <v>15</v>
      </c>
      <c r="D318">
        <v>1201000</v>
      </c>
    </row>
    <row r="319" spans="1:4" x14ac:dyDescent="0.2">
      <c r="A319">
        <v>1912</v>
      </c>
      <c r="B319" s="1" t="s">
        <v>25</v>
      </c>
      <c r="C319" t="s">
        <v>15</v>
      </c>
      <c r="D319">
        <v>1116000</v>
      </c>
    </row>
    <row r="320" spans="1:4" x14ac:dyDescent="0.2">
      <c r="A320">
        <v>1912</v>
      </c>
      <c r="B320" s="1" t="s">
        <v>24</v>
      </c>
      <c r="C320" t="s">
        <v>16</v>
      </c>
      <c r="D320">
        <v>1005000</v>
      </c>
    </row>
    <row r="321" spans="1:4" x14ac:dyDescent="0.2">
      <c r="A321">
        <v>1912</v>
      </c>
      <c r="B321" s="1" t="s">
        <v>25</v>
      </c>
      <c r="C321" t="s">
        <v>16</v>
      </c>
      <c r="D321">
        <v>929000</v>
      </c>
    </row>
    <row r="322" spans="1:4" x14ac:dyDescent="0.2">
      <c r="A322">
        <v>1912</v>
      </c>
      <c r="B322" s="1" t="s">
        <v>24</v>
      </c>
      <c r="C322" t="s">
        <v>17</v>
      </c>
      <c r="D322">
        <v>859000</v>
      </c>
    </row>
    <row r="323" spans="1:4" x14ac:dyDescent="0.2">
      <c r="A323">
        <v>1912</v>
      </c>
      <c r="B323" s="1" t="s">
        <v>25</v>
      </c>
      <c r="C323" t="s">
        <v>17</v>
      </c>
      <c r="D323">
        <v>792000</v>
      </c>
    </row>
    <row r="324" spans="1:4" x14ac:dyDescent="0.2">
      <c r="A324">
        <v>1912</v>
      </c>
      <c r="B324" s="1" t="s">
        <v>24</v>
      </c>
      <c r="C324" t="s">
        <v>18</v>
      </c>
      <c r="D324">
        <v>692000</v>
      </c>
    </row>
    <row r="325" spans="1:4" x14ac:dyDescent="0.2">
      <c r="A325">
        <v>1912</v>
      </c>
      <c r="B325" s="1" t="s">
        <v>25</v>
      </c>
      <c r="C325" t="s">
        <v>18</v>
      </c>
      <c r="D325">
        <v>623000</v>
      </c>
    </row>
    <row r="326" spans="1:4" x14ac:dyDescent="0.2">
      <c r="A326">
        <v>1912</v>
      </c>
      <c r="B326" s="1" t="s">
        <v>24</v>
      </c>
      <c r="C326" t="s">
        <v>19</v>
      </c>
      <c r="D326">
        <v>560000</v>
      </c>
    </row>
    <row r="327" spans="1:4" x14ac:dyDescent="0.2">
      <c r="A327">
        <v>1912</v>
      </c>
      <c r="B327" s="1" t="s">
        <v>25</v>
      </c>
      <c r="C327" t="s">
        <v>19</v>
      </c>
      <c r="D327">
        <v>491000</v>
      </c>
    </row>
    <row r="328" spans="1:4" x14ac:dyDescent="0.2">
      <c r="A328">
        <v>1912</v>
      </c>
      <c r="B328" s="1" t="s">
        <v>24</v>
      </c>
      <c r="C328" t="s">
        <v>20</v>
      </c>
      <c r="D328">
        <v>450000</v>
      </c>
    </row>
    <row r="329" spans="1:4" x14ac:dyDescent="0.2">
      <c r="A329">
        <v>1912</v>
      </c>
      <c r="B329" s="1" t="s">
        <v>25</v>
      </c>
      <c r="C329" t="s">
        <v>20</v>
      </c>
      <c r="D329">
        <v>376000</v>
      </c>
    </row>
    <row r="330" spans="1:4" x14ac:dyDescent="0.2">
      <c r="A330">
        <v>1912</v>
      </c>
      <c r="B330" s="1" t="s">
        <v>24</v>
      </c>
      <c r="C330" t="s">
        <v>21</v>
      </c>
      <c r="D330">
        <v>325000</v>
      </c>
    </row>
    <row r="331" spans="1:4" x14ac:dyDescent="0.2">
      <c r="A331">
        <v>1912</v>
      </c>
      <c r="B331" s="1" t="s">
        <v>25</v>
      </c>
      <c r="C331" t="s">
        <v>21</v>
      </c>
      <c r="D331">
        <v>247000</v>
      </c>
    </row>
    <row r="332" spans="1:4" x14ac:dyDescent="0.2">
      <c r="A332">
        <v>1912</v>
      </c>
      <c r="B332" s="1" t="s">
        <v>24</v>
      </c>
      <c r="C332" t="s">
        <v>22</v>
      </c>
      <c r="D332">
        <v>193000</v>
      </c>
    </row>
    <row r="333" spans="1:4" x14ac:dyDescent="0.2">
      <c r="A333">
        <v>1912</v>
      </c>
      <c r="B333" s="1" t="s">
        <v>25</v>
      </c>
      <c r="C333" t="s">
        <v>22</v>
      </c>
      <c r="D333">
        <v>133000</v>
      </c>
    </row>
    <row r="334" spans="1:4" x14ac:dyDescent="0.2">
      <c r="A334">
        <v>1912</v>
      </c>
      <c r="B334" s="1" t="s">
        <v>24</v>
      </c>
      <c r="C334" t="s">
        <v>23</v>
      </c>
      <c r="D334">
        <v>89000</v>
      </c>
    </row>
    <row r="335" spans="1:4" x14ac:dyDescent="0.2">
      <c r="A335">
        <v>1912</v>
      </c>
      <c r="B335" s="1" t="s">
        <v>25</v>
      </c>
      <c r="C335" t="s">
        <v>23</v>
      </c>
      <c r="D335">
        <v>57000</v>
      </c>
    </row>
    <row r="336" spans="1:4" x14ac:dyDescent="0.2">
      <c r="A336">
        <v>1912</v>
      </c>
      <c r="B336" s="1" t="s">
        <v>24</v>
      </c>
      <c r="C336" t="s">
        <v>31</v>
      </c>
      <c r="D336">
        <v>43000</v>
      </c>
    </row>
    <row r="337" spans="1:4" x14ac:dyDescent="0.2">
      <c r="A337">
        <v>1912</v>
      </c>
      <c r="B337" s="1" t="s">
        <v>25</v>
      </c>
      <c r="C337" t="s">
        <v>31</v>
      </c>
      <c r="D337">
        <v>23000</v>
      </c>
    </row>
    <row r="338" spans="1:4" x14ac:dyDescent="0.2">
      <c r="A338">
        <v>1913</v>
      </c>
      <c r="B338" s="1" t="s">
        <v>24</v>
      </c>
      <c r="C338" s="1" t="s">
        <v>29</v>
      </c>
      <c r="D338">
        <v>403000</v>
      </c>
    </row>
    <row r="339" spans="1:4" x14ac:dyDescent="0.2">
      <c r="A339">
        <v>1913</v>
      </c>
      <c r="B339" s="1" t="s">
        <v>25</v>
      </c>
      <c r="C339" s="1" t="s">
        <v>29</v>
      </c>
      <c r="D339">
        <v>411000</v>
      </c>
    </row>
    <row r="340" spans="1:4" x14ac:dyDescent="0.2">
      <c r="A340">
        <v>1913</v>
      </c>
      <c r="B340" s="1" t="s">
        <v>24</v>
      </c>
      <c r="C340" s="2" t="s">
        <v>26</v>
      </c>
      <c r="D340">
        <v>1499000</v>
      </c>
    </row>
    <row r="341" spans="1:4" x14ac:dyDescent="0.2">
      <c r="A341">
        <v>1913</v>
      </c>
      <c r="B341" s="1" t="s">
        <v>25</v>
      </c>
      <c r="C341" s="2" t="s">
        <v>26</v>
      </c>
      <c r="D341">
        <v>1517000</v>
      </c>
    </row>
    <row r="342" spans="1:4" x14ac:dyDescent="0.2">
      <c r="A342">
        <v>1913</v>
      </c>
      <c r="B342" s="1" t="s">
        <v>24</v>
      </c>
      <c r="C342" s="2" t="s">
        <v>27</v>
      </c>
      <c r="D342">
        <v>1861000</v>
      </c>
    </row>
    <row r="343" spans="1:4" x14ac:dyDescent="0.2">
      <c r="A343">
        <v>1913</v>
      </c>
      <c r="B343" s="1" t="s">
        <v>25</v>
      </c>
      <c r="C343" s="2" t="s">
        <v>27</v>
      </c>
      <c r="D343">
        <v>1861000</v>
      </c>
    </row>
    <row r="344" spans="1:4" x14ac:dyDescent="0.2">
      <c r="A344">
        <v>1913</v>
      </c>
      <c r="B344" s="1" t="s">
        <v>24</v>
      </c>
      <c r="C344" s="3" t="s">
        <v>28</v>
      </c>
      <c r="D344">
        <v>1778000</v>
      </c>
    </row>
    <row r="345" spans="1:4" x14ac:dyDescent="0.2">
      <c r="A345">
        <v>1913</v>
      </c>
      <c r="B345" s="1" t="s">
        <v>25</v>
      </c>
      <c r="C345" s="3" t="s">
        <v>28</v>
      </c>
      <c r="D345">
        <v>1758000</v>
      </c>
    </row>
    <row r="346" spans="1:4" x14ac:dyDescent="0.2">
      <c r="A346">
        <v>1913</v>
      </c>
      <c r="B346" s="1" t="s">
        <v>24</v>
      </c>
      <c r="C346" t="s">
        <v>4</v>
      </c>
      <c r="D346">
        <v>1694000</v>
      </c>
    </row>
    <row r="347" spans="1:4" x14ac:dyDescent="0.2">
      <c r="A347">
        <v>1913</v>
      </c>
      <c r="B347" s="1" t="s">
        <v>25</v>
      </c>
      <c r="C347" t="s">
        <v>4</v>
      </c>
      <c r="D347">
        <v>1660000</v>
      </c>
    </row>
    <row r="348" spans="1:4" x14ac:dyDescent="0.2">
      <c r="A348">
        <v>1913</v>
      </c>
      <c r="B348" s="1" t="s">
        <v>24</v>
      </c>
      <c r="C348" t="s">
        <v>5</v>
      </c>
      <c r="D348">
        <v>1634000</v>
      </c>
    </row>
    <row r="349" spans="1:4" x14ac:dyDescent="0.2">
      <c r="A349">
        <v>1913</v>
      </c>
      <c r="B349" s="1" t="s">
        <v>25</v>
      </c>
      <c r="C349" t="s">
        <v>5</v>
      </c>
      <c r="D349">
        <v>1503000</v>
      </c>
    </row>
    <row r="350" spans="1:4" x14ac:dyDescent="0.2">
      <c r="A350">
        <v>1913</v>
      </c>
      <c r="B350" s="1" t="s">
        <v>24</v>
      </c>
      <c r="C350" t="s">
        <v>12</v>
      </c>
      <c r="D350">
        <v>1585000</v>
      </c>
    </row>
    <row r="351" spans="1:4" x14ac:dyDescent="0.2">
      <c r="A351">
        <v>1913</v>
      </c>
      <c r="B351" s="1" t="s">
        <v>25</v>
      </c>
      <c r="C351" t="s">
        <v>12</v>
      </c>
      <c r="D351">
        <v>1431000</v>
      </c>
    </row>
    <row r="352" spans="1:4" x14ac:dyDescent="0.2">
      <c r="A352">
        <v>1913</v>
      </c>
      <c r="B352" s="1" t="s">
        <v>24</v>
      </c>
      <c r="C352" t="s">
        <v>13</v>
      </c>
      <c r="D352">
        <v>1512000</v>
      </c>
    </row>
    <row r="353" spans="1:4" x14ac:dyDescent="0.2">
      <c r="A353">
        <v>1913</v>
      </c>
      <c r="B353" s="1" t="s">
        <v>25</v>
      </c>
      <c r="C353" t="s">
        <v>13</v>
      </c>
      <c r="D353">
        <v>1379000</v>
      </c>
    </row>
    <row r="354" spans="1:4" x14ac:dyDescent="0.2">
      <c r="A354">
        <v>1913</v>
      </c>
      <c r="B354" s="1" t="s">
        <v>24</v>
      </c>
      <c r="C354" t="s">
        <v>14</v>
      </c>
      <c r="D354">
        <v>1386000</v>
      </c>
    </row>
    <row r="355" spans="1:4" x14ac:dyDescent="0.2">
      <c r="A355">
        <v>1913</v>
      </c>
      <c r="B355" s="1" t="s">
        <v>25</v>
      </c>
      <c r="C355" t="s">
        <v>14</v>
      </c>
      <c r="D355">
        <v>1288000</v>
      </c>
    </row>
    <row r="356" spans="1:4" x14ac:dyDescent="0.2">
      <c r="A356">
        <v>1913</v>
      </c>
      <c r="B356" s="1" t="s">
        <v>24</v>
      </c>
      <c r="C356" t="s">
        <v>15</v>
      </c>
      <c r="D356">
        <v>1225000</v>
      </c>
    </row>
    <row r="357" spans="1:4" x14ac:dyDescent="0.2">
      <c r="A357">
        <v>1913</v>
      </c>
      <c r="B357" s="1" t="s">
        <v>25</v>
      </c>
      <c r="C357" t="s">
        <v>15</v>
      </c>
      <c r="D357">
        <v>1140000</v>
      </c>
    </row>
    <row r="358" spans="1:4" x14ac:dyDescent="0.2">
      <c r="A358">
        <v>1913</v>
      </c>
      <c r="B358" s="1" t="s">
        <v>24</v>
      </c>
      <c r="C358" t="s">
        <v>16</v>
      </c>
      <c r="D358">
        <v>1029000</v>
      </c>
    </row>
    <row r="359" spans="1:4" x14ac:dyDescent="0.2">
      <c r="A359">
        <v>1913</v>
      </c>
      <c r="B359" s="1" t="s">
        <v>25</v>
      </c>
      <c r="C359" t="s">
        <v>16</v>
      </c>
      <c r="D359">
        <v>950000</v>
      </c>
    </row>
    <row r="360" spans="1:4" x14ac:dyDescent="0.2">
      <c r="A360">
        <v>1913</v>
      </c>
      <c r="B360" s="1" t="s">
        <v>24</v>
      </c>
      <c r="C360" t="s">
        <v>17</v>
      </c>
      <c r="D360">
        <v>873000</v>
      </c>
    </row>
    <row r="361" spans="1:4" x14ac:dyDescent="0.2">
      <c r="A361">
        <v>1913</v>
      </c>
      <c r="B361" s="1" t="s">
        <v>25</v>
      </c>
      <c r="C361" t="s">
        <v>17</v>
      </c>
      <c r="D361">
        <v>809000</v>
      </c>
    </row>
    <row r="362" spans="1:4" x14ac:dyDescent="0.2">
      <c r="A362">
        <v>1913</v>
      </c>
      <c r="B362" s="1" t="s">
        <v>24</v>
      </c>
      <c r="C362" t="s">
        <v>18</v>
      </c>
      <c r="D362">
        <v>708000</v>
      </c>
    </row>
    <row r="363" spans="1:4" x14ac:dyDescent="0.2">
      <c r="A363">
        <v>1913</v>
      </c>
      <c r="B363" s="1" t="s">
        <v>25</v>
      </c>
      <c r="C363" t="s">
        <v>18</v>
      </c>
      <c r="D363">
        <v>638000</v>
      </c>
    </row>
    <row r="364" spans="1:4" x14ac:dyDescent="0.2">
      <c r="A364">
        <v>1913</v>
      </c>
      <c r="B364" s="1" t="s">
        <v>24</v>
      </c>
      <c r="C364" t="s">
        <v>19</v>
      </c>
      <c r="D364">
        <v>573000</v>
      </c>
    </row>
    <row r="365" spans="1:4" x14ac:dyDescent="0.2">
      <c r="A365">
        <v>1913</v>
      </c>
      <c r="B365" s="1" t="s">
        <v>25</v>
      </c>
      <c r="C365" t="s">
        <v>19</v>
      </c>
      <c r="D365">
        <v>500000</v>
      </c>
    </row>
    <row r="366" spans="1:4" x14ac:dyDescent="0.2">
      <c r="A366">
        <v>1913</v>
      </c>
      <c r="B366" s="1" t="s">
        <v>24</v>
      </c>
      <c r="C366" t="s">
        <v>20</v>
      </c>
      <c r="D366">
        <v>458000</v>
      </c>
    </row>
    <row r="367" spans="1:4" x14ac:dyDescent="0.2">
      <c r="A367">
        <v>1913</v>
      </c>
      <c r="B367" s="1" t="s">
        <v>25</v>
      </c>
      <c r="C367" t="s">
        <v>20</v>
      </c>
      <c r="D367">
        <v>382000</v>
      </c>
    </row>
    <row r="368" spans="1:4" x14ac:dyDescent="0.2">
      <c r="A368">
        <v>1913</v>
      </c>
      <c r="B368" s="1" t="s">
        <v>24</v>
      </c>
      <c r="C368" t="s">
        <v>21</v>
      </c>
      <c r="D368">
        <v>330000</v>
      </c>
    </row>
    <row r="369" spans="1:4" x14ac:dyDescent="0.2">
      <c r="A369">
        <v>1913</v>
      </c>
      <c r="B369" s="1" t="s">
        <v>25</v>
      </c>
      <c r="C369" t="s">
        <v>21</v>
      </c>
      <c r="D369">
        <v>250000</v>
      </c>
    </row>
    <row r="370" spans="1:4" x14ac:dyDescent="0.2">
      <c r="A370">
        <v>1913</v>
      </c>
      <c r="B370" s="1" t="s">
        <v>24</v>
      </c>
      <c r="C370" t="s">
        <v>22</v>
      </c>
      <c r="D370">
        <v>195000</v>
      </c>
    </row>
    <row r="371" spans="1:4" x14ac:dyDescent="0.2">
      <c r="A371">
        <v>1913</v>
      </c>
      <c r="B371" s="1" t="s">
        <v>25</v>
      </c>
      <c r="C371" t="s">
        <v>22</v>
      </c>
      <c r="D371">
        <v>134000</v>
      </c>
    </row>
    <row r="372" spans="1:4" x14ac:dyDescent="0.2">
      <c r="A372">
        <v>1913</v>
      </c>
      <c r="B372" s="1" t="s">
        <v>24</v>
      </c>
      <c r="C372" t="s">
        <v>23</v>
      </c>
      <c r="D372">
        <v>95000</v>
      </c>
    </row>
    <row r="373" spans="1:4" x14ac:dyDescent="0.2">
      <c r="A373">
        <v>1913</v>
      </c>
      <c r="B373" s="1" t="s">
        <v>25</v>
      </c>
      <c r="C373" t="s">
        <v>23</v>
      </c>
      <c r="D373">
        <v>59000</v>
      </c>
    </row>
    <row r="374" spans="1:4" x14ac:dyDescent="0.2">
      <c r="A374">
        <v>1913</v>
      </c>
      <c r="B374" s="1" t="s">
        <v>24</v>
      </c>
      <c r="C374" t="s">
        <v>31</v>
      </c>
      <c r="D374">
        <v>43000</v>
      </c>
    </row>
    <row r="375" spans="1:4" x14ac:dyDescent="0.2">
      <c r="A375">
        <v>1913</v>
      </c>
      <c r="B375" s="1" t="s">
        <v>25</v>
      </c>
      <c r="C375" t="s">
        <v>31</v>
      </c>
      <c r="D375">
        <v>23000</v>
      </c>
    </row>
    <row r="376" spans="1:4" x14ac:dyDescent="0.2">
      <c r="A376">
        <v>1914</v>
      </c>
      <c r="B376" s="1" t="s">
        <v>24</v>
      </c>
      <c r="C376" s="1" t="s">
        <v>29</v>
      </c>
      <c r="D376">
        <v>405000</v>
      </c>
    </row>
    <row r="377" spans="1:4" x14ac:dyDescent="0.2">
      <c r="A377">
        <v>1914</v>
      </c>
      <c r="B377" s="1" t="s">
        <v>25</v>
      </c>
      <c r="C377" s="1" t="s">
        <v>29</v>
      </c>
      <c r="D377">
        <v>413000</v>
      </c>
    </row>
    <row r="378" spans="1:4" x14ac:dyDescent="0.2">
      <c r="A378">
        <v>1914</v>
      </c>
      <c r="B378" s="1" t="s">
        <v>24</v>
      </c>
      <c r="C378" s="2" t="s">
        <v>26</v>
      </c>
      <c r="D378">
        <v>1490000</v>
      </c>
    </row>
    <row r="379" spans="1:4" x14ac:dyDescent="0.2">
      <c r="A379">
        <v>1914</v>
      </c>
      <c r="B379" s="1" t="s">
        <v>25</v>
      </c>
      <c r="C379" s="2" t="s">
        <v>26</v>
      </c>
      <c r="D379">
        <v>1505000</v>
      </c>
    </row>
    <row r="380" spans="1:4" x14ac:dyDescent="0.2">
      <c r="A380">
        <v>1914</v>
      </c>
      <c r="B380" s="1" t="s">
        <v>24</v>
      </c>
      <c r="C380" s="2" t="s">
        <v>27</v>
      </c>
      <c r="D380">
        <v>1868000</v>
      </c>
    </row>
    <row r="381" spans="1:4" x14ac:dyDescent="0.2">
      <c r="A381">
        <v>1914</v>
      </c>
      <c r="B381" s="1" t="s">
        <v>25</v>
      </c>
      <c r="C381" s="2" t="s">
        <v>27</v>
      </c>
      <c r="D381">
        <v>1873000</v>
      </c>
    </row>
    <row r="382" spans="1:4" x14ac:dyDescent="0.2">
      <c r="A382">
        <v>1914</v>
      </c>
      <c r="B382" s="1" t="s">
        <v>24</v>
      </c>
      <c r="C382" s="3" t="s">
        <v>28</v>
      </c>
      <c r="D382">
        <v>1794000</v>
      </c>
    </row>
    <row r="383" spans="1:4" x14ac:dyDescent="0.2">
      <c r="A383">
        <v>1914</v>
      </c>
      <c r="B383" s="1" t="s">
        <v>25</v>
      </c>
      <c r="C383" s="3" t="s">
        <v>28</v>
      </c>
      <c r="D383">
        <v>1775000</v>
      </c>
    </row>
    <row r="384" spans="1:4" x14ac:dyDescent="0.2">
      <c r="A384">
        <v>1914</v>
      </c>
      <c r="B384" s="1" t="s">
        <v>24</v>
      </c>
      <c r="C384" t="s">
        <v>4</v>
      </c>
      <c r="D384">
        <v>1706000</v>
      </c>
    </row>
    <row r="385" spans="1:4" x14ac:dyDescent="0.2">
      <c r="A385">
        <v>1914</v>
      </c>
      <c r="B385" s="1" t="s">
        <v>25</v>
      </c>
      <c r="C385" t="s">
        <v>4</v>
      </c>
      <c r="D385">
        <v>1681000</v>
      </c>
    </row>
    <row r="386" spans="1:4" x14ac:dyDescent="0.2">
      <c r="A386">
        <v>1914</v>
      </c>
      <c r="B386" s="1" t="s">
        <v>24</v>
      </c>
      <c r="C386" t="s">
        <v>5</v>
      </c>
      <c r="D386">
        <v>1641000</v>
      </c>
    </row>
    <row r="387" spans="1:4" x14ac:dyDescent="0.2">
      <c r="A387">
        <v>1914</v>
      </c>
      <c r="B387" s="1" t="s">
        <v>25</v>
      </c>
      <c r="C387" t="s">
        <v>5</v>
      </c>
      <c r="D387">
        <v>1516000</v>
      </c>
    </row>
    <row r="388" spans="1:4" x14ac:dyDescent="0.2">
      <c r="A388">
        <v>1914</v>
      </c>
      <c r="B388" s="1" t="s">
        <v>24</v>
      </c>
      <c r="C388" t="s">
        <v>12</v>
      </c>
      <c r="D388">
        <v>1592000</v>
      </c>
    </row>
    <row r="389" spans="1:4" x14ac:dyDescent="0.2">
      <c r="A389">
        <v>1914</v>
      </c>
      <c r="B389" s="1" t="s">
        <v>25</v>
      </c>
      <c r="C389" t="s">
        <v>12</v>
      </c>
      <c r="D389">
        <v>1440000</v>
      </c>
    </row>
    <row r="390" spans="1:4" x14ac:dyDescent="0.2">
      <c r="A390">
        <v>1914</v>
      </c>
      <c r="B390" s="1" t="s">
        <v>24</v>
      </c>
      <c r="C390" t="s">
        <v>13</v>
      </c>
      <c r="D390">
        <v>1527000</v>
      </c>
    </row>
    <row r="391" spans="1:4" x14ac:dyDescent="0.2">
      <c r="A391">
        <v>1914</v>
      </c>
      <c r="B391" s="1" t="s">
        <v>25</v>
      </c>
      <c r="C391" t="s">
        <v>13</v>
      </c>
      <c r="D391">
        <v>1386000</v>
      </c>
    </row>
    <row r="392" spans="1:4" x14ac:dyDescent="0.2">
      <c r="A392">
        <v>1914</v>
      </c>
      <c r="B392" s="1" t="s">
        <v>24</v>
      </c>
      <c r="C392" t="s">
        <v>14</v>
      </c>
      <c r="D392">
        <v>1390000</v>
      </c>
    </row>
    <row r="393" spans="1:4" x14ac:dyDescent="0.2">
      <c r="A393">
        <v>1914</v>
      </c>
      <c r="B393" s="1" t="s">
        <v>25</v>
      </c>
      <c r="C393" t="s">
        <v>14</v>
      </c>
      <c r="D393">
        <v>1298000</v>
      </c>
    </row>
    <row r="394" spans="1:4" x14ac:dyDescent="0.2">
      <c r="A394">
        <v>1914</v>
      </c>
      <c r="B394" s="1" t="s">
        <v>24</v>
      </c>
      <c r="C394" t="s">
        <v>15</v>
      </c>
      <c r="D394">
        <v>1269000</v>
      </c>
    </row>
    <row r="395" spans="1:4" x14ac:dyDescent="0.2">
      <c r="A395">
        <v>1914</v>
      </c>
      <c r="B395" s="1" t="s">
        <v>25</v>
      </c>
      <c r="C395" t="s">
        <v>15</v>
      </c>
      <c r="D395">
        <v>1166000</v>
      </c>
    </row>
    <row r="396" spans="1:4" x14ac:dyDescent="0.2">
      <c r="A396">
        <v>1914</v>
      </c>
      <c r="B396" s="1" t="s">
        <v>24</v>
      </c>
      <c r="C396" t="s">
        <v>16</v>
      </c>
      <c r="D396">
        <v>1051000</v>
      </c>
    </row>
    <row r="397" spans="1:4" x14ac:dyDescent="0.2">
      <c r="A397">
        <v>1914</v>
      </c>
      <c r="B397" s="1" t="s">
        <v>25</v>
      </c>
      <c r="C397" t="s">
        <v>16</v>
      </c>
      <c r="D397">
        <v>984000</v>
      </c>
    </row>
    <row r="398" spans="1:4" x14ac:dyDescent="0.2">
      <c r="A398">
        <v>1914</v>
      </c>
      <c r="B398" s="1" t="s">
        <v>24</v>
      </c>
      <c r="C398" t="s">
        <v>17</v>
      </c>
      <c r="D398">
        <v>892000</v>
      </c>
    </row>
    <row r="399" spans="1:4" x14ac:dyDescent="0.2">
      <c r="A399">
        <v>1914</v>
      </c>
      <c r="B399" s="1" t="s">
        <v>25</v>
      </c>
      <c r="C399" t="s">
        <v>17</v>
      </c>
      <c r="D399">
        <v>826000</v>
      </c>
    </row>
    <row r="400" spans="1:4" x14ac:dyDescent="0.2">
      <c r="A400">
        <v>1914</v>
      </c>
      <c r="B400" s="1" t="s">
        <v>24</v>
      </c>
      <c r="C400" t="s">
        <v>18</v>
      </c>
      <c r="D400">
        <v>728000</v>
      </c>
    </row>
    <row r="401" spans="1:4" x14ac:dyDescent="0.2">
      <c r="A401">
        <v>1914</v>
      </c>
      <c r="B401" s="1" t="s">
        <v>25</v>
      </c>
      <c r="C401" t="s">
        <v>18</v>
      </c>
      <c r="D401">
        <v>657000</v>
      </c>
    </row>
    <row r="402" spans="1:4" x14ac:dyDescent="0.2">
      <c r="A402">
        <v>1914</v>
      </c>
      <c r="B402" s="1" t="s">
        <v>24</v>
      </c>
      <c r="C402" t="s">
        <v>19</v>
      </c>
      <c r="D402">
        <v>585000</v>
      </c>
    </row>
    <row r="403" spans="1:4" x14ac:dyDescent="0.2">
      <c r="A403">
        <v>1914</v>
      </c>
      <c r="B403" s="1" t="s">
        <v>25</v>
      </c>
      <c r="C403" t="s">
        <v>19</v>
      </c>
      <c r="D403">
        <v>509000</v>
      </c>
    </row>
    <row r="404" spans="1:4" x14ac:dyDescent="0.2">
      <c r="A404">
        <v>1914</v>
      </c>
      <c r="B404" s="1" t="s">
        <v>24</v>
      </c>
      <c r="C404" t="s">
        <v>20</v>
      </c>
      <c r="D404">
        <v>466000</v>
      </c>
    </row>
    <row r="405" spans="1:4" x14ac:dyDescent="0.2">
      <c r="A405">
        <v>1914</v>
      </c>
      <c r="B405" s="1" t="s">
        <v>25</v>
      </c>
      <c r="C405" t="s">
        <v>20</v>
      </c>
      <c r="D405">
        <v>390000</v>
      </c>
    </row>
    <row r="406" spans="1:4" x14ac:dyDescent="0.2">
      <c r="A406">
        <v>1914</v>
      </c>
      <c r="B406" s="1" t="s">
        <v>24</v>
      </c>
      <c r="C406" t="s">
        <v>21</v>
      </c>
      <c r="D406">
        <v>328000</v>
      </c>
    </row>
    <row r="407" spans="1:4" x14ac:dyDescent="0.2">
      <c r="A407">
        <v>1914</v>
      </c>
      <c r="B407" s="1" t="s">
        <v>25</v>
      </c>
      <c r="C407" t="s">
        <v>21</v>
      </c>
      <c r="D407">
        <v>251000</v>
      </c>
    </row>
    <row r="408" spans="1:4" x14ac:dyDescent="0.2">
      <c r="A408">
        <v>1914</v>
      </c>
      <c r="B408" s="1" t="s">
        <v>24</v>
      </c>
      <c r="C408" t="s">
        <v>22</v>
      </c>
      <c r="D408">
        <v>200000</v>
      </c>
    </row>
    <row r="409" spans="1:4" x14ac:dyDescent="0.2">
      <c r="A409">
        <v>1914</v>
      </c>
      <c r="B409" s="1" t="s">
        <v>25</v>
      </c>
      <c r="C409" t="s">
        <v>22</v>
      </c>
      <c r="D409">
        <v>140000</v>
      </c>
    </row>
    <row r="410" spans="1:4" x14ac:dyDescent="0.2">
      <c r="A410">
        <v>1914</v>
      </c>
      <c r="B410" s="1" t="s">
        <v>24</v>
      </c>
      <c r="C410" t="s">
        <v>23</v>
      </c>
      <c r="D410">
        <v>98000</v>
      </c>
    </row>
    <row r="411" spans="1:4" x14ac:dyDescent="0.2">
      <c r="A411">
        <v>1914</v>
      </c>
      <c r="B411" s="1" t="s">
        <v>25</v>
      </c>
      <c r="C411" t="s">
        <v>23</v>
      </c>
      <c r="D411">
        <v>60000</v>
      </c>
    </row>
    <row r="412" spans="1:4" x14ac:dyDescent="0.2">
      <c r="A412">
        <v>1914</v>
      </c>
      <c r="B412" s="1" t="s">
        <v>24</v>
      </c>
      <c r="C412" t="s">
        <v>31</v>
      </c>
      <c r="D412">
        <v>44000</v>
      </c>
    </row>
    <row r="413" spans="1:4" x14ac:dyDescent="0.2">
      <c r="A413">
        <v>1914</v>
      </c>
      <c r="B413" s="1" t="s">
        <v>25</v>
      </c>
      <c r="C413" t="s">
        <v>31</v>
      </c>
      <c r="D413">
        <v>23000</v>
      </c>
    </row>
    <row r="414" spans="1:4" x14ac:dyDescent="0.2">
      <c r="A414">
        <v>1915</v>
      </c>
      <c r="B414" s="1" t="s">
        <v>24</v>
      </c>
      <c r="C414" s="1" t="s">
        <v>29</v>
      </c>
      <c r="D414">
        <v>398000</v>
      </c>
    </row>
    <row r="415" spans="1:4" x14ac:dyDescent="0.2">
      <c r="A415">
        <v>1915</v>
      </c>
      <c r="B415" s="1" t="s">
        <v>25</v>
      </c>
      <c r="C415" s="1" t="s">
        <v>29</v>
      </c>
      <c r="D415">
        <v>405000</v>
      </c>
    </row>
    <row r="416" spans="1:4" x14ac:dyDescent="0.2">
      <c r="A416">
        <v>1915</v>
      </c>
      <c r="B416" s="1" t="s">
        <v>24</v>
      </c>
      <c r="C416" s="2" t="s">
        <v>26</v>
      </c>
      <c r="D416">
        <v>1489000</v>
      </c>
    </row>
    <row r="417" spans="1:4" x14ac:dyDescent="0.2">
      <c r="A417">
        <v>1915</v>
      </c>
      <c r="B417" s="1" t="s">
        <v>25</v>
      </c>
      <c r="C417" s="2" t="s">
        <v>26</v>
      </c>
      <c r="D417">
        <v>1501000</v>
      </c>
    </row>
    <row r="418" spans="1:4" x14ac:dyDescent="0.2">
      <c r="A418">
        <v>1915</v>
      </c>
      <c r="B418" s="1" t="s">
        <v>24</v>
      </c>
      <c r="C418" s="2" t="s">
        <v>27</v>
      </c>
      <c r="D418">
        <v>1865000</v>
      </c>
    </row>
    <row r="419" spans="1:4" x14ac:dyDescent="0.2">
      <c r="A419">
        <v>1915</v>
      </c>
      <c r="B419" s="1" t="s">
        <v>25</v>
      </c>
      <c r="C419" s="2" t="s">
        <v>27</v>
      </c>
      <c r="D419">
        <v>1875000</v>
      </c>
    </row>
    <row r="420" spans="1:4" x14ac:dyDescent="0.2">
      <c r="A420">
        <v>1915</v>
      </c>
      <c r="B420" s="1" t="s">
        <v>24</v>
      </c>
      <c r="C420" s="3" t="s">
        <v>28</v>
      </c>
      <c r="D420">
        <v>1807000</v>
      </c>
    </row>
    <row r="421" spans="1:4" x14ac:dyDescent="0.2">
      <c r="A421">
        <v>1915</v>
      </c>
      <c r="B421" s="1" t="s">
        <v>25</v>
      </c>
      <c r="C421" s="3" t="s">
        <v>28</v>
      </c>
      <c r="D421">
        <v>1788000</v>
      </c>
    </row>
    <row r="422" spans="1:4" x14ac:dyDescent="0.2">
      <c r="A422">
        <v>1915</v>
      </c>
      <c r="B422" s="1" t="s">
        <v>24</v>
      </c>
      <c r="C422" t="s">
        <v>4</v>
      </c>
      <c r="D422">
        <v>1725000</v>
      </c>
    </row>
    <row r="423" spans="1:4" x14ac:dyDescent="0.2">
      <c r="A423">
        <v>1915</v>
      </c>
      <c r="B423" s="1" t="s">
        <v>25</v>
      </c>
      <c r="C423" t="s">
        <v>4</v>
      </c>
      <c r="D423">
        <v>1443000</v>
      </c>
    </row>
    <row r="424" spans="1:4" x14ac:dyDescent="0.2">
      <c r="A424">
        <v>1915</v>
      </c>
      <c r="B424" s="1" t="s">
        <v>24</v>
      </c>
      <c r="C424" t="s">
        <v>5</v>
      </c>
      <c r="D424">
        <v>1639000</v>
      </c>
    </row>
    <row r="425" spans="1:4" x14ac:dyDescent="0.2">
      <c r="A425">
        <v>1915</v>
      </c>
      <c r="B425" s="1" t="s">
        <v>25</v>
      </c>
      <c r="C425" t="s">
        <v>5</v>
      </c>
      <c r="D425">
        <v>858000</v>
      </c>
    </row>
    <row r="426" spans="1:4" x14ac:dyDescent="0.2">
      <c r="A426">
        <v>1915</v>
      </c>
      <c r="B426" s="1" t="s">
        <v>24</v>
      </c>
      <c r="C426" t="s">
        <v>12</v>
      </c>
      <c r="D426">
        <v>1609000</v>
      </c>
    </row>
    <row r="427" spans="1:4" x14ac:dyDescent="0.2">
      <c r="A427">
        <v>1915</v>
      </c>
      <c r="B427" s="1" t="s">
        <v>25</v>
      </c>
      <c r="C427" t="s">
        <v>12</v>
      </c>
      <c r="D427">
        <v>908000</v>
      </c>
    </row>
    <row r="428" spans="1:4" x14ac:dyDescent="0.2">
      <c r="A428">
        <v>1915</v>
      </c>
      <c r="B428" s="1" t="s">
        <v>24</v>
      </c>
      <c r="C428" t="s">
        <v>13</v>
      </c>
      <c r="D428">
        <v>1537000</v>
      </c>
    </row>
    <row r="429" spans="1:4" x14ac:dyDescent="0.2">
      <c r="A429">
        <v>1915</v>
      </c>
      <c r="B429" s="1" t="s">
        <v>25</v>
      </c>
      <c r="C429" t="s">
        <v>13</v>
      </c>
      <c r="D429">
        <v>1090000</v>
      </c>
    </row>
    <row r="430" spans="1:4" x14ac:dyDescent="0.2">
      <c r="A430">
        <v>1915</v>
      </c>
      <c r="B430" s="1" t="s">
        <v>24</v>
      </c>
      <c r="C430" t="s">
        <v>14</v>
      </c>
      <c r="D430">
        <v>1436000</v>
      </c>
    </row>
    <row r="431" spans="1:4" x14ac:dyDescent="0.2">
      <c r="A431">
        <v>1915</v>
      </c>
      <c r="B431" s="1" t="s">
        <v>25</v>
      </c>
      <c r="C431" t="s">
        <v>14</v>
      </c>
      <c r="D431">
        <v>1146000</v>
      </c>
    </row>
    <row r="432" spans="1:4" x14ac:dyDescent="0.2">
      <c r="A432">
        <v>1915</v>
      </c>
      <c r="B432" s="1" t="s">
        <v>24</v>
      </c>
      <c r="C432" t="s">
        <v>15</v>
      </c>
      <c r="D432">
        <v>1276000</v>
      </c>
    </row>
    <row r="433" spans="1:4" x14ac:dyDescent="0.2">
      <c r="A433">
        <v>1915</v>
      </c>
      <c r="B433" s="1" t="s">
        <v>25</v>
      </c>
      <c r="C433" t="s">
        <v>15</v>
      </c>
      <c r="D433">
        <v>1099000</v>
      </c>
    </row>
    <row r="434" spans="1:4" x14ac:dyDescent="0.2">
      <c r="A434">
        <v>1915</v>
      </c>
      <c r="B434" s="1" t="s">
        <v>24</v>
      </c>
      <c r="C434" t="s">
        <v>16</v>
      </c>
      <c r="D434">
        <v>1093000</v>
      </c>
    </row>
    <row r="435" spans="1:4" x14ac:dyDescent="0.2">
      <c r="A435">
        <v>1915</v>
      </c>
      <c r="B435" s="1" t="s">
        <v>25</v>
      </c>
      <c r="C435" t="s">
        <v>16</v>
      </c>
      <c r="D435">
        <v>994000</v>
      </c>
    </row>
    <row r="436" spans="1:4" x14ac:dyDescent="0.2">
      <c r="A436">
        <v>1915</v>
      </c>
      <c r="B436" s="1" t="s">
        <v>24</v>
      </c>
      <c r="C436" t="s">
        <v>17</v>
      </c>
      <c r="D436">
        <v>901000</v>
      </c>
    </row>
    <row r="437" spans="1:4" x14ac:dyDescent="0.2">
      <c r="A437">
        <v>1915</v>
      </c>
      <c r="B437" s="1" t="s">
        <v>25</v>
      </c>
      <c r="C437" t="s">
        <v>17</v>
      </c>
      <c r="D437">
        <v>824000</v>
      </c>
    </row>
    <row r="438" spans="1:4" x14ac:dyDescent="0.2">
      <c r="A438">
        <v>1915</v>
      </c>
      <c r="B438" s="1" t="s">
        <v>24</v>
      </c>
      <c r="C438" t="s">
        <v>18</v>
      </c>
      <c r="D438">
        <v>750000</v>
      </c>
    </row>
    <row r="439" spans="1:4" x14ac:dyDescent="0.2">
      <c r="A439">
        <v>1915</v>
      </c>
      <c r="B439" s="1" t="s">
        <v>25</v>
      </c>
      <c r="C439" t="s">
        <v>18</v>
      </c>
      <c r="D439">
        <v>682000</v>
      </c>
    </row>
    <row r="440" spans="1:4" x14ac:dyDescent="0.2">
      <c r="A440">
        <v>1915</v>
      </c>
      <c r="B440" s="1" t="s">
        <v>24</v>
      </c>
      <c r="C440" t="s">
        <v>19</v>
      </c>
      <c r="D440">
        <v>598000</v>
      </c>
    </row>
    <row r="441" spans="1:4" x14ac:dyDescent="0.2">
      <c r="A441">
        <v>1915</v>
      </c>
      <c r="B441" s="1" t="s">
        <v>25</v>
      </c>
      <c r="C441" t="s">
        <v>19</v>
      </c>
      <c r="D441">
        <v>525000</v>
      </c>
    </row>
    <row r="442" spans="1:4" x14ac:dyDescent="0.2">
      <c r="A442">
        <v>1915</v>
      </c>
      <c r="B442" s="1" t="s">
        <v>24</v>
      </c>
      <c r="C442" t="s">
        <v>20</v>
      </c>
      <c r="D442">
        <v>471000</v>
      </c>
    </row>
    <row r="443" spans="1:4" x14ac:dyDescent="0.2">
      <c r="A443">
        <v>1915</v>
      </c>
      <c r="B443" s="1" t="s">
        <v>25</v>
      </c>
      <c r="C443" t="s">
        <v>20</v>
      </c>
      <c r="D443">
        <v>396000</v>
      </c>
    </row>
    <row r="444" spans="1:4" x14ac:dyDescent="0.2">
      <c r="A444">
        <v>1915</v>
      </c>
      <c r="B444" s="1" t="s">
        <v>24</v>
      </c>
      <c r="C444" t="s">
        <v>21</v>
      </c>
      <c r="D444">
        <v>333000</v>
      </c>
    </row>
    <row r="445" spans="1:4" x14ac:dyDescent="0.2">
      <c r="A445">
        <v>1915</v>
      </c>
      <c r="B445" s="1" t="s">
        <v>25</v>
      </c>
      <c r="C445" t="s">
        <v>21</v>
      </c>
      <c r="D445">
        <v>252000</v>
      </c>
    </row>
    <row r="446" spans="1:4" x14ac:dyDescent="0.2">
      <c r="A446">
        <v>1915</v>
      </c>
      <c r="B446" s="1" t="s">
        <v>24</v>
      </c>
      <c r="C446" t="s">
        <v>22</v>
      </c>
      <c r="D446">
        <v>205000</v>
      </c>
    </row>
    <row r="447" spans="1:4" x14ac:dyDescent="0.2">
      <c r="A447">
        <v>1915</v>
      </c>
      <c r="B447" s="1" t="s">
        <v>25</v>
      </c>
      <c r="C447" t="s">
        <v>22</v>
      </c>
      <c r="D447">
        <v>140000</v>
      </c>
    </row>
    <row r="448" spans="1:4" x14ac:dyDescent="0.2">
      <c r="A448">
        <v>1915</v>
      </c>
      <c r="B448" s="1" t="s">
        <v>24</v>
      </c>
      <c r="C448" t="s">
        <v>23</v>
      </c>
      <c r="D448">
        <v>98000</v>
      </c>
    </row>
    <row r="449" spans="1:4" x14ac:dyDescent="0.2">
      <c r="A449">
        <v>1915</v>
      </c>
      <c r="B449" s="1" t="s">
        <v>25</v>
      </c>
      <c r="C449" t="s">
        <v>23</v>
      </c>
      <c r="D449">
        <v>60000</v>
      </c>
    </row>
    <row r="450" spans="1:4" x14ac:dyDescent="0.2">
      <c r="A450">
        <v>1915</v>
      </c>
      <c r="B450" s="1" t="s">
        <v>24</v>
      </c>
      <c r="C450" t="s">
        <v>31</v>
      </c>
      <c r="D450">
        <v>45000</v>
      </c>
    </row>
    <row r="451" spans="1:4" x14ac:dyDescent="0.2">
      <c r="A451">
        <v>1915</v>
      </c>
      <c r="B451" s="1" t="s">
        <v>25</v>
      </c>
      <c r="C451" t="s">
        <v>31</v>
      </c>
      <c r="D451">
        <v>23000</v>
      </c>
    </row>
    <row r="452" spans="1:4" x14ac:dyDescent="0.2">
      <c r="A452">
        <v>1916</v>
      </c>
      <c r="B452" s="1" t="s">
        <v>24</v>
      </c>
      <c r="C452" s="1" t="s">
        <v>29</v>
      </c>
      <c r="D452">
        <v>360000</v>
      </c>
    </row>
    <row r="453" spans="1:4" x14ac:dyDescent="0.2">
      <c r="A453">
        <v>1916</v>
      </c>
      <c r="B453" s="1" t="s">
        <v>25</v>
      </c>
      <c r="C453" s="1" t="s">
        <v>29</v>
      </c>
      <c r="D453">
        <v>368000</v>
      </c>
    </row>
    <row r="454" spans="1:4" x14ac:dyDescent="0.2">
      <c r="A454">
        <v>1916</v>
      </c>
      <c r="B454" s="1" t="s">
        <v>24</v>
      </c>
      <c r="C454" s="2" t="s">
        <v>26</v>
      </c>
      <c r="D454">
        <v>1493000</v>
      </c>
    </row>
    <row r="455" spans="1:4" x14ac:dyDescent="0.2">
      <c r="A455">
        <v>1916</v>
      </c>
      <c r="B455" s="1" t="s">
        <v>25</v>
      </c>
      <c r="C455" s="2" t="s">
        <v>26</v>
      </c>
      <c r="D455">
        <v>1503000</v>
      </c>
    </row>
    <row r="456" spans="1:4" x14ac:dyDescent="0.2">
      <c r="A456">
        <v>1916</v>
      </c>
      <c r="B456" s="1" t="s">
        <v>24</v>
      </c>
      <c r="C456" s="2" t="s">
        <v>27</v>
      </c>
      <c r="D456">
        <v>1852000</v>
      </c>
    </row>
    <row r="457" spans="1:4" x14ac:dyDescent="0.2">
      <c r="A457">
        <v>1916</v>
      </c>
      <c r="B457" s="1" t="s">
        <v>25</v>
      </c>
      <c r="C457" s="2" t="s">
        <v>27</v>
      </c>
      <c r="D457">
        <v>1860000</v>
      </c>
    </row>
    <row r="458" spans="1:4" x14ac:dyDescent="0.2">
      <c r="A458">
        <v>1916</v>
      </c>
      <c r="B458" s="1" t="s">
        <v>24</v>
      </c>
      <c r="C458" s="3" t="s">
        <v>28</v>
      </c>
      <c r="D458">
        <v>1818000</v>
      </c>
    </row>
    <row r="459" spans="1:4" x14ac:dyDescent="0.2">
      <c r="A459">
        <v>1916</v>
      </c>
      <c r="B459" s="1" t="s">
        <v>25</v>
      </c>
      <c r="C459" s="3" t="s">
        <v>28</v>
      </c>
      <c r="D459">
        <v>1804000</v>
      </c>
    </row>
    <row r="460" spans="1:4" x14ac:dyDescent="0.2">
      <c r="A460">
        <v>1916</v>
      </c>
      <c r="B460" s="1" t="s">
        <v>24</v>
      </c>
      <c r="C460" t="s">
        <v>4</v>
      </c>
      <c r="D460">
        <v>1739000</v>
      </c>
    </row>
    <row r="461" spans="1:4" x14ac:dyDescent="0.2">
      <c r="A461">
        <v>1916</v>
      </c>
      <c r="B461" s="1" t="s">
        <v>25</v>
      </c>
      <c r="C461" t="s">
        <v>4</v>
      </c>
      <c r="D461">
        <v>1411000</v>
      </c>
    </row>
    <row r="462" spans="1:4" x14ac:dyDescent="0.2">
      <c r="A462">
        <v>1916</v>
      </c>
      <c r="B462" s="1" t="s">
        <v>24</v>
      </c>
      <c r="C462" t="s">
        <v>5</v>
      </c>
      <c r="D462">
        <v>1667000</v>
      </c>
    </row>
    <row r="463" spans="1:4" x14ac:dyDescent="0.2">
      <c r="A463">
        <v>1916</v>
      </c>
      <c r="B463" s="1" t="s">
        <v>25</v>
      </c>
      <c r="C463" t="s">
        <v>5</v>
      </c>
      <c r="D463">
        <v>635000</v>
      </c>
    </row>
    <row r="464" spans="1:4" x14ac:dyDescent="0.2">
      <c r="A464">
        <v>1916</v>
      </c>
      <c r="B464" s="1" t="s">
        <v>24</v>
      </c>
      <c r="C464" t="s">
        <v>12</v>
      </c>
      <c r="D464">
        <v>1600000</v>
      </c>
    </row>
    <row r="465" spans="1:4" x14ac:dyDescent="0.2">
      <c r="A465">
        <v>1916</v>
      </c>
      <c r="B465" s="1" t="s">
        <v>25</v>
      </c>
      <c r="C465" t="s">
        <v>12</v>
      </c>
      <c r="D465">
        <v>671000</v>
      </c>
    </row>
    <row r="466" spans="1:4" x14ac:dyDescent="0.2">
      <c r="A466">
        <v>1916</v>
      </c>
      <c r="B466" s="1" t="s">
        <v>24</v>
      </c>
      <c r="C466" t="s">
        <v>13</v>
      </c>
      <c r="D466">
        <v>1544000</v>
      </c>
    </row>
    <row r="467" spans="1:4" x14ac:dyDescent="0.2">
      <c r="A467">
        <v>1916</v>
      </c>
      <c r="B467" s="1" t="s">
        <v>25</v>
      </c>
      <c r="C467" t="s">
        <v>13</v>
      </c>
      <c r="D467">
        <v>917000</v>
      </c>
    </row>
    <row r="468" spans="1:4" x14ac:dyDescent="0.2">
      <c r="A468">
        <v>1916</v>
      </c>
      <c r="B468" s="1" t="s">
        <v>24</v>
      </c>
      <c r="C468" t="s">
        <v>14</v>
      </c>
      <c r="D468">
        <v>1454000</v>
      </c>
    </row>
    <row r="469" spans="1:4" x14ac:dyDescent="0.2">
      <c r="A469">
        <v>1916</v>
      </c>
      <c r="B469" s="1" t="s">
        <v>25</v>
      </c>
      <c r="C469" t="s">
        <v>14</v>
      </c>
      <c r="D469">
        <v>1041000</v>
      </c>
    </row>
    <row r="470" spans="1:4" x14ac:dyDescent="0.2">
      <c r="A470">
        <v>1916</v>
      </c>
      <c r="B470" s="1" t="s">
        <v>24</v>
      </c>
      <c r="C470" t="s">
        <v>15</v>
      </c>
      <c r="D470">
        <v>1303000</v>
      </c>
    </row>
    <row r="471" spans="1:4" x14ac:dyDescent="0.2">
      <c r="A471">
        <v>1916</v>
      </c>
      <c r="B471" s="1" t="s">
        <v>25</v>
      </c>
      <c r="C471" t="s">
        <v>15</v>
      </c>
      <c r="D471">
        <v>1069000</v>
      </c>
    </row>
    <row r="472" spans="1:4" x14ac:dyDescent="0.2">
      <c r="A472">
        <v>1916</v>
      </c>
      <c r="B472" s="1" t="s">
        <v>24</v>
      </c>
      <c r="C472" t="s">
        <v>16</v>
      </c>
      <c r="D472">
        <v>1117000</v>
      </c>
    </row>
    <row r="473" spans="1:4" x14ac:dyDescent="0.2">
      <c r="A473">
        <v>1916</v>
      </c>
      <c r="B473" s="1" t="s">
        <v>25</v>
      </c>
      <c r="C473" t="s">
        <v>16</v>
      </c>
      <c r="D473">
        <v>992000</v>
      </c>
    </row>
    <row r="474" spans="1:4" x14ac:dyDescent="0.2">
      <c r="A474">
        <v>1916</v>
      </c>
      <c r="B474" s="1" t="s">
        <v>24</v>
      </c>
      <c r="C474" t="s">
        <v>17</v>
      </c>
      <c r="D474">
        <v>921000</v>
      </c>
    </row>
    <row r="475" spans="1:4" x14ac:dyDescent="0.2">
      <c r="A475">
        <v>1916</v>
      </c>
      <c r="B475" s="1" t="s">
        <v>25</v>
      </c>
      <c r="C475" t="s">
        <v>17</v>
      </c>
      <c r="D475">
        <v>847000</v>
      </c>
    </row>
    <row r="476" spans="1:4" x14ac:dyDescent="0.2">
      <c r="A476">
        <v>1916</v>
      </c>
      <c r="B476" s="1" t="s">
        <v>24</v>
      </c>
      <c r="C476" t="s">
        <v>18</v>
      </c>
      <c r="D476">
        <v>768000</v>
      </c>
    </row>
    <row r="477" spans="1:4" x14ac:dyDescent="0.2">
      <c r="A477">
        <v>1916</v>
      </c>
      <c r="B477" s="1" t="s">
        <v>25</v>
      </c>
      <c r="C477" t="s">
        <v>18</v>
      </c>
      <c r="D477">
        <v>694000</v>
      </c>
    </row>
    <row r="478" spans="1:4" x14ac:dyDescent="0.2">
      <c r="A478">
        <v>1916</v>
      </c>
      <c r="B478" s="1" t="s">
        <v>24</v>
      </c>
      <c r="C478" t="s">
        <v>19</v>
      </c>
      <c r="D478">
        <v>610000</v>
      </c>
    </row>
    <row r="479" spans="1:4" x14ac:dyDescent="0.2">
      <c r="A479">
        <v>1916</v>
      </c>
      <c r="B479" s="1" t="s">
        <v>25</v>
      </c>
      <c r="C479" t="s">
        <v>19</v>
      </c>
      <c r="D479">
        <v>530000</v>
      </c>
    </row>
    <row r="480" spans="1:4" x14ac:dyDescent="0.2">
      <c r="A480">
        <v>1916</v>
      </c>
      <c r="B480" s="1" t="s">
        <v>24</v>
      </c>
      <c r="C480" t="s">
        <v>20</v>
      </c>
      <c r="D480">
        <v>481000</v>
      </c>
    </row>
    <row r="481" spans="1:4" x14ac:dyDescent="0.2">
      <c r="A481">
        <v>1916</v>
      </c>
      <c r="B481" s="1" t="s">
        <v>25</v>
      </c>
      <c r="C481" t="s">
        <v>20</v>
      </c>
      <c r="D481">
        <v>403000</v>
      </c>
    </row>
    <row r="482" spans="1:4" x14ac:dyDescent="0.2">
      <c r="A482">
        <v>1916</v>
      </c>
      <c r="B482" s="1" t="s">
        <v>24</v>
      </c>
      <c r="C482" t="s">
        <v>21</v>
      </c>
      <c r="D482">
        <v>338000</v>
      </c>
    </row>
    <row r="483" spans="1:4" x14ac:dyDescent="0.2">
      <c r="A483">
        <v>1916</v>
      </c>
      <c r="B483" s="1" t="s">
        <v>25</v>
      </c>
      <c r="C483" t="s">
        <v>21</v>
      </c>
      <c r="D483">
        <v>253000</v>
      </c>
    </row>
    <row r="484" spans="1:4" x14ac:dyDescent="0.2">
      <c r="A484">
        <v>1916</v>
      </c>
      <c r="B484" s="1" t="s">
        <v>24</v>
      </c>
      <c r="C484" t="s">
        <v>22</v>
      </c>
      <c r="D484">
        <v>207000</v>
      </c>
    </row>
    <row r="485" spans="1:4" x14ac:dyDescent="0.2">
      <c r="A485">
        <v>1916</v>
      </c>
      <c r="B485" s="1" t="s">
        <v>25</v>
      </c>
      <c r="C485" t="s">
        <v>22</v>
      </c>
      <c r="D485">
        <v>143000</v>
      </c>
    </row>
    <row r="486" spans="1:4" x14ac:dyDescent="0.2">
      <c r="A486">
        <v>1916</v>
      </c>
      <c r="B486" s="1" t="s">
        <v>24</v>
      </c>
      <c r="C486" t="s">
        <v>23</v>
      </c>
      <c r="D486">
        <v>99000</v>
      </c>
    </row>
    <row r="487" spans="1:4" x14ac:dyDescent="0.2">
      <c r="A487">
        <v>1916</v>
      </c>
      <c r="B487" s="1" t="s">
        <v>25</v>
      </c>
      <c r="C487" t="s">
        <v>23</v>
      </c>
      <c r="D487">
        <v>62000</v>
      </c>
    </row>
    <row r="488" spans="1:4" x14ac:dyDescent="0.2">
      <c r="A488">
        <v>1916</v>
      </c>
      <c r="B488" s="1" t="s">
        <v>24</v>
      </c>
      <c r="C488" t="s">
        <v>31</v>
      </c>
      <c r="D488">
        <v>45000</v>
      </c>
    </row>
    <row r="489" spans="1:4" x14ac:dyDescent="0.2">
      <c r="A489">
        <v>1916</v>
      </c>
      <c r="B489" s="1" t="s">
        <v>25</v>
      </c>
      <c r="C489" t="s">
        <v>31</v>
      </c>
      <c r="D489">
        <v>23000</v>
      </c>
    </row>
    <row r="490" spans="1:4" x14ac:dyDescent="0.2">
      <c r="A490">
        <v>1917</v>
      </c>
      <c r="B490" s="1" t="s">
        <v>24</v>
      </c>
      <c r="C490" s="1" t="s">
        <v>29</v>
      </c>
      <c r="D490">
        <v>335000</v>
      </c>
    </row>
    <row r="491" spans="1:4" x14ac:dyDescent="0.2">
      <c r="A491">
        <v>1917</v>
      </c>
      <c r="B491" s="1" t="s">
        <v>25</v>
      </c>
      <c r="C491" s="1" t="s">
        <v>29</v>
      </c>
      <c r="D491">
        <v>344000</v>
      </c>
    </row>
    <row r="492" spans="1:4" x14ac:dyDescent="0.2">
      <c r="A492">
        <v>1917</v>
      </c>
      <c r="B492" s="1" t="s">
        <v>24</v>
      </c>
      <c r="C492" s="2" t="s">
        <v>26</v>
      </c>
      <c r="D492">
        <v>1460000</v>
      </c>
    </row>
    <row r="493" spans="1:4" x14ac:dyDescent="0.2">
      <c r="A493">
        <v>1917</v>
      </c>
      <c r="B493" s="1" t="s">
        <v>25</v>
      </c>
      <c r="C493" s="2" t="s">
        <v>26</v>
      </c>
      <c r="D493">
        <v>1469000</v>
      </c>
    </row>
    <row r="494" spans="1:4" x14ac:dyDescent="0.2">
      <c r="A494">
        <v>1917</v>
      </c>
      <c r="B494" s="1" t="s">
        <v>24</v>
      </c>
      <c r="C494" s="2" t="s">
        <v>27</v>
      </c>
      <c r="D494">
        <v>1841000</v>
      </c>
    </row>
    <row r="495" spans="1:4" x14ac:dyDescent="0.2">
      <c r="A495">
        <v>1917</v>
      </c>
      <c r="B495" s="1" t="s">
        <v>25</v>
      </c>
      <c r="C495" s="2" t="s">
        <v>27</v>
      </c>
      <c r="D495">
        <v>1854000</v>
      </c>
    </row>
    <row r="496" spans="1:4" x14ac:dyDescent="0.2">
      <c r="A496">
        <v>1917</v>
      </c>
      <c r="B496" s="1" t="s">
        <v>24</v>
      </c>
      <c r="C496" s="3" t="s">
        <v>28</v>
      </c>
      <c r="D496">
        <v>1827000</v>
      </c>
    </row>
    <row r="497" spans="1:4" x14ac:dyDescent="0.2">
      <c r="A497">
        <v>1917</v>
      </c>
      <c r="B497" s="1" t="s">
        <v>25</v>
      </c>
      <c r="C497" s="3" t="s">
        <v>28</v>
      </c>
      <c r="D497">
        <v>1823000</v>
      </c>
    </row>
    <row r="498" spans="1:4" x14ac:dyDescent="0.2">
      <c r="A498">
        <v>1917</v>
      </c>
      <c r="B498" s="1" t="s">
        <v>24</v>
      </c>
      <c r="C498" t="s">
        <v>4</v>
      </c>
      <c r="D498">
        <v>1749000</v>
      </c>
    </row>
    <row r="499" spans="1:4" x14ac:dyDescent="0.2">
      <c r="A499">
        <v>1917</v>
      </c>
      <c r="B499" s="1" t="s">
        <v>25</v>
      </c>
      <c r="C499" t="s">
        <v>4</v>
      </c>
      <c r="D499">
        <v>1367000</v>
      </c>
    </row>
    <row r="500" spans="1:4" x14ac:dyDescent="0.2">
      <c r="A500">
        <v>1917</v>
      </c>
      <c r="B500" s="1" t="s">
        <v>24</v>
      </c>
      <c r="C500" t="s">
        <v>5</v>
      </c>
      <c r="D500">
        <v>1676000</v>
      </c>
    </row>
    <row r="501" spans="1:4" x14ac:dyDescent="0.2">
      <c r="A501">
        <v>1917</v>
      </c>
      <c r="B501" s="1" t="s">
        <v>25</v>
      </c>
      <c r="C501" t="s">
        <v>5</v>
      </c>
      <c r="D501">
        <v>531000</v>
      </c>
    </row>
    <row r="502" spans="1:4" x14ac:dyDescent="0.2">
      <c r="A502">
        <v>1917</v>
      </c>
      <c r="B502" s="1" t="s">
        <v>24</v>
      </c>
      <c r="C502" t="s">
        <v>12</v>
      </c>
      <c r="D502">
        <v>1607000</v>
      </c>
    </row>
    <row r="503" spans="1:4" x14ac:dyDescent="0.2">
      <c r="A503">
        <v>1917</v>
      </c>
      <c r="B503" s="1" t="s">
        <v>25</v>
      </c>
      <c r="C503" t="s">
        <v>12</v>
      </c>
      <c r="D503">
        <v>512000</v>
      </c>
    </row>
    <row r="504" spans="1:4" x14ac:dyDescent="0.2">
      <c r="A504">
        <v>1917</v>
      </c>
      <c r="B504" s="1" t="s">
        <v>24</v>
      </c>
      <c r="C504" t="s">
        <v>13</v>
      </c>
      <c r="D504">
        <v>1551000</v>
      </c>
    </row>
    <row r="505" spans="1:4" x14ac:dyDescent="0.2">
      <c r="A505">
        <v>1917</v>
      </c>
      <c r="B505" s="1" t="s">
        <v>25</v>
      </c>
      <c r="C505" t="s">
        <v>13</v>
      </c>
      <c r="D505">
        <v>779000</v>
      </c>
    </row>
    <row r="506" spans="1:4" x14ac:dyDescent="0.2">
      <c r="A506">
        <v>1917</v>
      </c>
      <c r="B506" s="1" t="s">
        <v>24</v>
      </c>
      <c r="C506" t="s">
        <v>14</v>
      </c>
      <c r="D506">
        <v>1470000</v>
      </c>
    </row>
    <row r="507" spans="1:4" x14ac:dyDescent="0.2">
      <c r="A507">
        <v>1917</v>
      </c>
      <c r="B507" s="1" t="s">
        <v>25</v>
      </c>
      <c r="C507" t="s">
        <v>14</v>
      </c>
      <c r="D507">
        <v>945000</v>
      </c>
    </row>
    <row r="508" spans="1:4" x14ac:dyDescent="0.2">
      <c r="A508">
        <v>1917</v>
      </c>
      <c r="B508" s="1" t="s">
        <v>24</v>
      </c>
      <c r="C508" t="s">
        <v>15</v>
      </c>
      <c r="D508">
        <v>1324000</v>
      </c>
    </row>
    <row r="509" spans="1:4" x14ac:dyDescent="0.2">
      <c r="A509">
        <v>1917</v>
      </c>
      <c r="B509" s="1" t="s">
        <v>25</v>
      </c>
      <c r="C509" t="s">
        <v>15</v>
      </c>
      <c r="D509">
        <v>1022000</v>
      </c>
    </row>
    <row r="510" spans="1:4" x14ac:dyDescent="0.2">
      <c r="A510">
        <v>1917</v>
      </c>
      <c r="B510" s="1" t="s">
        <v>24</v>
      </c>
      <c r="C510" t="s">
        <v>16</v>
      </c>
      <c r="D510">
        <v>1143000</v>
      </c>
    </row>
    <row r="511" spans="1:4" x14ac:dyDescent="0.2">
      <c r="A511">
        <v>1917</v>
      </c>
      <c r="B511" s="1" t="s">
        <v>25</v>
      </c>
      <c r="C511" t="s">
        <v>16</v>
      </c>
      <c r="D511">
        <v>1002000</v>
      </c>
    </row>
    <row r="512" spans="1:4" x14ac:dyDescent="0.2">
      <c r="A512">
        <v>1917</v>
      </c>
      <c r="B512" s="1" t="s">
        <v>24</v>
      </c>
      <c r="C512" t="s">
        <v>17</v>
      </c>
      <c r="D512">
        <v>948000</v>
      </c>
    </row>
    <row r="513" spans="1:4" x14ac:dyDescent="0.2">
      <c r="A513">
        <v>1917</v>
      </c>
      <c r="B513" s="1" t="s">
        <v>25</v>
      </c>
      <c r="C513" t="s">
        <v>17</v>
      </c>
      <c r="D513">
        <v>868000</v>
      </c>
    </row>
    <row r="514" spans="1:4" x14ac:dyDescent="0.2">
      <c r="A514">
        <v>1917</v>
      </c>
      <c r="B514" s="1" t="s">
        <v>24</v>
      </c>
      <c r="C514" t="s">
        <v>18</v>
      </c>
      <c r="D514">
        <v>783000</v>
      </c>
    </row>
    <row r="515" spans="1:4" x14ac:dyDescent="0.2">
      <c r="A515">
        <v>1917</v>
      </c>
      <c r="B515" s="1" t="s">
        <v>25</v>
      </c>
      <c r="C515" t="s">
        <v>18</v>
      </c>
      <c r="D515">
        <v>707000</v>
      </c>
    </row>
    <row r="516" spans="1:4" x14ac:dyDescent="0.2">
      <c r="A516">
        <v>1917</v>
      </c>
      <c r="B516" s="1" t="s">
        <v>24</v>
      </c>
      <c r="C516" t="s">
        <v>19</v>
      </c>
      <c r="D516">
        <v>626000</v>
      </c>
    </row>
    <row r="517" spans="1:4" x14ac:dyDescent="0.2">
      <c r="A517">
        <v>1917</v>
      </c>
      <c r="B517" s="1" t="s">
        <v>25</v>
      </c>
      <c r="C517" t="s">
        <v>19</v>
      </c>
      <c r="D517">
        <v>546000</v>
      </c>
    </row>
    <row r="518" spans="1:4" x14ac:dyDescent="0.2">
      <c r="A518">
        <v>1917</v>
      </c>
      <c r="B518" s="1" t="s">
        <v>24</v>
      </c>
      <c r="C518" t="s">
        <v>20</v>
      </c>
      <c r="D518">
        <v>492000</v>
      </c>
    </row>
    <row r="519" spans="1:4" x14ac:dyDescent="0.2">
      <c r="A519">
        <v>1917</v>
      </c>
      <c r="B519" s="1" t="s">
        <v>25</v>
      </c>
      <c r="C519" t="s">
        <v>20</v>
      </c>
      <c r="D519">
        <v>412000</v>
      </c>
    </row>
    <row r="520" spans="1:4" x14ac:dyDescent="0.2">
      <c r="A520">
        <v>1917</v>
      </c>
      <c r="B520" s="1" t="s">
        <v>24</v>
      </c>
      <c r="C520" t="s">
        <v>21</v>
      </c>
      <c r="D520">
        <v>346000</v>
      </c>
    </row>
    <row r="521" spans="1:4" x14ac:dyDescent="0.2">
      <c r="A521">
        <v>1917</v>
      </c>
      <c r="B521" s="1" t="s">
        <v>25</v>
      </c>
      <c r="C521" t="s">
        <v>21</v>
      </c>
      <c r="D521">
        <v>254000</v>
      </c>
    </row>
    <row r="522" spans="1:4" x14ac:dyDescent="0.2">
      <c r="A522">
        <v>1917</v>
      </c>
      <c r="B522" s="1" t="s">
        <v>24</v>
      </c>
      <c r="C522" t="s">
        <v>22</v>
      </c>
      <c r="D522">
        <v>207000</v>
      </c>
    </row>
    <row r="523" spans="1:4" x14ac:dyDescent="0.2">
      <c r="A523">
        <v>1917</v>
      </c>
      <c r="B523" s="1" t="s">
        <v>25</v>
      </c>
      <c r="C523" t="s">
        <v>22</v>
      </c>
      <c r="D523">
        <v>143000</v>
      </c>
    </row>
    <row r="524" spans="1:4" x14ac:dyDescent="0.2">
      <c r="A524">
        <v>1917</v>
      </c>
      <c r="B524" s="1" t="s">
        <v>24</v>
      </c>
      <c r="C524" t="s">
        <v>23</v>
      </c>
      <c r="D524">
        <v>101000</v>
      </c>
    </row>
    <row r="525" spans="1:4" x14ac:dyDescent="0.2">
      <c r="A525">
        <v>1917</v>
      </c>
      <c r="B525" s="1" t="s">
        <v>25</v>
      </c>
      <c r="C525" t="s">
        <v>23</v>
      </c>
      <c r="D525">
        <v>63000</v>
      </c>
    </row>
    <row r="526" spans="1:4" x14ac:dyDescent="0.2">
      <c r="A526">
        <v>1917</v>
      </c>
      <c r="B526" s="1" t="s">
        <v>24</v>
      </c>
      <c r="C526" t="s">
        <v>31</v>
      </c>
      <c r="D526">
        <v>46000</v>
      </c>
    </row>
    <row r="527" spans="1:4" x14ac:dyDescent="0.2">
      <c r="A527">
        <v>1917</v>
      </c>
      <c r="B527" s="1" t="s">
        <v>25</v>
      </c>
      <c r="C527" t="s">
        <v>31</v>
      </c>
      <c r="D527">
        <v>24000</v>
      </c>
    </row>
    <row r="528" spans="1:4" x14ac:dyDescent="0.2">
      <c r="A528">
        <v>1918</v>
      </c>
      <c r="B528" s="1" t="s">
        <v>24</v>
      </c>
      <c r="C528" s="1" t="s">
        <v>29</v>
      </c>
      <c r="D528">
        <v>295000</v>
      </c>
    </row>
    <row r="529" spans="1:4" x14ac:dyDescent="0.2">
      <c r="A529">
        <v>1918</v>
      </c>
      <c r="B529" s="1" t="s">
        <v>25</v>
      </c>
      <c r="C529" s="1" t="s">
        <v>29</v>
      </c>
      <c r="D529">
        <v>303000</v>
      </c>
    </row>
    <row r="530" spans="1:4" x14ac:dyDescent="0.2">
      <c r="A530">
        <v>1918</v>
      </c>
      <c r="B530" s="1" t="s">
        <v>24</v>
      </c>
      <c r="C530" s="2" t="s">
        <v>26</v>
      </c>
      <c r="D530">
        <v>1394000</v>
      </c>
    </row>
    <row r="531" spans="1:4" x14ac:dyDescent="0.2">
      <c r="A531">
        <v>1918</v>
      </c>
      <c r="B531" s="1" t="s">
        <v>25</v>
      </c>
      <c r="C531" s="2" t="s">
        <v>26</v>
      </c>
      <c r="D531">
        <v>1407000</v>
      </c>
    </row>
    <row r="532" spans="1:4" x14ac:dyDescent="0.2">
      <c r="A532">
        <v>1918</v>
      </c>
      <c r="B532" s="1" t="s">
        <v>24</v>
      </c>
      <c r="C532" s="2" t="s">
        <v>27</v>
      </c>
      <c r="D532">
        <v>1822000</v>
      </c>
    </row>
    <row r="533" spans="1:4" x14ac:dyDescent="0.2">
      <c r="A533">
        <v>1918</v>
      </c>
      <c r="B533" s="1" t="s">
        <v>25</v>
      </c>
      <c r="C533" s="2" t="s">
        <v>27</v>
      </c>
      <c r="D533">
        <v>1837000</v>
      </c>
    </row>
    <row r="534" spans="1:4" x14ac:dyDescent="0.2">
      <c r="A534">
        <v>1918</v>
      </c>
      <c r="B534" s="1" t="s">
        <v>24</v>
      </c>
      <c r="C534" s="3" t="s">
        <v>28</v>
      </c>
      <c r="D534">
        <v>1849000</v>
      </c>
    </row>
    <row r="535" spans="1:4" x14ac:dyDescent="0.2">
      <c r="A535">
        <v>1918</v>
      </c>
      <c r="B535" s="1" t="s">
        <v>25</v>
      </c>
      <c r="C535" s="3" t="s">
        <v>28</v>
      </c>
      <c r="D535">
        <v>1848000</v>
      </c>
    </row>
    <row r="536" spans="1:4" x14ac:dyDescent="0.2">
      <c r="A536">
        <v>1918</v>
      </c>
      <c r="B536" s="1" t="s">
        <v>24</v>
      </c>
      <c r="C536" t="s">
        <v>4</v>
      </c>
      <c r="D536">
        <v>1757000</v>
      </c>
    </row>
    <row r="537" spans="1:4" x14ac:dyDescent="0.2">
      <c r="A537">
        <v>1918</v>
      </c>
      <c r="B537" s="1" t="s">
        <v>25</v>
      </c>
      <c r="C537" t="s">
        <v>4</v>
      </c>
      <c r="D537">
        <v>1422000</v>
      </c>
    </row>
    <row r="538" spans="1:4" x14ac:dyDescent="0.2">
      <c r="A538">
        <v>1918</v>
      </c>
      <c r="B538" s="1" t="s">
        <v>24</v>
      </c>
      <c r="C538" t="s">
        <v>5</v>
      </c>
      <c r="D538">
        <v>1683000</v>
      </c>
    </row>
    <row r="539" spans="1:4" x14ac:dyDescent="0.2">
      <c r="A539">
        <v>1918</v>
      </c>
      <c r="B539" s="1" t="s">
        <v>25</v>
      </c>
      <c r="C539" t="s">
        <v>5</v>
      </c>
      <c r="D539">
        <v>515000</v>
      </c>
    </row>
    <row r="540" spans="1:4" x14ac:dyDescent="0.2">
      <c r="A540">
        <v>1918</v>
      </c>
      <c r="B540" s="1" t="s">
        <v>24</v>
      </c>
      <c r="C540" t="s">
        <v>12</v>
      </c>
      <c r="D540">
        <v>1608000</v>
      </c>
    </row>
    <row r="541" spans="1:4" x14ac:dyDescent="0.2">
      <c r="A541">
        <v>1918</v>
      </c>
      <c r="B541" s="1" t="s">
        <v>25</v>
      </c>
      <c r="C541" t="s">
        <v>12</v>
      </c>
      <c r="D541">
        <v>450000</v>
      </c>
    </row>
    <row r="542" spans="1:4" x14ac:dyDescent="0.2">
      <c r="A542">
        <v>1918</v>
      </c>
      <c r="B542" s="1" t="s">
        <v>24</v>
      </c>
      <c r="C542" t="s">
        <v>13</v>
      </c>
      <c r="D542">
        <v>1552000</v>
      </c>
    </row>
    <row r="543" spans="1:4" x14ac:dyDescent="0.2">
      <c r="A543">
        <v>1918</v>
      </c>
      <c r="B543" s="1" t="s">
        <v>25</v>
      </c>
      <c r="C543" t="s">
        <v>13</v>
      </c>
      <c r="D543">
        <v>684000</v>
      </c>
    </row>
    <row r="544" spans="1:4" x14ac:dyDescent="0.2">
      <c r="A544">
        <v>1918</v>
      </c>
      <c r="B544" s="1" t="s">
        <v>24</v>
      </c>
      <c r="C544" t="s">
        <v>14</v>
      </c>
      <c r="D544">
        <v>1477000</v>
      </c>
    </row>
    <row r="545" spans="1:4" x14ac:dyDescent="0.2">
      <c r="A545">
        <v>1918</v>
      </c>
      <c r="B545" s="1" t="s">
        <v>25</v>
      </c>
      <c r="C545" t="s">
        <v>14</v>
      </c>
      <c r="D545">
        <v>891000</v>
      </c>
    </row>
    <row r="546" spans="1:4" x14ac:dyDescent="0.2">
      <c r="A546">
        <v>1918</v>
      </c>
      <c r="B546" s="1" t="s">
        <v>24</v>
      </c>
      <c r="C546" t="s">
        <v>15</v>
      </c>
      <c r="D546">
        <v>1346000</v>
      </c>
    </row>
    <row r="547" spans="1:4" x14ac:dyDescent="0.2">
      <c r="A547">
        <v>1918</v>
      </c>
      <c r="B547" s="1" t="s">
        <v>25</v>
      </c>
      <c r="C547" t="s">
        <v>15</v>
      </c>
      <c r="D547">
        <v>999000</v>
      </c>
    </row>
    <row r="548" spans="1:4" x14ac:dyDescent="0.2">
      <c r="A548">
        <v>1918</v>
      </c>
      <c r="B548" s="1" t="s">
        <v>24</v>
      </c>
      <c r="C548" t="s">
        <v>16</v>
      </c>
      <c r="D548">
        <v>1170000</v>
      </c>
    </row>
    <row r="549" spans="1:4" x14ac:dyDescent="0.2">
      <c r="A549">
        <v>1918</v>
      </c>
      <c r="B549" s="1" t="s">
        <v>25</v>
      </c>
      <c r="C549" t="s">
        <v>16</v>
      </c>
      <c r="D549">
        <v>999000</v>
      </c>
    </row>
    <row r="550" spans="1:4" x14ac:dyDescent="0.2">
      <c r="A550">
        <v>1918</v>
      </c>
      <c r="B550" s="1" t="s">
        <v>24</v>
      </c>
      <c r="C550" t="s">
        <v>17</v>
      </c>
      <c r="D550">
        <v>972000</v>
      </c>
    </row>
    <row r="551" spans="1:4" x14ac:dyDescent="0.2">
      <c r="A551">
        <v>1918</v>
      </c>
      <c r="B551" s="1" t="s">
        <v>25</v>
      </c>
      <c r="C551" t="s">
        <v>17</v>
      </c>
      <c r="D551">
        <v>887000</v>
      </c>
    </row>
    <row r="552" spans="1:4" x14ac:dyDescent="0.2">
      <c r="A552">
        <v>1918</v>
      </c>
      <c r="B552" s="1" t="s">
        <v>24</v>
      </c>
      <c r="C552" t="s">
        <v>18</v>
      </c>
      <c r="D552">
        <v>799000</v>
      </c>
    </row>
    <row r="553" spans="1:4" x14ac:dyDescent="0.2">
      <c r="A553">
        <v>1918</v>
      </c>
      <c r="B553" s="1" t="s">
        <v>25</v>
      </c>
      <c r="C553" t="s">
        <v>18</v>
      </c>
      <c r="D553">
        <v>722000</v>
      </c>
    </row>
    <row r="554" spans="1:4" x14ac:dyDescent="0.2">
      <c r="A554">
        <v>1918</v>
      </c>
      <c r="B554" s="1" t="s">
        <v>24</v>
      </c>
      <c r="C554" t="s">
        <v>19</v>
      </c>
      <c r="D554">
        <v>643000</v>
      </c>
    </row>
    <row r="555" spans="1:4" x14ac:dyDescent="0.2">
      <c r="A555">
        <v>1918</v>
      </c>
      <c r="B555" s="1" t="s">
        <v>25</v>
      </c>
      <c r="C555" t="s">
        <v>19</v>
      </c>
      <c r="D555">
        <v>561000</v>
      </c>
    </row>
    <row r="556" spans="1:4" x14ac:dyDescent="0.2">
      <c r="A556">
        <v>1918</v>
      </c>
      <c r="B556" s="1" t="s">
        <v>24</v>
      </c>
      <c r="C556" t="s">
        <v>20</v>
      </c>
      <c r="D556">
        <v>504000</v>
      </c>
    </row>
    <row r="557" spans="1:4" x14ac:dyDescent="0.2">
      <c r="A557">
        <v>1918</v>
      </c>
      <c r="B557" s="1" t="s">
        <v>25</v>
      </c>
      <c r="C557" t="s">
        <v>20</v>
      </c>
      <c r="D557">
        <v>419000</v>
      </c>
    </row>
    <row r="558" spans="1:4" x14ac:dyDescent="0.2">
      <c r="A558">
        <v>1918</v>
      </c>
      <c r="B558" s="1" t="s">
        <v>24</v>
      </c>
      <c r="C558" t="s">
        <v>21</v>
      </c>
      <c r="D558">
        <v>355000</v>
      </c>
    </row>
    <row r="559" spans="1:4" x14ac:dyDescent="0.2">
      <c r="A559">
        <v>1918</v>
      </c>
      <c r="B559" s="1" t="s">
        <v>25</v>
      </c>
      <c r="C559" t="s">
        <v>21</v>
      </c>
      <c r="D559">
        <v>257000</v>
      </c>
    </row>
    <row r="560" spans="1:4" x14ac:dyDescent="0.2">
      <c r="A560">
        <v>1918</v>
      </c>
      <c r="B560" s="1" t="s">
        <v>24</v>
      </c>
      <c r="C560" t="s">
        <v>22</v>
      </c>
      <c r="D560">
        <v>210000</v>
      </c>
    </row>
    <row r="561" spans="1:4" x14ac:dyDescent="0.2">
      <c r="A561">
        <v>1918</v>
      </c>
      <c r="B561" s="1" t="s">
        <v>25</v>
      </c>
      <c r="C561" t="s">
        <v>22</v>
      </c>
      <c r="D561">
        <v>146000</v>
      </c>
    </row>
    <row r="562" spans="1:4" x14ac:dyDescent="0.2">
      <c r="A562">
        <v>1918</v>
      </c>
      <c r="B562" s="1" t="s">
        <v>24</v>
      </c>
      <c r="C562" t="s">
        <v>23</v>
      </c>
      <c r="D562">
        <v>105000</v>
      </c>
    </row>
    <row r="563" spans="1:4" x14ac:dyDescent="0.2">
      <c r="A563">
        <v>1918</v>
      </c>
      <c r="B563" s="1" t="s">
        <v>25</v>
      </c>
      <c r="C563" t="s">
        <v>23</v>
      </c>
      <c r="D563">
        <v>64000</v>
      </c>
    </row>
    <row r="564" spans="1:4" x14ac:dyDescent="0.2">
      <c r="A564">
        <v>1918</v>
      </c>
      <c r="B564" s="1" t="s">
        <v>24</v>
      </c>
      <c r="C564" t="s">
        <v>31</v>
      </c>
      <c r="D564">
        <v>47000</v>
      </c>
    </row>
    <row r="565" spans="1:4" x14ac:dyDescent="0.2">
      <c r="A565">
        <v>1918</v>
      </c>
      <c r="B565" s="1" t="s">
        <v>25</v>
      </c>
      <c r="C565" t="s">
        <v>31</v>
      </c>
      <c r="D565">
        <v>25000</v>
      </c>
    </row>
    <row r="566" spans="1:4" x14ac:dyDescent="0.2">
      <c r="A566">
        <v>1919</v>
      </c>
      <c r="B566" s="1" t="s">
        <v>24</v>
      </c>
      <c r="C566" s="1" t="s">
        <v>29</v>
      </c>
      <c r="D566">
        <v>284000</v>
      </c>
    </row>
    <row r="567" spans="1:4" x14ac:dyDescent="0.2">
      <c r="A567">
        <v>1919</v>
      </c>
      <c r="B567" s="1" t="s">
        <v>25</v>
      </c>
      <c r="C567" s="1" t="s">
        <v>29</v>
      </c>
      <c r="D567">
        <v>293000</v>
      </c>
    </row>
    <row r="568" spans="1:4" x14ac:dyDescent="0.2">
      <c r="A568">
        <v>1919</v>
      </c>
      <c r="B568" s="1" t="s">
        <v>24</v>
      </c>
      <c r="C568" s="2" t="s">
        <v>26</v>
      </c>
      <c r="D568">
        <v>1283000</v>
      </c>
    </row>
    <row r="569" spans="1:4" x14ac:dyDescent="0.2">
      <c r="A569">
        <v>1919</v>
      </c>
      <c r="B569" s="1" t="s">
        <v>25</v>
      </c>
      <c r="C569" s="2" t="s">
        <v>26</v>
      </c>
      <c r="D569">
        <v>1301000</v>
      </c>
    </row>
    <row r="570" spans="1:4" x14ac:dyDescent="0.2">
      <c r="A570">
        <v>1919</v>
      </c>
      <c r="B570" s="1" t="s">
        <v>24</v>
      </c>
      <c r="C570" s="2" t="s">
        <v>27</v>
      </c>
      <c r="D570">
        <v>1808000</v>
      </c>
    </row>
    <row r="571" spans="1:4" x14ac:dyDescent="0.2">
      <c r="A571">
        <v>1919</v>
      </c>
      <c r="B571" s="1" t="s">
        <v>25</v>
      </c>
      <c r="C571" s="2" t="s">
        <v>27</v>
      </c>
      <c r="D571">
        <v>1820000</v>
      </c>
    </row>
    <row r="572" spans="1:4" x14ac:dyDescent="0.2">
      <c r="A572">
        <v>1919</v>
      </c>
      <c r="B572" s="1" t="s">
        <v>24</v>
      </c>
      <c r="C572" s="3" t="s">
        <v>28</v>
      </c>
      <c r="D572">
        <v>1852000</v>
      </c>
    </row>
    <row r="573" spans="1:4" x14ac:dyDescent="0.2">
      <c r="A573">
        <v>1919</v>
      </c>
      <c r="B573" s="1" t="s">
        <v>25</v>
      </c>
      <c r="C573" s="3" t="s">
        <v>28</v>
      </c>
      <c r="D573">
        <v>1850000</v>
      </c>
    </row>
    <row r="574" spans="1:4" x14ac:dyDescent="0.2">
      <c r="A574">
        <v>1919</v>
      </c>
      <c r="B574" s="1" t="s">
        <v>24</v>
      </c>
      <c r="C574" t="s">
        <v>4</v>
      </c>
      <c r="D574">
        <v>1761000</v>
      </c>
    </row>
    <row r="575" spans="1:4" x14ac:dyDescent="0.2">
      <c r="A575">
        <v>1919</v>
      </c>
      <c r="B575" s="1" t="s">
        <v>25</v>
      </c>
      <c r="C575" t="s">
        <v>4</v>
      </c>
      <c r="D575">
        <v>1582000</v>
      </c>
    </row>
    <row r="576" spans="1:4" x14ac:dyDescent="0.2">
      <c r="A576">
        <v>1919</v>
      </c>
      <c r="B576" s="1" t="s">
        <v>24</v>
      </c>
      <c r="C576" t="s">
        <v>5</v>
      </c>
      <c r="D576">
        <v>1682000</v>
      </c>
    </row>
    <row r="577" spans="1:4" x14ac:dyDescent="0.2">
      <c r="A577">
        <v>1919</v>
      </c>
      <c r="B577" s="1" t="s">
        <v>25</v>
      </c>
      <c r="C577" t="s">
        <v>5</v>
      </c>
      <c r="D577">
        <v>958000</v>
      </c>
    </row>
    <row r="578" spans="1:4" x14ac:dyDescent="0.2">
      <c r="A578">
        <v>1919</v>
      </c>
      <c r="B578" s="1" t="s">
        <v>24</v>
      </c>
      <c r="C578" t="s">
        <v>12</v>
      </c>
      <c r="D578">
        <v>1598000</v>
      </c>
    </row>
    <row r="579" spans="1:4" x14ac:dyDescent="0.2">
      <c r="A579">
        <v>1919</v>
      </c>
      <c r="B579" s="1" t="s">
        <v>25</v>
      </c>
      <c r="C579" t="s">
        <v>12</v>
      </c>
      <c r="D579">
        <v>818000</v>
      </c>
    </row>
    <row r="580" spans="1:4" x14ac:dyDescent="0.2">
      <c r="A580">
        <v>1919</v>
      </c>
      <c r="B580" s="1" t="s">
        <v>24</v>
      </c>
      <c r="C580" t="s">
        <v>13</v>
      </c>
      <c r="D580">
        <v>1541000</v>
      </c>
    </row>
    <row r="581" spans="1:4" x14ac:dyDescent="0.2">
      <c r="A581">
        <v>1919</v>
      </c>
      <c r="B581" s="1" t="s">
        <v>25</v>
      </c>
      <c r="C581" t="s">
        <v>13</v>
      </c>
      <c r="D581">
        <v>927000</v>
      </c>
    </row>
    <row r="582" spans="1:4" x14ac:dyDescent="0.2">
      <c r="A582">
        <v>1919</v>
      </c>
      <c r="B582" s="1" t="s">
        <v>24</v>
      </c>
      <c r="C582" t="s">
        <v>14</v>
      </c>
      <c r="D582">
        <v>1480000</v>
      </c>
    </row>
    <row r="583" spans="1:4" x14ac:dyDescent="0.2">
      <c r="A583">
        <v>1919</v>
      </c>
      <c r="B583" s="1" t="s">
        <v>25</v>
      </c>
      <c r="C583" t="s">
        <v>14</v>
      </c>
      <c r="D583">
        <v>1023000</v>
      </c>
    </row>
    <row r="584" spans="1:4" x14ac:dyDescent="0.2">
      <c r="A584">
        <v>1919</v>
      </c>
      <c r="B584" s="1" t="s">
        <v>24</v>
      </c>
      <c r="C584" t="s">
        <v>15</v>
      </c>
      <c r="D584">
        <v>1353000</v>
      </c>
    </row>
    <row r="585" spans="1:4" x14ac:dyDescent="0.2">
      <c r="A585">
        <v>1919</v>
      </c>
      <c r="B585" s="1" t="s">
        <v>25</v>
      </c>
      <c r="C585" t="s">
        <v>15</v>
      </c>
      <c r="D585">
        <v>1079000</v>
      </c>
    </row>
    <row r="586" spans="1:4" x14ac:dyDescent="0.2">
      <c r="A586">
        <v>1919</v>
      </c>
      <c r="B586" s="1" t="s">
        <v>24</v>
      </c>
      <c r="C586" t="s">
        <v>16</v>
      </c>
      <c r="D586">
        <v>1195000</v>
      </c>
    </row>
    <row r="587" spans="1:4" x14ac:dyDescent="0.2">
      <c r="A587">
        <v>1919</v>
      </c>
      <c r="B587" s="1" t="s">
        <v>25</v>
      </c>
      <c r="C587" t="s">
        <v>16</v>
      </c>
      <c r="D587">
        <v>1059000</v>
      </c>
    </row>
    <row r="588" spans="1:4" x14ac:dyDescent="0.2">
      <c r="A588">
        <v>1919</v>
      </c>
      <c r="B588" s="1" t="s">
        <v>24</v>
      </c>
      <c r="C588" t="s">
        <v>17</v>
      </c>
      <c r="D588">
        <v>995000</v>
      </c>
    </row>
    <row r="589" spans="1:4" x14ac:dyDescent="0.2">
      <c r="A589">
        <v>1919</v>
      </c>
      <c r="B589" s="1" t="s">
        <v>25</v>
      </c>
      <c r="C589" t="s">
        <v>17</v>
      </c>
      <c r="D589">
        <v>916000</v>
      </c>
    </row>
    <row r="590" spans="1:4" x14ac:dyDescent="0.2">
      <c r="A590">
        <v>1919</v>
      </c>
      <c r="B590" s="1" t="s">
        <v>24</v>
      </c>
      <c r="C590" t="s">
        <v>18</v>
      </c>
      <c r="D590">
        <v>815000</v>
      </c>
    </row>
    <row r="591" spans="1:4" x14ac:dyDescent="0.2">
      <c r="A591">
        <v>1919</v>
      </c>
      <c r="B591" s="1" t="s">
        <v>25</v>
      </c>
      <c r="C591" t="s">
        <v>18</v>
      </c>
      <c r="D591">
        <v>747000</v>
      </c>
    </row>
    <row r="592" spans="1:4" x14ac:dyDescent="0.2">
      <c r="A592">
        <v>1919</v>
      </c>
      <c r="B592" s="1" t="s">
        <v>24</v>
      </c>
      <c r="C592" t="s">
        <v>19</v>
      </c>
      <c r="D592">
        <v>657000</v>
      </c>
    </row>
    <row r="593" spans="1:4" x14ac:dyDescent="0.2">
      <c r="A593">
        <v>1919</v>
      </c>
      <c r="B593" s="1" t="s">
        <v>25</v>
      </c>
      <c r="C593" t="s">
        <v>19</v>
      </c>
      <c r="D593">
        <v>569000</v>
      </c>
    </row>
    <row r="594" spans="1:4" x14ac:dyDescent="0.2">
      <c r="A594">
        <v>1919</v>
      </c>
      <c r="B594" s="1" t="s">
        <v>24</v>
      </c>
      <c r="C594" t="s">
        <v>20</v>
      </c>
      <c r="D594">
        <v>519000</v>
      </c>
    </row>
    <row r="595" spans="1:4" x14ac:dyDescent="0.2">
      <c r="A595">
        <v>1919</v>
      </c>
      <c r="B595" s="1" t="s">
        <v>25</v>
      </c>
      <c r="C595" t="s">
        <v>20</v>
      </c>
      <c r="D595">
        <v>429000</v>
      </c>
    </row>
    <row r="596" spans="1:4" x14ac:dyDescent="0.2">
      <c r="A596">
        <v>1919</v>
      </c>
      <c r="B596" s="1" t="s">
        <v>24</v>
      </c>
      <c r="C596" t="s">
        <v>21</v>
      </c>
      <c r="D596">
        <v>361000</v>
      </c>
    </row>
    <row r="597" spans="1:4" x14ac:dyDescent="0.2">
      <c r="A597">
        <v>1919</v>
      </c>
      <c r="B597" s="1" t="s">
        <v>25</v>
      </c>
      <c r="C597" t="s">
        <v>21</v>
      </c>
      <c r="D597">
        <v>263000</v>
      </c>
    </row>
    <row r="598" spans="1:4" x14ac:dyDescent="0.2">
      <c r="A598">
        <v>1919</v>
      </c>
      <c r="B598" s="1" t="s">
        <v>24</v>
      </c>
      <c r="C598" t="s">
        <v>22</v>
      </c>
      <c r="D598">
        <v>217000</v>
      </c>
    </row>
    <row r="599" spans="1:4" x14ac:dyDescent="0.2">
      <c r="A599">
        <v>1919</v>
      </c>
      <c r="B599" s="1" t="s">
        <v>25</v>
      </c>
      <c r="C599" t="s">
        <v>22</v>
      </c>
      <c r="D599">
        <v>147000</v>
      </c>
    </row>
    <row r="600" spans="1:4" x14ac:dyDescent="0.2">
      <c r="A600">
        <v>1919</v>
      </c>
      <c r="B600" s="1" t="s">
        <v>24</v>
      </c>
      <c r="C600" t="s">
        <v>23</v>
      </c>
      <c r="D600">
        <v>107000</v>
      </c>
    </row>
    <row r="601" spans="1:4" x14ac:dyDescent="0.2">
      <c r="A601">
        <v>1919</v>
      </c>
      <c r="B601" s="1" t="s">
        <v>25</v>
      </c>
      <c r="C601" t="s">
        <v>23</v>
      </c>
      <c r="D601">
        <v>65000</v>
      </c>
    </row>
    <row r="602" spans="1:4" x14ac:dyDescent="0.2">
      <c r="A602">
        <v>1919</v>
      </c>
      <c r="B602" s="1" t="s">
        <v>24</v>
      </c>
      <c r="C602" t="s">
        <v>31</v>
      </c>
      <c r="D602">
        <v>48000</v>
      </c>
    </row>
    <row r="603" spans="1:4" x14ac:dyDescent="0.2">
      <c r="A603">
        <v>1919</v>
      </c>
      <c r="B603" s="1" t="s">
        <v>25</v>
      </c>
      <c r="C603" t="s">
        <v>31</v>
      </c>
      <c r="D603">
        <v>25000</v>
      </c>
    </row>
    <row r="604" spans="1:4" x14ac:dyDescent="0.2">
      <c r="A604">
        <v>1920</v>
      </c>
      <c r="B604" s="1" t="s">
        <v>24</v>
      </c>
      <c r="C604" s="1" t="s">
        <v>29</v>
      </c>
      <c r="D604">
        <v>421000</v>
      </c>
    </row>
    <row r="605" spans="1:4" x14ac:dyDescent="0.2">
      <c r="A605">
        <v>1920</v>
      </c>
      <c r="B605" s="1" t="s">
        <v>25</v>
      </c>
      <c r="C605" s="1" t="s">
        <v>29</v>
      </c>
      <c r="D605">
        <v>438000</v>
      </c>
    </row>
    <row r="606" spans="1:4" x14ac:dyDescent="0.2">
      <c r="A606">
        <v>1920</v>
      </c>
      <c r="B606" s="1" t="s">
        <v>24</v>
      </c>
      <c r="C606" s="2" t="s">
        <v>26</v>
      </c>
      <c r="D606">
        <v>1182000</v>
      </c>
    </row>
    <row r="607" spans="1:4" x14ac:dyDescent="0.2">
      <c r="A607">
        <v>1920</v>
      </c>
      <c r="B607" s="1" t="s">
        <v>25</v>
      </c>
      <c r="C607" s="2" t="s">
        <v>26</v>
      </c>
      <c r="D607">
        <v>1201000</v>
      </c>
    </row>
    <row r="608" spans="1:4" x14ac:dyDescent="0.2">
      <c r="A608">
        <v>1920</v>
      </c>
      <c r="B608" s="1" t="s">
        <v>24</v>
      </c>
      <c r="C608" s="2" t="s">
        <v>27</v>
      </c>
      <c r="D608">
        <v>1784000</v>
      </c>
    </row>
    <row r="609" spans="1:4" x14ac:dyDescent="0.2">
      <c r="A609">
        <v>1920</v>
      </c>
      <c r="B609" s="1" t="s">
        <v>25</v>
      </c>
      <c r="C609" s="2" t="s">
        <v>27</v>
      </c>
      <c r="D609">
        <v>1800000</v>
      </c>
    </row>
    <row r="610" spans="1:4" x14ac:dyDescent="0.2">
      <c r="A610">
        <v>1920</v>
      </c>
      <c r="B610" s="1" t="s">
        <v>24</v>
      </c>
      <c r="C610" s="3" t="s">
        <v>28</v>
      </c>
      <c r="D610">
        <v>1840000</v>
      </c>
    </row>
    <row r="611" spans="1:4" x14ac:dyDescent="0.2">
      <c r="A611">
        <v>1920</v>
      </c>
      <c r="B611" s="1" t="s">
        <v>25</v>
      </c>
      <c r="C611" s="3" t="s">
        <v>28</v>
      </c>
      <c r="D611">
        <v>1844000</v>
      </c>
    </row>
    <row r="612" spans="1:4" x14ac:dyDescent="0.2">
      <c r="A612">
        <v>1920</v>
      </c>
      <c r="B612" s="1" t="s">
        <v>24</v>
      </c>
      <c r="C612" t="s">
        <v>4</v>
      </c>
      <c r="D612">
        <v>1787000</v>
      </c>
    </row>
    <row r="613" spans="1:4" x14ac:dyDescent="0.2">
      <c r="A613">
        <v>1920</v>
      </c>
      <c r="B613" s="1" t="s">
        <v>25</v>
      </c>
      <c r="C613" t="s">
        <v>4</v>
      </c>
      <c r="D613">
        <v>1684000</v>
      </c>
    </row>
    <row r="614" spans="1:4" x14ac:dyDescent="0.2">
      <c r="A614">
        <v>1920</v>
      </c>
      <c r="B614" s="1" t="s">
        <v>24</v>
      </c>
      <c r="C614" t="s">
        <v>5</v>
      </c>
      <c r="D614">
        <v>1673000</v>
      </c>
    </row>
    <row r="615" spans="1:4" x14ac:dyDescent="0.2">
      <c r="A615">
        <v>1920</v>
      </c>
      <c r="B615" s="1" t="s">
        <v>25</v>
      </c>
      <c r="C615" t="s">
        <v>5</v>
      </c>
      <c r="D615">
        <v>1344000</v>
      </c>
    </row>
    <row r="616" spans="1:4" x14ac:dyDescent="0.2">
      <c r="A616">
        <v>1920</v>
      </c>
      <c r="B616" s="1" t="s">
        <v>24</v>
      </c>
      <c r="C616" t="s">
        <v>12</v>
      </c>
      <c r="D616">
        <v>1583000</v>
      </c>
    </row>
    <row r="617" spans="1:4" x14ac:dyDescent="0.2">
      <c r="A617">
        <v>1920</v>
      </c>
      <c r="B617" s="1" t="s">
        <v>25</v>
      </c>
      <c r="C617" t="s">
        <v>12</v>
      </c>
      <c r="D617">
        <v>1251000</v>
      </c>
    </row>
    <row r="618" spans="1:4" x14ac:dyDescent="0.2">
      <c r="A618">
        <v>1920</v>
      </c>
      <c r="B618" s="1" t="s">
        <v>24</v>
      </c>
      <c r="C618" t="s">
        <v>13</v>
      </c>
      <c r="D618">
        <v>1524000</v>
      </c>
    </row>
    <row r="619" spans="1:4" x14ac:dyDescent="0.2">
      <c r="A619">
        <v>1920</v>
      </c>
      <c r="B619" s="1" t="s">
        <v>25</v>
      </c>
      <c r="C619" t="s">
        <v>13</v>
      </c>
      <c r="D619">
        <v>1221000</v>
      </c>
    </row>
    <row r="620" spans="1:4" x14ac:dyDescent="0.2">
      <c r="A620">
        <v>1920</v>
      </c>
      <c r="B620" s="1" t="s">
        <v>24</v>
      </c>
      <c r="C620" t="s">
        <v>14</v>
      </c>
      <c r="D620">
        <v>1472000</v>
      </c>
    </row>
    <row r="621" spans="1:4" x14ac:dyDescent="0.2">
      <c r="A621">
        <v>1920</v>
      </c>
      <c r="B621" s="1" t="s">
        <v>25</v>
      </c>
      <c r="C621" t="s">
        <v>14</v>
      </c>
      <c r="D621">
        <v>1226000</v>
      </c>
    </row>
    <row r="622" spans="1:4" x14ac:dyDescent="0.2">
      <c r="A622">
        <v>1920</v>
      </c>
      <c r="B622" s="1" t="s">
        <v>24</v>
      </c>
      <c r="C622" t="s">
        <v>15</v>
      </c>
      <c r="D622">
        <v>1380000</v>
      </c>
    </row>
    <row r="623" spans="1:4" x14ac:dyDescent="0.2">
      <c r="A623">
        <v>1920</v>
      </c>
      <c r="B623" s="1" t="s">
        <v>25</v>
      </c>
      <c r="C623" t="s">
        <v>15</v>
      </c>
      <c r="D623">
        <v>1210000</v>
      </c>
    </row>
    <row r="624" spans="1:4" x14ac:dyDescent="0.2">
      <c r="A624">
        <v>1920</v>
      </c>
      <c r="B624" s="1" t="s">
        <v>24</v>
      </c>
      <c r="C624" t="s">
        <v>16</v>
      </c>
      <c r="D624">
        <v>1218000</v>
      </c>
    </row>
    <row r="625" spans="1:4" x14ac:dyDescent="0.2">
      <c r="A625">
        <v>1920</v>
      </c>
      <c r="B625" s="1" t="s">
        <v>25</v>
      </c>
      <c r="C625" t="s">
        <v>16</v>
      </c>
      <c r="D625">
        <v>1104000</v>
      </c>
    </row>
    <row r="626" spans="1:4" x14ac:dyDescent="0.2">
      <c r="A626">
        <v>1920</v>
      </c>
      <c r="B626" s="1" t="s">
        <v>24</v>
      </c>
      <c r="C626" t="s">
        <v>17</v>
      </c>
      <c r="D626">
        <v>1015000</v>
      </c>
    </row>
    <row r="627" spans="1:4" x14ac:dyDescent="0.2">
      <c r="A627">
        <v>1920</v>
      </c>
      <c r="B627" s="1" t="s">
        <v>25</v>
      </c>
      <c r="C627" t="s">
        <v>17</v>
      </c>
      <c r="D627">
        <v>947000</v>
      </c>
    </row>
    <row r="628" spans="1:4" x14ac:dyDescent="0.2">
      <c r="A628">
        <v>1920</v>
      </c>
      <c r="B628" s="1" t="s">
        <v>24</v>
      </c>
      <c r="C628" t="s">
        <v>18</v>
      </c>
      <c r="D628">
        <v>834000</v>
      </c>
    </row>
    <row r="629" spans="1:4" x14ac:dyDescent="0.2">
      <c r="A629">
        <v>1920</v>
      </c>
      <c r="B629" s="1" t="s">
        <v>25</v>
      </c>
      <c r="C629" t="s">
        <v>18</v>
      </c>
      <c r="D629">
        <v>774000</v>
      </c>
    </row>
    <row r="630" spans="1:4" x14ac:dyDescent="0.2">
      <c r="A630">
        <v>1920</v>
      </c>
      <c r="B630" s="1" t="s">
        <v>24</v>
      </c>
      <c r="C630" t="s">
        <v>19</v>
      </c>
      <c r="D630">
        <v>665000</v>
      </c>
    </row>
    <row r="631" spans="1:4" x14ac:dyDescent="0.2">
      <c r="A631">
        <v>1920</v>
      </c>
      <c r="B631" s="1" t="s">
        <v>25</v>
      </c>
      <c r="C631" t="s">
        <v>19</v>
      </c>
      <c r="D631">
        <v>583000</v>
      </c>
    </row>
    <row r="632" spans="1:4" x14ac:dyDescent="0.2">
      <c r="A632">
        <v>1920</v>
      </c>
      <c r="B632" s="1" t="s">
        <v>24</v>
      </c>
      <c r="C632" t="s">
        <v>20</v>
      </c>
      <c r="D632">
        <v>527000</v>
      </c>
    </row>
    <row r="633" spans="1:4" x14ac:dyDescent="0.2">
      <c r="A633">
        <v>1920</v>
      </c>
      <c r="B633" s="1" t="s">
        <v>25</v>
      </c>
      <c r="C633" t="s">
        <v>20</v>
      </c>
      <c r="D633">
        <v>437000</v>
      </c>
    </row>
    <row r="634" spans="1:4" x14ac:dyDescent="0.2">
      <c r="A634">
        <v>1920</v>
      </c>
      <c r="B634" s="1" t="s">
        <v>24</v>
      </c>
      <c r="C634" t="s">
        <v>21</v>
      </c>
      <c r="D634">
        <v>374000</v>
      </c>
    </row>
    <row r="635" spans="1:4" x14ac:dyDescent="0.2">
      <c r="A635">
        <v>1920</v>
      </c>
      <c r="B635" s="1" t="s">
        <v>25</v>
      </c>
      <c r="C635" t="s">
        <v>21</v>
      </c>
      <c r="D635">
        <v>276000</v>
      </c>
    </row>
    <row r="636" spans="1:4" x14ac:dyDescent="0.2">
      <c r="A636">
        <v>1920</v>
      </c>
      <c r="B636" s="1" t="s">
        <v>24</v>
      </c>
      <c r="C636" t="s">
        <v>22</v>
      </c>
      <c r="D636">
        <v>227000</v>
      </c>
    </row>
    <row r="637" spans="1:4" x14ac:dyDescent="0.2">
      <c r="A637">
        <v>1920</v>
      </c>
      <c r="B637" s="1" t="s">
        <v>25</v>
      </c>
      <c r="C637" t="s">
        <v>22</v>
      </c>
      <c r="D637">
        <v>153000</v>
      </c>
    </row>
    <row r="638" spans="1:4" x14ac:dyDescent="0.2">
      <c r="A638">
        <v>1920</v>
      </c>
      <c r="B638" s="1" t="s">
        <v>24</v>
      </c>
      <c r="C638" t="s">
        <v>23</v>
      </c>
      <c r="D638">
        <v>108000</v>
      </c>
    </row>
    <row r="639" spans="1:4" x14ac:dyDescent="0.2">
      <c r="A639">
        <v>1920</v>
      </c>
      <c r="B639" s="1" t="s">
        <v>25</v>
      </c>
      <c r="C639" t="s">
        <v>23</v>
      </c>
      <c r="D639">
        <v>65000</v>
      </c>
    </row>
    <row r="640" spans="1:4" x14ac:dyDescent="0.2">
      <c r="A640">
        <v>1920</v>
      </c>
      <c r="B640" s="1" t="s">
        <v>24</v>
      </c>
      <c r="C640" t="s">
        <v>31</v>
      </c>
      <c r="D640">
        <v>50000</v>
      </c>
    </row>
    <row r="641" spans="1:4" x14ac:dyDescent="0.2">
      <c r="A641">
        <v>1920</v>
      </c>
      <c r="B641" s="1" t="s">
        <v>25</v>
      </c>
      <c r="C641" t="s">
        <v>31</v>
      </c>
      <c r="D641">
        <v>25000</v>
      </c>
    </row>
    <row r="642" spans="1:4" x14ac:dyDescent="0.2">
      <c r="A642">
        <v>1921</v>
      </c>
      <c r="B642" s="1" t="s">
        <v>24</v>
      </c>
      <c r="C642" s="1" t="s">
        <v>29</v>
      </c>
      <c r="D642">
        <v>414000</v>
      </c>
    </row>
    <row r="643" spans="1:4" x14ac:dyDescent="0.2">
      <c r="A643">
        <v>1921</v>
      </c>
      <c r="B643" s="1" t="s">
        <v>25</v>
      </c>
      <c r="C643" s="1" t="s">
        <v>29</v>
      </c>
      <c r="D643">
        <v>427000</v>
      </c>
    </row>
    <row r="644" spans="1:4" x14ac:dyDescent="0.2">
      <c r="A644">
        <v>1921</v>
      </c>
      <c r="B644" s="1" t="s">
        <v>24</v>
      </c>
      <c r="C644" s="2" t="s">
        <v>26</v>
      </c>
      <c r="D644">
        <v>1249000</v>
      </c>
    </row>
    <row r="645" spans="1:4" x14ac:dyDescent="0.2">
      <c r="A645">
        <v>1921</v>
      </c>
      <c r="B645" s="1" t="s">
        <v>25</v>
      </c>
      <c r="C645" s="2" t="s">
        <v>26</v>
      </c>
      <c r="D645">
        <v>1277000</v>
      </c>
    </row>
    <row r="646" spans="1:4" x14ac:dyDescent="0.2">
      <c r="A646">
        <v>1921</v>
      </c>
      <c r="B646" s="1" t="s">
        <v>24</v>
      </c>
      <c r="C646" s="2" t="s">
        <v>27</v>
      </c>
      <c r="D646">
        <v>1752000</v>
      </c>
    </row>
    <row r="647" spans="1:4" x14ac:dyDescent="0.2">
      <c r="A647">
        <v>1921</v>
      </c>
      <c r="B647" s="1" t="s">
        <v>25</v>
      </c>
      <c r="C647" s="2" t="s">
        <v>27</v>
      </c>
      <c r="D647">
        <v>1767000</v>
      </c>
    </row>
    <row r="648" spans="1:4" x14ac:dyDescent="0.2">
      <c r="A648">
        <v>1921</v>
      </c>
      <c r="B648" s="1" t="s">
        <v>24</v>
      </c>
      <c r="C648" s="3" t="s">
        <v>28</v>
      </c>
      <c r="D648">
        <v>1823000</v>
      </c>
    </row>
    <row r="649" spans="1:4" x14ac:dyDescent="0.2">
      <c r="A649">
        <v>1921</v>
      </c>
      <c r="B649" s="1" t="s">
        <v>25</v>
      </c>
      <c r="C649" s="3" t="s">
        <v>28</v>
      </c>
      <c r="D649">
        <v>1837000</v>
      </c>
    </row>
    <row r="650" spans="1:4" x14ac:dyDescent="0.2">
      <c r="A650">
        <v>1921</v>
      </c>
      <c r="B650" s="1" t="s">
        <v>24</v>
      </c>
      <c r="C650" t="s">
        <v>4</v>
      </c>
      <c r="D650">
        <v>1775000</v>
      </c>
    </row>
    <row r="651" spans="1:4" x14ac:dyDescent="0.2">
      <c r="A651">
        <v>1921</v>
      </c>
      <c r="B651" s="1" t="s">
        <v>25</v>
      </c>
      <c r="C651" t="s">
        <v>4</v>
      </c>
      <c r="D651">
        <v>1728000</v>
      </c>
    </row>
    <row r="652" spans="1:4" x14ac:dyDescent="0.2">
      <c r="A652">
        <v>1921</v>
      </c>
      <c r="B652" s="1" t="s">
        <v>24</v>
      </c>
      <c r="C652" t="s">
        <v>5</v>
      </c>
      <c r="D652">
        <v>1703000</v>
      </c>
    </row>
    <row r="653" spans="1:4" x14ac:dyDescent="0.2">
      <c r="A653">
        <v>1921</v>
      </c>
      <c r="B653" s="1" t="s">
        <v>25</v>
      </c>
      <c r="C653" t="s">
        <v>5</v>
      </c>
      <c r="D653">
        <v>1448000</v>
      </c>
    </row>
    <row r="654" spans="1:4" x14ac:dyDescent="0.2">
      <c r="A654">
        <v>1921</v>
      </c>
      <c r="B654" s="1" t="s">
        <v>24</v>
      </c>
      <c r="C654" t="s">
        <v>12</v>
      </c>
      <c r="D654">
        <v>1620000</v>
      </c>
    </row>
    <row r="655" spans="1:4" x14ac:dyDescent="0.2">
      <c r="A655">
        <v>1921</v>
      </c>
      <c r="B655" s="1" t="s">
        <v>25</v>
      </c>
      <c r="C655" t="s">
        <v>12</v>
      </c>
      <c r="D655">
        <v>1340000</v>
      </c>
    </row>
    <row r="656" spans="1:4" x14ac:dyDescent="0.2">
      <c r="A656">
        <v>1921</v>
      </c>
      <c r="B656" s="1" t="s">
        <v>24</v>
      </c>
      <c r="C656" t="s">
        <v>13</v>
      </c>
      <c r="D656">
        <v>1520000</v>
      </c>
    </row>
    <row r="657" spans="1:4" x14ac:dyDescent="0.2">
      <c r="A657">
        <v>1921</v>
      </c>
      <c r="B657" s="1" t="s">
        <v>25</v>
      </c>
      <c r="C657" t="s">
        <v>13</v>
      </c>
      <c r="D657">
        <v>1281000</v>
      </c>
    </row>
    <row r="658" spans="1:4" x14ac:dyDescent="0.2">
      <c r="A658">
        <v>1921</v>
      </c>
      <c r="B658" s="1" t="s">
        <v>24</v>
      </c>
      <c r="C658" t="s">
        <v>14</v>
      </c>
      <c r="D658">
        <v>1472000</v>
      </c>
    </row>
    <row r="659" spans="1:4" x14ac:dyDescent="0.2">
      <c r="A659">
        <v>1921</v>
      </c>
      <c r="B659" s="1" t="s">
        <v>25</v>
      </c>
      <c r="C659" t="s">
        <v>14</v>
      </c>
      <c r="D659">
        <v>1273000</v>
      </c>
    </row>
    <row r="660" spans="1:4" x14ac:dyDescent="0.2">
      <c r="A660">
        <v>1921</v>
      </c>
      <c r="B660" s="1" t="s">
        <v>24</v>
      </c>
      <c r="C660" t="s">
        <v>15</v>
      </c>
      <c r="D660">
        <v>1378000</v>
      </c>
    </row>
    <row r="661" spans="1:4" x14ac:dyDescent="0.2">
      <c r="A661">
        <v>1921</v>
      </c>
      <c r="B661" s="1" t="s">
        <v>25</v>
      </c>
      <c r="C661" t="s">
        <v>15</v>
      </c>
      <c r="D661">
        <v>1223000</v>
      </c>
    </row>
    <row r="662" spans="1:4" x14ac:dyDescent="0.2">
      <c r="A662">
        <v>1921</v>
      </c>
      <c r="B662" s="1" t="s">
        <v>24</v>
      </c>
      <c r="C662" t="s">
        <v>16</v>
      </c>
      <c r="D662">
        <v>1244000</v>
      </c>
    </row>
    <row r="663" spans="1:4" x14ac:dyDescent="0.2">
      <c r="A663">
        <v>1921</v>
      </c>
      <c r="B663" s="1" t="s">
        <v>25</v>
      </c>
      <c r="C663" t="s">
        <v>16</v>
      </c>
      <c r="D663">
        <v>1162000</v>
      </c>
    </row>
    <row r="664" spans="1:4" x14ac:dyDescent="0.2">
      <c r="A664">
        <v>1921</v>
      </c>
      <c r="B664" s="1" t="s">
        <v>24</v>
      </c>
      <c r="C664" t="s">
        <v>17</v>
      </c>
      <c r="D664">
        <v>1043000</v>
      </c>
    </row>
    <row r="665" spans="1:4" x14ac:dyDescent="0.2">
      <c r="A665">
        <v>1921</v>
      </c>
      <c r="B665" s="1" t="s">
        <v>25</v>
      </c>
      <c r="C665" t="s">
        <v>17</v>
      </c>
      <c r="D665">
        <v>971000</v>
      </c>
    </row>
    <row r="666" spans="1:4" x14ac:dyDescent="0.2">
      <c r="A666">
        <v>1921</v>
      </c>
      <c r="B666" s="1" t="s">
        <v>24</v>
      </c>
      <c r="C666" t="s">
        <v>18</v>
      </c>
      <c r="D666">
        <v>849000</v>
      </c>
    </row>
    <row r="667" spans="1:4" x14ac:dyDescent="0.2">
      <c r="A667">
        <v>1921</v>
      </c>
      <c r="B667" s="1" t="s">
        <v>25</v>
      </c>
      <c r="C667" t="s">
        <v>18</v>
      </c>
      <c r="D667">
        <v>782000</v>
      </c>
    </row>
    <row r="668" spans="1:4" x14ac:dyDescent="0.2">
      <c r="A668">
        <v>1921</v>
      </c>
      <c r="B668" s="1" t="s">
        <v>24</v>
      </c>
      <c r="C668" t="s">
        <v>19</v>
      </c>
      <c r="D668">
        <v>681000</v>
      </c>
    </row>
    <row r="669" spans="1:4" x14ac:dyDescent="0.2">
      <c r="A669">
        <v>1921</v>
      </c>
      <c r="B669" s="1" t="s">
        <v>25</v>
      </c>
      <c r="C669" t="s">
        <v>19</v>
      </c>
      <c r="D669">
        <v>601000</v>
      </c>
    </row>
    <row r="670" spans="1:4" x14ac:dyDescent="0.2">
      <c r="A670">
        <v>1921</v>
      </c>
      <c r="B670" s="1" t="s">
        <v>24</v>
      </c>
      <c r="C670" t="s">
        <v>20</v>
      </c>
      <c r="D670">
        <v>537000</v>
      </c>
    </row>
    <row r="671" spans="1:4" x14ac:dyDescent="0.2">
      <c r="A671">
        <v>1921</v>
      </c>
      <c r="B671" s="1" t="s">
        <v>25</v>
      </c>
      <c r="C671" t="s">
        <v>20</v>
      </c>
      <c r="D671">
        <v>449000</v>
      </c>
    </row>
    <row r="672" spans="1:4" x14ac:dyDescent="0.2">
      <c r="A672">
        <v>1921</v>
      </c>
      <c r="B672" s="1" t="s">
        <v>24</v>
      </c>
      <c r="C672" t="s">
        <v>21</v>
      </c>
      <c r="D672">
        <v>376000</v>
      </c>
    </row>
    <row r="673" spans="1:4" x14ac:dyDescent="0.2">
      <c r="A673">
        <v>1921</v>
      </c>
      <c r="B673" s="1" t="s">
        <v>25</v>
      </c>
      <c r="C673" t="s">
        <v>21</v>
      </c>
      <c r="D673">
        <v>281000</v>
      </c>
    </row>
    <row r="674" spans="1:4" x14ac:dyDescent="0.2">
      <c r="A674">
        <v>1921</v>
      </c>
      <c r="B674" s="1" t="s">
        <v>24</v>
      </c>
      <c r="C674" t="s">
        <v>22</v>
      </c>
      <c r="D674">
        <v>234000</v>
      </c>
    </row>
    <row r="675" spans="1:4" x14ac:dyDescent="0.2">
      <c r="A675">
        <v>1921</v>
      </c>
      <c r="B675" s="1" t="s">
        <v>25</v>
      </c>
      <c r="C675" t="s">
        <v>22</v>
      </c>
      <c r="D675">
        <v>159000</v>
      </c>
    </row>
    <row r="676" spans="1:4" x14ac:dyDescent="0.2">
      <c r="A676">
        <v>1921</v>
      </c>
      <c r="B676" s="1" t="s">
        <v>24</v>
      </c>
      <c r="C676" t="s">
        <v>30</v>
      </c>
      <c r="D676">
        <v>164000</v>
      </c>
    </row>
    <row r="677" spans="1:4" x14ac:dyDescent="0.2">
      <c r="A677">
        <v>1921</v>
      </c>
      <c r="B677" s="1" t="s">
        <v>25</v>
      </c>
      <c r="C677" t="s">
        <v>30</v>
      </c>
      <c r="D677">
        <v>92000</v>
      </c>
    </row>
    <row r="678" spans="1:4" x14ac:dyDescent="0.2">
      <c r="A678">
        <v>1922</v>
      </c>
      <c r="B678" s="1" t="s">
        <v>24</v>
      </c>
      <c r="C678" s="1" t="s">
        <v>29</v>
      </c>
      <c r="D678">
        <v>380000</v>
      </c>
    </row>
    <row r="679" spans="1:4" x14ac:dyDescent="0.2">
      <c r="A679">
        <v>1922</v>
      </c>
      <c r="B679" s="1" t="s">
        <v>25</v>
      </c>
      <c r="C679" s="1" t="s">
        <v>29</v>
      </c>
      <c r="D679">
        <v>392000</v>
      </c>
    </row>
    <row r="680" spans="1:4" x14ac:dyDescent="0.2">
      <c r="A680">
        <v>1922</v>
      </c>
      <c r="B680" s="1" t="s">
        <v>24</v>
      </c>
      <c r="C680" s="2" t="s">
        <v>26</v>
      </c>
      <c r="D680">
        <v>1334000</v>
      </c>
    </row>
    <row r="681" spans="1:4" x14ac:dyDescent="0.2">
      <c r="A681">
        <v>1922</v>
      </c>
      <c r="B681" s="1" t="s">
        <v>25</v>
      </c>
      <c r="C681" s="2" t="s">
        <v>26</v>
      </c>
      <c r="D681">
        <v>1367000</v>
      </c>
    </row>
    <row r="682" spans="1:4" x14ac:dyDescent="0.2">
      <c r="A682">
        <v>1922</v>
      </c>
      <c r="B682" s="1" t="s">
        <v>24</v>
      </c>
      <c r="C682" s="2" t="s">
        <v>27</v>
      </c>
      <c r="D682">
        <v>1695000</v>
      </c>
    </row>
    <row r="683" spans="1:4" x14ac:dyDescent="0.2">
      <c r="A683">
        <v>1922</v>
      </c>
      <c r="B683" s="1" t="s">
        <v>25</v>
      </c>
      <c r="C683" s="2" t="s">
        <v>27</v>
      </c>
      <c r="D683">
        <v>1710000</v>
      </c>
    </row>
    <row r="684" spans="1:4" x14ac:dyDescent="0.2">
      <c r="A684">
        <v>1922</v>
      </c>
      <c r="B684" s="1" t="s">
        <v>24</v>
      </c>
      <c r="C684" s="3" t="s">
        <v>28</v>
      </c>
      <c r="D684">
        <v>1808000</v>
      </c>
    </row>
    <row r="685" spans="1:4" x14ac:dyDescent="0.2">
      <c r="A685">
        <v>1922</v>
      </c>
      <c r="B685" s="1" t="s">
        <v>25</v>
      </c>
      <c r="C685" s="3" t="s">
        <v>28</v>
      </c>
      <c r="D685">
        <v>1828000</v>
      </c>
    </row>
    <row r="686" spans="1:4" x14ac:dyDescent="0.2">
      <c r="A686">
        <v>1922</v>
      </c>
      <c r="B686" s="1" t="s">
        <v>24</v>
      </c>
      <c r="C686" t="s">
        <v>4</v>
      </c>
      <c r="D686">
        <v>1781000</v>
      </c>
    </row>
    <row r="687" spans="1:4" x14ac:dyDescent="0.2">
      <c r="A687">
        <v>1922</v>
      </c>
      <c r="B687" s="1" t="s">
        <v>25</v>
      </c>
      <c r="C687" t="s">
        <v>4</v>
      </c>
      <c r="D687">
        <v>1757000</v>
      </c>
    </row>
    <row r="688" spans="1:4" x14ac:dyDescent="0.2">
      <c r="A688">
        <v>1922</v>
      </c>
      <c r="B688" s="1" t="s">
        <v>24</v>
      </c>
      <c r="C688" t="s">
        <v>5</v>
      </c>
      <c r="D688">
        <v>1705000</v>
      </c>
    </row>
    <row r="689" spans="1:4" x14ac:dyDescent="0.2">
      <c r="A689">
        <v>1922</v>
      </c>
      <c r="B689" s="1" t="s">
        <v>25</v>
      </c>
      <c r="C689" t="s">
        <v>5</v>
      </c>
      <c r="D689">
        <v>1482000</v>
      </c>
    </row>
    <row r="690" spans="1:4" x14ac:dyDescent="0.2">
      <c r="A690">
        <v>1922</v>
      </c>
      <c r="B690" s="1" t="s">
        <v>24</v>
      </c>
      <c r="C690" t="s">
        <v>12</v>
      </c>
      <c r="D690">
        <v>1635000</v>
      </c>
    </row>
    <row r="691" spans="1:4" x14ac:dyDescent="0.2">
      <c r="A691">
        <v>1922</v>
      </c>
      <c r="B691" s="1" t="s">
        <v>25</v>
      </c>
      <c r="C691" t="s">
        <v>12</v>
      </c>
      <c r="D691">
        <v>1339000</v>
      </c>
    </row>
    <row r="692" spans="1:4" x14ac:dyDescent="0.2">
      <c r="A692">
        <v>1922</v>
      </c>
      <c r="B692" s="1" t="s">
        <v>24</v>
      </c>
      <c r="C692" t="s">
        <v>13</v>
      </c>
      <c r="D692">
        <v>1526000</v>
      </c>
    </row>
    <row r="693" spans="1:4" x14ac:dyDescent="0.2">
      <c r="A693">
        <v>1922</v>
      </c>
      <c r="B693" s="1" t="s">
        <v>25</v>
      </c>
      <c r="C693" t="s">
        <v>13</v>
      </c>
      <c r="D693">
        <v>1293000</v>
      </c>
    </row>
    <row r="694" spans="1:4" x14ac:dyDescent="0.2">
      <c r="A694">
        <v>1922</v>
      </c>
      <c r="B694" s="1" t="s">
        <v>24</v>
      </c>
      <c r="C694" t="s">
        <v>14</v>
      </c>
      <c r="D694">
        <v>1464000</v>
      </c>
    </row>
    <row r="695" spans="1:4" x14ac:dyDescent="0.2">
      <c r="A695">
        <v>1922</v>
      </c>
      <c r="B695" s="1" t="s">
        <v>25</v>
      </c>
      <c r="C695" t="s">
        <v>14</v>
      </c>
      <c r="D695">
        <v>1257000</v>
      </c>
    </row>
    <row r="696" spans="1:4" x14ac:dyDescent="0.2">
      <c r="A696">
        <v>1922</v>
      </c>
      <c r="B696" s="1" t="s">
        <v>24</v>
      </c>
      <c r="C696" t="s">
        <v>15</v>
      </c>
      <c r="D696">
        <v>1399000</v>
      </c>
    </row>
    <row r="697" spans="1:4" x14ac:dyDescent="0.2">
      <c r="A697">
        <v>1922</v>
      </c>
      <c r="B697" s="1" t="s">
        <v>25</v>
      </c>
      <c r="C697" t="s">
        <v>15</v>
      </c>
      <c r="D697">
        <v>1240000</v>
      </c>
    </row>
    <row r="698" spans="1:4" x14ac:dyDescent="0.2">
      <c r="A698">
        <v>1922</v>
      </c>
      <c r="B698" s="1" t="s">
        <v>24</v>
      </c>
      <c r="C698" t="s">
        <v>16</v>
      </c>
      <c r="D698">
        <v>1255000</v>
      </c>
    </row>
    <row r="699" spans="1:4" x14ac:dyDescent="0.2">
      <c r="A699">
        <v>1922</v>
      </c>
      <c r="B699" s="1" t="s">
        <v>25</v>
      </c>
      <c r="C699" t="s">
        <v>16</v>
      </c>
      <c r="D699">
        <v>1163000</v>
      </c>
    </row>
    <row r="700" spans="1:4" x14ac:dyDescent="0.2">
      <c r="A700">
        <v>1922</v>
      </c>
      <c r="B700" s="1" t="s">
        <v>24</v>
      </c>
      <c r="C700" t="s">
        <v>17</v>
      </c>
      <c r="D700">
        <v>1069000</v>
      </c>
    </row>
    <row r="701" spans="1:4" x14ac:dyDescent="0.2">
      <c r="A701">
        <v>1922</v>
      </c>
      <c r="B701" s="1" t="s">
        <v>25</v>
      </c>
      <c r="C701" t="s">
        <v>17</v>
      </c>
      <c r="D701">
        <v>1002000</v>
      </c>
    </row>
    <row r="702" spans="1:4" x14ac:dyDescent="0.2">
      <c r="A702">
        <v>1922</v>
      </c>
      <c r="B702" s="1" t="s">
        <v>24</v>
      </c>
      <c r="C702" t="s">
        <v>18</v>
      </c>
      <c r="D702">
        <v>871000</v>
      </c>
    </row>
    <row r="703" spans="1:4" x14ac:dyDescent="0.2">
      <c r="A703">
        <v>1922</v>
      </c>
      <c r="B703" s="1" t="s">
        <v>25</v>
      </c>
      <c r="C703" t="s">
        <v>18</v>
      </c>
      <c r="D703">
        <v>799000</v>
      </c>
    </row>
    <row r="704" spans="1:4" x14ac:dyDescent="0.2">
      <c r="A704">
        <v>1922</v>
      </c>
      <c r="B704" s="1" t="s">
        <v>24</v>
      </c>
      <c r="C704" t="s">
        <v>19</v>
      </c>
      <c r="D704">
        <v>694000</v>
      </c>
    </row>
    <row r="705" spans="1:4" x14ac:dyDescent="0.2">
      <c r="A705">
        <v>1922</v>
      </c>
      <c r="B705" s="1" t="s">
        <v>25</v>
      </c>
      <c r="C705" t="s">
        <v>19</v>
      </c>
      <c r="D705">
        <v>616000</v>
      </c>
    </row>
    <row r="706" spans="1:4" x14ac:dyDescent="0.2">
      <c r="A706">
        <v>1922</v>
      </c>
      <c r="B706" s="1" t="s">
        <v>24</v>
      </c>
      <c r="C706" t="s">
        <v>20</v>
      </c>
      <c r="D706">
        <v>544000</v>
      </c>
    </row>
    <row r="707" spans="1:4" x14ac:dyDescent="0.2">
      <c r="A707">
        <v>1922</v>
      </c>
      <c r="B707" s="1" t="s">
        <v>25</v>
      </c>
      <c r="C707" t="s">
        <v>20</v>
      </c>
      <c r="D707">
        <v>455000</v>
      </c>
    </row>
    <row r="708" spans="1:4" x14ac:dyDescent="0.2">
      <c r="A708">
        <v>1922</v>
      </c>
      <c r="B708" s="1" t="s">
        <v>24</v>
      </c>
      <c r="C708" t="s">
        <v>21</v>
      </c>
      <c r="D708">
        <v>391000</v>
      </c>
    </row>
    <row r="709" spans="1:4" x14ac:dyDescent="0.2">
      <c r="A709">
        <v>1922</v>
      </c>
      <c r="B709" s="1" t="s">
        <v>25</v>
      </c>
      <c r="C709" t="s">
        <v>21</v>
      </c>
      <c r="D709">
        <v>295000</v>
      </c>
    </row>
    <row r="710" spans="1:4" x14ac:dyDescent="0.2">
      <c r="A710">
        <v>1922</v>
      </c>
      <c r="B710" s="1" t="s">
        <v>24</v>
      </c>
      <c r="C710" t="s">
        <v>22</v>
      </c>
      <c r="D710">
        <v>239000</v>
      </c>
    </row>
    <row r="711" spans="1:4" x14ac:dyDescent="0.2">
      <c r="A711">
        <v>1922</v>
      </c>
      <c r="B711" s="1" t="s">
        <v>25</v>
      </c>
      <c r="C711" t="s">
        <v>22</v>
      </c>
      <c r="D711">
        <v>160000</v>
      </c>
    </row>
    <row r="712" spans="1:4" x14ac:dyDescent="0.2">
      <c r="A712">
        <v>1922</v>
      </c>
      <c r="B712" s="1" t="s">
        <v>24</v>
      </c>
      <c r="C712" t="s">
        <v>30</v>
      </c>
      <c r="D712">
        <v>166000</v>
      </c>
    </row>
    <row r="713" spans="1:4" x14ac:dyDescent="0.2">
      <c r="A713">
        <v>1922</v>
      </c>
      <c r="B713" s="1" t="s">
        <v>25</v>
      </c>
      <c r="C713" t="s">
        <v>30</v>
      </c>
      <c r="D713">
        <v>94000</v>
      </c>
    </row>
    <row r="714" spans="1:4" x14ac:dyDescent="0.2">
      <c r="A714">
        <v>1923</v>
      </c>
      <c r="B714" s="1" t="s">
        <v>24</v>
      </c>
      <c r="C714" s="1" t="s">
        <v>29</v>
      </c>
      <c r="D714">
        <v>355000</v>
      </c>
    </row>
    <row r="715" spans="1:4" x14ac:dyDescent="0.2">
      <c r="A715">
        <v>1923</v>
      </c>
      <c r="B715" s="1" t="s">
        <v>25</v>
      </c>
      <c r="C715" s="1" t="s">
        <v>29</v>
      </c>
      <c r="D715">
        <v>366000</v>
      </c>
    </row>
    <row r="716" spans="1:4" x14ac:dyDescent="0.2">
      <c r="A716">
        <v>1923</v>
      </c>
      <c r="B716" s="1" t="s">
        <v>24</v>
      </c>
      <c r="C716" s="2" t="s">
        <v>26</v>
      </c>
      <c r="D716">
        <v>1431000</v>
      </c>
    </row>
    <row r="717" spans="1:4" x14ac:dyDescent="0.2">
      <c r="A717">
        <v>1923</v>
      </c>
      <c r="B717" s="1" t="s">
        <v>25</v>
      </c>
      <c r="C717" s="2" t="s">
        <v>26</v>
      </c>
      <c r="D717">
        <v>1469000</v>
      </c>
    </row>
    <row r="718" spans="1:4" x14ac:dyDescent="0.2">
      <c r="A718">
        <v>1923</v>
      </c>
      <c r="B718" s="1" t="s">
        <v>24</v>
      </c>
      <c r="C718" s="2" t="s">
        <v>27</v>
      </c>
      <c r="D718">
        <v>1594000</v>
      </c>
    </row>
    <row r="719" spans="1:4" x14ac:dyDescent="0.2">
      <c r="A719">
        <v>1923</v>
      </c>
      <c r="B719" s="1" t="s">
        <v>25</v>
      </c>
      <c r="C719" s="2" t="s">
        <v>27</v>
      </c>
      <c r="D719">
        <v>1611000</v>
      </c>
    </row>
    <row r="720" spans="1:4" x14ac:dyDescent="0.2">
      <c r="A720">
        <v>1923</v>
      </c>
      <c r="B720" s="1" t="s">
        <v>24</v>
      </c>
      <c r="C720" s="3" t="s">
        <v>28</v>
      </c>
      <c r="D720">
        <v>1793000</v>
      </c>
    </row>
    <row r="721" spans="1:4" x14ac:dyDescent="0.2">
      <c r="A721">
        <v>1923</v>
      </c>
      <c r="B721" s="1" t="s">
        <v>25</v>
      </c>
      <c r="C721" s="3" t="s">
        <v>28</v>
      </c>
      <c r="D721">
        <v>1811000</v>
      </c>
    </row>
    <row r="722" spans="1:4" x14ac:dyDescent="0.2">
      <c r="A722">
        <v>1923</v>
      </c>
      <c r="B722" s="1" t="s">
        <v>24</v>
      </c>
      <c r="C722" t="s">
        <v>4</v>
      </c>
      <c r="D722">
        <v>1791000</v>
      </c>
    </row>
    <row r="723" spans="1:4" x14ac:dyDescent="0.2">
      <c r="A723">
        <v>1923</v>
      </c>
      <c r="B723" s="1" t="s">
        <v>25</v>
      </c>
      <c r="C723" t="s">
        <v>4</v>
      </c>
      <c r="D723">
        <v>1774000</v>
      </c>
    </row>
    <row r="724" spans="1:4" x14ac:dyDescent="0.2">
      <c r="A724">
        <v>1923</v>
      </c>
      <c r="B724" s="1" t="s">
        <v>24</v>
      </c>
      <c r="C724" t="s">
        <v>5</v>
      </c>
      <c r="D724">
        <v>1715000</v>
      </c>
    </row>
    <row r="725" spans="1:4" x14ac:dyDescent="0.2">
      <c r="A725">
        <v>1923</v>
      </c>
      <c r="B725" s="1" t="s">
        <v>25</v>
      </c>
      <c r="C725" t="s">
        <v>5</v>
      </c>
      <c r="D725">
        <v>1527000</v>
      </c>
    </row>
    <row r="726" spans="1:4" x14ac:dyDescent="0.2">
      <c r="A726">
        <v>1923</v>
      </c>
      <c r="B726" s="1" t="s">
        <v>24</v>
      </c>
      <c r="C726" t="s">
        <v>12</v>
      </c>
      <c r="D726">
        <v>1639000</v>
      </c>
    </row>
    <row r="727" spans="1:4" x14ac:dyDescent="0.2">
      <c r="A727">
        <v>1923</v>
      </c>
      <c r="B727" s="1" t="s">
        <v>25</v>
      </c>
      <c r="C727" t="s">
        <v>12</v>
      </c>
      <c r="D727">
        <v>1330000</v>
      </c>
    </row>
    <row r="728" spans="1:4" x14ac:dyDescent="0.2">
      <c r="A728">
        <v>1923</v>
      </c>
      <c r="B728" s="1" t="s">
        <v>24</v>
      </c>
      <c r="C728" t="s">
        <v>13</v>
      </c>
      <c r="D728">
        <v>1543000</v>
      </c>
    </row>
    <row r="729" spans="1:4" x14ac:dyDescent="0.2">
      <c r="A729">
        <v>1923</v>
      </c>
      <c r="B729" s="1" t="s">
        <v>25</v>
      </c>
      <c r="C729" t="s">
        <v>13</v>
      </c>
      <c r="D729">
        <v>1304000</v>
      </c>
    </row>
    <row r="730" spans="1:4" x14ac:dyDescent="0.2">
      <c r="A730">
        <v>1923</v>
      </c>
      <c r="B730" s="1" t="s">
        <v>24</v>
      </c>
      <c r="C730" t="s">
        <v>14</v>
      </c>
      <c r="D730">
        <v>1447000</v>
      </c>
    </row>
    <row r="731" spans="1:4" x14ac:dyDescent="0.2">
      <c r="A731">
        <v>1923</v>
      </c>
      <c r="B731" s="1" t="s">
        <v>25</v>
      </c>
      <c r="C731" t="s">
        <v>14</v>
      </c>
      <c r="D731">
        <v>1243000</v>
      </c>
    </row>
    <row r="732" spans="1:4" x14ac:dyDescent="0.2">
      <c r="A732">
        <v>1923</v>
      </c>
      <c r="B732" s="1" t="s">
        <v>24</v>
      </c>
      <c r="C732" t="s">
        <v>15</v>
      </c>
      <c r="D732">
        <v>1424000</v>
      </c>
    </row>
    <row r="733" spans="1:4" x14ac:dyDescent="0.2">
      <c r="A733">
        <v>1923</v>
      </c>
      <c r="B733" s="1" t="s">
        <v>25</v>
      </c>
      <c r="C733" t="s">
        <v>15</v>
      </c>
      <c r="D733">
        <v>1253000</v>
      </c>
    </row>
    <row r="734" spans="1:4" x14ac:dyDescent="0.2">
      <c r="A734">
        <v>1923</v>
      </c>
      <c r="B734" s="1" t="s">
        <v>24</v>
      </c>
      <c r="C734" t="s">
        <v>16</v>
      </c>
      <c r="D734">
        <v>1259000</v>
      </c>
    </row>
    <row r="735" spans="1:4" x14ac:dyDescent="0.2">
      <c r="A735">
        <v>1923</v>
      </c>
      <c r="B735" s="1" t="s">
        <v>25</v>
      </c>
      <c r="C735" t="s">
        <v>16</v>
      </c>
      <c r="D735">
        <v>1156000</v>
      </c>
    </row>
    <row r="736" spans="1:4" x14ac:dyDescent="0.2">
      <c r="A736">
        <v>1923</v>
      </c>
      <c r="B736" s="1" t="s">
        <v>24</v>
      </c>
      <c r="C736" t="s">
        <v>17</v>
      </c>
      <c r="D736">
        <v>1110000</v>
      </c>
    </row>
    <row r="737" spans="1:4" x14ac:dyDescent="0.2">
      <c r="A737">
        <v>1923</v>
      </c>
      <c r="B737" s="1" t="s">
        <v>25</v>
      </c>
      <c r="C737" t="s">
        <v>17</v>
      </c>
      <c r="D737">
        <v>1038000</v>
      </c>
    </row>
    <row r="738" spans="1:4" x14ac:dyDescent="0.2">
      <c r="A738">
        <v>1923</v>
      </c>
      <c r="B738" s="1" t="s">
        <v>24</v>
      </c>
      <c r="C738" t="s">
        <v>18</v>
      </c>
      <c r="D738">
        <v>880000</v>
      </c>
    </row>
    <row r="739" spans="1:4" x14ac:dyDescent="0.2">
      <c r="A739">
        <v>1923</v>
      </c>
      <c r="B739" s="1" t="s">
        <v>25</v>
      </c>
      <c r="C739" t="s">
        <v>18</v>
      </c>
      <c r="D739">
        <v>809000</v>
      </c>
    </row>
    <row r="740" spans="1:4" x14ac:dyDescent="0.2">
      <c r="A740">
        <v>1923</v>
      </c>
      <c r="B740" s="1" t="s">
        <v>24</v>
      </c>
      <c r="C740" t="s">
        <v>19</v>
      </c>
      <c r="D740">
        <v>722000</v>
      </c>
    </row>
    <row r="741" spans="1:4" x14ac:dyDescent="0.2">
      <c r="A741">
        <v>1923</v>
      </c>
      <c r="B741" s="1" t="s">
        <v>25</v>
      </c>
      <c r="C741" t="s">
        <v>19</v>
      </c>
      <c r="D741">
        <v>642000</v>
      </c>
    </row>
    <row r="742" spans="1:4" x14ac:dyDescent="0.2">
      <c r="A742">
        <v>1923</v>
      </c>
      <c r="B742" s="1" t="s">
        <v>24</v>
      </c>
      <c r="C742" t="s">
        <v>20</v>
      </c>
      <c r="D742">
        <v>552000</v>
      </c>
    </row>
    <row r="743" spans="1:4" x14ac:dyDescent="0.2">
      <c r="A743">
        <v>1923</v>
      </c>
      <c r="B743" s="1" t="s">
        <v>25</v>
      </c>
      <c r="C743" t="s">
        <v>20</v>
      </c>
      <c r="D743">
        <v>461000</v>
      </c>
    </row>
    <row r="744" spans="1:4" x14ac:dyDescent="0.2">
      <c r="A744">
        <v>1923</v>
      </c>
      <c r="B744" s="1" t="s">
        <v>24</v>
      </c>
      <c r="C744" t="s">
        <v>21</v>
      </c>
      <c r="D744">
        <v>409000</v>
      </c>
    </row>
    <row r="745" spans="1:4" x14ac:dyDescent="0.2">
      <c r="A745">
        <v>1923</v>
      </c>
      <c r="B745" s="1" t="s">
        <v>25</v>
      </c>
      <c r="C745" t="s">
        <v>21</v>
      </c>
      <c r="D745">
        <v>311000</v>
      </c>
    </row>
    <row r="746" spans="1:4" x14ac:dyDescent="0.2">
      <c r="A746">
        <v>1923</v>
      </c>
      <c r="B746" s="1" t="s">
        <v>24</v>
      </c>
      <c r="C746" t="s">
        <v>22</v>
      </c>
      <c r="D746">
        <v>247000</v>
      </c>
    </row>
    <row r="747" spans="1:4" x14ac:dyDescent="0.2">
      <c r="A747">
        <v>1923</v>
      </c>
      <c r="B747" s="1" t="s">
        <v>25</v>
      </c>
      <c r="C747" t="s">
        <v>22</v>
      </c>
      <c r="D747">
        <v>164000</v>
      </c>
    </row>
    <row r="748" spans="1:4" x14ac:dyDescent="0.2">
      <c r="A748">
        <v>1923</v>
      </c>
      <c r="B748" s="1" t="s">
        <v>24</v>
      </c>
      <c r="C748" t="s">
        <v>30</v>
      </c>
      <c r="D748">
        <v>172000</v>
      </c>
    </row>
    <row r="749" spans="1:4" x14ac:dyDescent="0.2">
      <c r="A749">
        <v>1923</v>
      </c>
      <c r="B749" s="1" t="s">
        <v>25</v>
      </c>
      <c r="C749" t="s">
        <v>30</v>
      </c>
      <c r="D749">
        <v>97000</v>
      </c>
    </row>
    <row r="750" spans="1:4" x14ac:dyDescent="0.2">
      <c r="A750">
        <v>1924</v>
      </c>
      <c r="B750" s="1" t="s">
        <v>24</v>
      </c>
      <c r="C750" s="1" t="s">
        <v>29</v>
      </c>
      <c r="D750">
        <v>345000</v>
      </c>
    </row>
    <row r="751" spans="1:4" x14ac:dyDescent="0.2">
      <c r="A751">
        <v>1924</v>
      </c>
      <c r="B751" s="1" t="s">
        <v>25</v>
      </c>
      <c r="C751" s="1" t="s">
        <v>29</v>
      </c>
      <c r="D751">
        <v>355000</v>
      </c>
    </row>
    <row r="752" spans="1:4" x14ac:dyDescent="0.2">
      <c r="A752">
        <v>1924</v>
      </c>
      <c r="B752" s="1" t="s">
        <v>24</v>
      </c>
      <c r="C752" s="2" t="s">
        <v>26</v>
      </c>
      <c r="D752">
        <v>1499000</v>
      </c>
    </row>
    <row r="753" spans="1:4" x14ac:dyDescent="0.2">
      <c r="A753">
        <v>1924</v>
      </c>
      <c r="B753" s="1" t="s">
        <v>25</v>
      </c>
      <c r="C753" s="2" t="s">
        <v>26</v>
      </c>
      <c r="D753">
        <v>1539000</v>
      </c>
    </row>
    <row r="754" spans="1:4" x14ac:dyDescent="0.2">
      <c r="A754">
        <v>1924</v>
      </c>
      <c r="B754" s="1" t="s">
        <v>24</v>
      </c>
      <c r="C754" s="2" t="s">
        <v>27</v>
      </c>
      <c r="D754">
        <v>1499000</v>
      </c>
    </row>
    <row r="755" spans="1:4" x14ac:dyDescent="0.2">
      <c r="A755">
        <v>1924</v>
      </c>
      <c r="B755" s="1" t="s">
        <v>25</v>
      </c>
      <c r="C755" s="2" t="s">
        <v>27</v>
      </c>
      <c r="D755">
        <v>1523000</v>
      </c>
    </row>
    <row r="756" spans="1:4" x14ac:dyDescent="0.2">
      <c r="A756">
        <v>1924</v>
      </c>
      <c r="B756" s="1" t="s">
        <v>24</v>
      </c>
      <c r="C756" s="3" t="s">
        <v>28</v>
      </c>
      <c r="D756">
        <v>1784000</v>
      </c>
    </row>
    <row r="757" spans="1:4" x14ac:dyDescent="0.2">
      <c r="A757">
        <v>1924</v>
      </c>
      <c r="B757" s="1" t="s">
        <v>25</v>
      </c>
      <c r="C757" s="3" t="s">
        <v>28</v>
      </c>
      <c r="D757">
        <v>1802000</v>
      </c>
    </row>
    <row r="758" spans="1:4" x14ac:dyDescent="0.2">
      <c r="A758">
        <v>1924</v>
      </c>
      <c r="B758" s="1" t="s">
        <v>24</v>
      </c>
      <c r="C758" t="s">
        <v>4</v>
      </c>
      <c r="D758">
        <v>1806000</v>
      </c>
    </row>
    <row r="759" spans="1:4" x14ac:dyDescent="0.2">
      <c r="A759">
        <v>1924</v>
      </c>
      <c r="B759" s="1" t="s">
        <v>25</v>
      </c>
      <c r="C759" t="s">
        <v>4</v>
      </c>
      <c r="D759">
        <v>1810000</v>
      </c>
    </row>
    <row r="760" spans="1:4" x14ac:dyDescent="0.2">
      <c r="A760">
        <v>1924</v>
      </c>
      <c r="B760" s="1" t="s">
        <v>24</v>
      </c>
      <c r="C760" t="s">
        <v>5</v>
      </c>
      <c r="D760">
        <v>1731000</v>
      </c>
    </row>
    <row r="761" spans="1:4" x14ac:dyDescent="0.2">
      <c r="A761">
        <v>1924</v>
      </c>
      <c r="B761" s="1" t="s">
        <v>25</v>
      </c>
      <c r="C761" t="s">
        <v>5</v>
      </c>
      <c r="D761">
        <v>1591000</v>
      </c>
    </row>
    <row r="762" spans="1:4" x14ac:dyDescent="0.2">
      <c r="A762">
        <v>1924</v>
      </c>
      <c r="B762" s="1" t="s">
        <v>24</v>
      </c>
      <c r="C762" t="s">
        <v>12</v>
      </c>
      <c r="D762">
        <v>1655000</v>
      </c>
    </row>
    <row r="763" spans="1:4" x14ac:dyDescent="0.2">
      <c r="A763">
        <v>1924</v>
      </c>
      <c r="B763" s="1" t="s">
        <v>25</v>
      </c>
      <c r="C763" t="s">
        <v>12</v>
      </c>
      <c r="D763">
        <v>1354000</v>
      </c>
    </row>
    <row r="764" spans="1:4" x14ac:dyDescent="0.2">
      <c r="A764">
        <v>1924</v>
      </c>
      <c r="B764" s="1" t="s">
        <v>24</v>
      </c>
      <c r="C764" t="s">
        <v>13</v>
      </c>
      <c r="D764">
        <v>1553000</v>
      </c>
    </row>
    <row r="765" spans="1:4" x14ac:dyDescent="0.2">
      <c r="A765">
        <v>1924</v>
      </c>
      <c r="B765" s="1" t="s">
        <v>25</v>
      </c>
      <c r="C765" t="s">
        <v>13</v>
      </c>
      <c r="D765">
        <v>1324000</v>
      </c>
    </row>
    <row r="766" spans="1:4" x14ac:dyDescent="0.2">
      <c r="A766">
        <v>1924</v>
      </c>
      <c r="B766" s="1" t="s">
        <v>24</v>
      </c>
      <c r="C766" t="s">
        <v>14</v>
      </c>
      <c r="D766">
        <v>1462000</v>
      </c>
    </row>
    <row r="767" spans="1:4" x14ac:dyDescent="0.2">
      <c r="A767">
        <v>1924</v>
      </c>
      <c r="B767" s="1" t="s">
        <v>25</v>
      </c>
      <c r="C767" t="s">
        <v>14</v>
      </c>
      <c r="D767">
        <v>1251000</v>
      </c>
    </row>
    <row r="768" spans="1:4" x14ac:dyDescent="0.2">
      <c r="A768">
        <v>1924</v>
      </c>
      <c r="B768" s="1" t="s">
        <v>24</v>
      </c>
      <c r="C768" t="s">
        <v>15</v>
      </c>
      <c r="D768">
        <v>1419000</v>
      </c>
    </row>
    <row r="769" spans="1:4" x14ac:dyDescent="0.2">
      <c r="A769">
        <v>1924</v>
      </c>
      <c r="B769" s="1" t="s">
        <v>25</v>
      </c>
      <c r="C769" t="s">
        <v>15</v>
      </c>
      <c r="D769">
        <v>1251000</v>
      </c>
    </row>
    <row r="770" spans="1:4" x14ac:dyDescent="0.2">
      <c r="A770">
        <v>1924</v>
      </c>
      <c r="B770" s="1" t="s">
        <v>24</v>
      </c>
      <c r="C770" t="s">
        <v>16</v>
      </c>
      <c r="D770">
        <v>1288000</v>
      </c>
    </row>
    <row r="771" spans="1:4" x14ac:dyDescent="0.2">
      <c r="A771">
        <v>1924</v>
      </c>
      <c r="B771" s="1" t="s">
        <v>25</v>
      </c>
      <c r="C771" t="s">
        <v>16</v>
      </c>
      <c r="D771">
        <v>1165000</v>
      </c>
    </row>
    <row r="772" spans="1:4" x14ac:dyDescent="0.2">
      <c r="A772">
        <v>1924</v>
      </c>
      <c r="B772" s="1" t="s">
        <v>24</v>
      </c>
      <c r="C772" t="s">
        <v>17</v>
      </c>
      <c r="D772">
        <v>1133000</v>
      </c>
    </row>
    <row r="773" spans="1:4" x14ac:dyDescent="0.2">
      <c r="A773">
        <v>1924</v>
      </c>
      <c r="B773" s="1" t="s">
        <v>25</v>
      </c>
      <c r="C773" t="s">
        <v>17</v>
      </c>
      <c r="D773">
        <v>1064000</v>
      </c>
    </row>
    <row r="774" spans="1:4" x14ac:dyDescent="0.2">
      <c r="A774">
        <v>1924</v>
      </c>
      <c r="B774" s="1" t="s">
        <v>24</v>
      </c>
      <c r="C774" t="s">
        <v>18</v>
      </c>
      <c r="D774">
        <v>907000</v>
      </c>
    </row>
    <row r="775" spans="1:4" x14ac:dyDescent="0.2">
      <c r="A775">
        <v>1924</v>
      </c>
      <c r="B775" s="1" t="s">
        <v>25</v>
      </c>
      <c r="C775" t="s">
        <v>18</v>
      </c>
      <c r="D775">
        <v>831000</v>
      </c>
    </row>
    <row r="776" spans="1:4" x14ac:dyDescent="0.2">
      <c r="A776">
        <v>1924</v>
      </c>
      <c r="B776" s="1" t="s">
        <v>24</v>
      </c>
      <c r="C776" t="s">
        <v>19</v>
      </c>
      <c r="D776">
        <v>737000</v>
      </c>
    </row>
    <row r="777" spans="1:4" x14ac:dyDescent="0.2">
      <c r="A777">
        <v>1924</v>
      </c>
      <c r="B777" s="1" t="s">
        <v>25</v>
      </c>
      <c r="C777" t="s">
        <v>19</v>
      </c>
      <c r="D777">
        <v>656000</v>
      </c>
    </row>
    <row r="778" spans="1:4" x14ac:dyDescent="0.2">
      <c r="A778">
        <v>1924</v>
      </c>
      <c r="B778" s="1" t="s">
        <v>24</v>
      </c>
      <c r="C778" t="s">
        <v>20</v>
      </c>
      <c r="D778">
        <v>567000</v>
      </c>
    </row>
    <row r="779" spans="1:4" x14ac:dyDescent="0.2">
      <c r="A779">
        <v>1924</v>
      </c>
      <c r="B779" s="1" t="s">
        <v>25</v>
      </c>
      <c r="C779" t="s">
        <v>20</v>
      </c>
      <c r="D779">
        <v>473000</v>
      </c>
    </row>
    <row r="780" spans="1:4" x14ac:dyDescent="0.2">
      <c r="A780">
        <v>1924</v>
      </c>
      <c r="B780" s="1" t="s">
        <v>24</v>
      </c>
      <c r="C780" t="s">
        <v>21</v>
      </c>
      <c r="D780">
        <v>412000</v>
      </c>
    </row>
    <row r="781" spans="1:4" x14ac:dyDescent="0.2">
      <c r="A781">
        <v>1924</v>
      </c>
      <c r="B781" s="1" t="s">
        <v>25</v>
      </c>
      <c r="C781" t="s">
        <v>21</v>
      </c>
      <c r="D781">
        <v>316000</v>
      </c>
    </row>
    <row r="782" spans="1:4" x14ac:dyDescent="0.2">
      <c r="A782">
        <v>1924</v>
      </c>
      <c r="B782" s="1" t="s">
        <v>24</v>
      </c>
      <c r="C782" t="s">
        <v>22</v>
      </c>
      <c r="D782">
        <v>251000</v>
      </c>
    </row>
    <row r="783" spans="1:4" x14ac:dyDescent="0.2">
      <c r="A783">
        <v>1924</v>
      </c>
      <c r="B783" s="1" t="s">
        <v>25</v>
      </c>
      <c r="C783" t="s">
        <v>22</v>
      </c>
      <c r="D783">
        <v>167000</v>
      </c>
    </row>
    <row r="784" spans="1:4" x14ac:dyDescent="0.2">
      <c r="A784">
        <v>1924</v>
      </c>
      <c r="B784" s="1" t="s">
        <v>24</v>
      </c>
      <c r="C784" t="s">
        <v>30</v>
      </c>
      <c r="D784">
        <v>176000</v>
      </c>
    </row>
    <row r="785" spans="1:4" x14ac:dyDescent="0.2">
      <c r="A785">
        <v>1924</v>
      </c>
      <c r="B785" s="1" t="s">
        <v>25</v>
      </c>
      <c r="C785" t="s">
        <v>30</v>
      </c>
      <c r="D785">
        <v>99000</v>
      </c>
    </row>
    <row r="786" spans="1:4" x14ac:dyDescent="0.2">
      <c r="A786">
        <v>1925</v>
      </c>
      <c r="B786" s="1" t="s">
        <v>24</v>
      </c>
      <c r="C786" s="1" t="s">
        <v>29</v>
      </c>
      <c r="D786">
        <v>336000</v>
      </c>
    </row>
    <row r="787" spans="1:4" x14ac:dyDescent="0.2">
      <c r="A787">
        <v>1925</v>
      </c>
      <c r="B787" s="1" t="s">
        <v>25</v>
      </c>
      <c r="C787" s="1" t="s">
        <v>29</v>
      </c>
      <c r="D787">
        <v>346000</v>
      </c>
    </row>
    <row r="788" spans="1:4" x14ac:dyDescent="0.2">
      <c r="A788">
        <v>1925</v>
      </c>
      <c r="B788" s="1" t="s">
        <v>24</v>
      </c>
      <c r="C788" s="2" t="s">
        <v>26</v>
      </c>
      <c r="D788">
        <v>1427000</v>
      </c>
    </row>
    <row r="789" spans="1:4" x14ac:dyDescent="0.2">
      <c r="A789">
        <v>1925</v>
      </c>
      <c r="B789" s="1" t="s">
        <v>25</v>
      </c>
      <c r="C789" s="2" t="s">
        <v>26</v>
      </c>
      <c r="D789">
        <v>1461000</v>
      </c>
    </row>
    <row r="790" spans="1:4" x14ac:dyDescent="0.2">
      <c r="A790">
        <v>1925</v>
      </c>
      <c r="B790" s="1" t="s">
        <v>24</v>
      </c>
      <c r="C790" s="2" t="s">
        <v>27</v>
      </c>
      <c r="D790">
        <v>1537000</v>
      </c>
    </row>
    <row r="791" spans="1:4" x14ac:dyDescent="0.2">
      <c r="A791">
        <v>1925</v>
      </c>
      <c r="B791" s="1" t="s">
        <v>25</v>
      </c>
      <c r="C791" s="2" t="s">
        <v>27</v>
      </c>
      <c r="D791">
        <v>1568000</v>
      </c>
    </row>
    <row r="792" spans="1:4" x14ac:dyDescent="0.2">
      <c r="A792">
        <v>1925</v>
      </c>
      <c r="B792" s="1" t="s">
        <v>24</v>
      </c>
      <c r="C792" s="3" t="s">
        <v>28</v>
      </c>
      <c r="D792">
        <v>1770000</v>
      </c>
    </row>
    <row r="793" spans="1:4" x14ac:dyDescent="0.2">
      <c r="A793">
        <v>1925</v>
      </c>
      <c r="B793" s="1" t="s">
        <v>25</v>
      </c>
      <c r="C793" s="3" t="s">
        <v>28</v>
      </c>
      <c r="D793">
        <v>1779000</v>
      </c>
    </row>
    <row r="794" spans="1:4" x14ac:dyDescent="0.2">
      <c r="A794">
        <v>1925</v>
      </c>
      <c r="B794" s="1" t="s">
        <v>24</v>
      </c>
      <c r="C794" t="s">
        <v>4</v>
      </c>
      <c r="D794">
        <v>1802000</v>
      </c>
    </row>
    <row r="795" spans="1:4" x14ac:dyDescent="0.2">
      <c r="A795">
        <v>1925</v>
      </c>
      <c r="B795" s="1" t="s">
        <v>25</v>
      </c>
      <c r="C795" t="s">
        <v>4</v>
      </c>
      <c r="D795">
        <v>1802000</v>
      </c>
    </row>
    <row r="796" spans="1:4" x14ac:dyDescent="0.2">
      <c r="A796">
        <v>1925</v>
      </c>
      <c r="B796" s="1" t="s">
        <v>24</v>
      </c>
      <c r="C796" t="s">
        <v>5</v>
      </c>
      <c r="D796">
        <v>1732000</v>
      </c>
    </row>
    <row r="797" spans="1:4" x14ac:dyDescent="0.2">
      <c r="A797">
        <v>1925</v>
      </c>
      <c r="B797" s="1" t="s">
        <v>25</v>
      </c>
      <c r="C797" t="s">
        <v>5</v>
      </c>
      <c r="D797">
        <v>1613000</v>
      </c>
    </row>
    <row r="798" spans="1:4" x14ac:dyDescent="0.2">
      <c r="A798">
        <v>1925</v>
      </c>
      <c r="B798" s="1" t="s">
        <v>24</v>
      </c>
      <c r="C798" t="s">
        <v>12</v>
      </c>
      <c r="D798">
        <v>1662000</v>
      </c>
    </row>
    <row r="799" spans="1:4" x14ac:dyDescent="0.2">
      <c r="A799">
        <v>1925</v>
      </c>
      <c r="B799" s="1" t="s">
        <v>25</v>
      </c>
      <c r="C799" t="s">
        <v>12</v>
      </c>
      <c r="D799">
        <v>1370000</v>
      </c>
    </row>
    <row r="800" spans="1:4" x14ac:dyDescent="0.2">
      <c r="A800">
        <v>1925</v>
      </c>
      <c r="B800" s="1" t="s">
        <v>24</v>
      </c>
      <c r="C800" t="s">
        <v>13</v>
      </c>
      <c r="D800">
        <v>1581000</v>
      </c>
    </row>
    <row r="801" spans="1:4" x14ac:dyDescent="0.2">
      <c r="A801">
        <v>1925</v>
      </c>
      <c r="B801" s="1" t="s">
        <v>25</v>
      </c>
      <c r="C801" t="s">
        <v>13</v>
      </c>
      <c r="D801">
        <v>1343000</v>
      </c>
    </row>
    <row r="802" spans="1:4" x14ac:dyDescent="0.2">
      <c r="A802">
        <v>1925</v>
      </c>
      <c r="B802" s="1" t="s">
        <v>24</v>
      </c>
      <c r="C802" t="s">
        <v>14</v>
      </c>
      <c r="D802">
        <v>1442000</v>
      </c>
    </row>
    <row r="803" spans="1:4" x14ac:dyDescent="0.2">
      <c r="A803">
        <v>1925</v>
      </c>
      <c r="B803" s="1" t="s">
        <v>25</v>
      </c>
      <c r="C803" t="s">
        <v>14</v>
      </c>
      <c r="D803">
        <v>1234000</v>
      </c>
    </row>
    <row r="804" spans="1:4" x14ac:dyDescent="0.2">
      <c r="A804">
        <v>1925</v>
      </c>
      <c r="B804" s="1" t="s">
        <v>24</v>
      </c>
      <c r="C804" t="s">
        <v>15</v>
      </c>
      <c r="D804">
        <v>1442000</v>
      </c>
    </row>
    <row r="805" spans="1:4" x14ac:dyDescent="0.2">
      <c r="A805">
        <v>1925</v>
      </c>
      <c r="B805" s="1" t="s">
        <v>25</v>
      </c>
      <c r="C805" t="s">
        <v>15</v>
      </c>
      <c r="D805">
        <v>1259000</v>
      </c>
    </row>
    <row r="806" spans="1:4" x14ac:dyDescent="0.2">
      <c r="A806">
        <v>1925</v>
      </c>
      <c r="B806" s="1" t="s">
        <v>24</v>
      </c>
      <c r="C806" t="s">
        <v>16</v>
      </c>
      <c r="D806">
        <v>1290000</v>
      </c>
    </row>
    <row r="807" spans="1:4" x14ac:dyDescent="0.2">
      <c r="A807">
        <v>1925</v>
      </c>
      <c r="B807" s="1" t="s">
        <v>25</v>
      </c>
      <c r="C807" t="s">
        <v>16</v>
      </c>
      <c r="D807">
        <v>1157000</v>
      </c>
    </row>
    <row r="808" spans="1:4" x14ac:dyDescent="0.2">
      <c r="A808">
        <v>1925</v>
      </c>
      <c r="B808" s="1" t="s">
        <v>24</v>
      </c>
      <c r="C808" t="s">
        <v>17</v>
      </c>
      <c r="D808">
        <v>1173000</v>
      </c>
    </row>
    <row r="809" spans="1:4" x14ac:dyDescent="0.2">
      <c r="A809">
        <v>1925</v>
      </c>
      <c r="B809" s="1" t="s">
        <v>25</v>
      </c>
      <c r="C809" t="s">
        <v>17</v>
      </c>
      <c r="D809">
        <v>1093000</v>
      </c>
    </row>
    <row r="810" spans="1:4" x14ac:dyDescent="0.2">
      <c r="A810">
        <v>1925</v>
      </c>
      <c r="B810" s="1" t="s">
        <v>24</v>
      </c>
      <c r="C810" t="s">
        <v>18</v>
      </c>
      <c r="D810">
        <v>908000</v>
      </c>
    </row>
    <row r="811" spans="1:4" x14ac:dyDescent="0.2">
      <c r="A811">
        <v>1925</v>
      </c>
      <c r="B811" s="1" t="s">
        <v>25</v>
      </c>
      <c r="C811" t="s">
        <v>18</v>
      </c>
      <c r="D811">
        <v>835000</v>
      </c>
    </row>
    <row r="812" spans="1:4" x14ac:dyDescent="0.2">
      <c r="A812">
        <v>1925</v>
      </c>
      <c r="B812" s="1" t="s">
        <v>24</v>
      </c>
      <c r="C812" t="s">
        <v>19</v>
      </c>
      <c r="D812">
        <v>772000</v>
      </c>
    </row>
    <row r="813" spans="1:4" x14ac:dyDescent="0.2">
      <c r="A813">
        <v>1925</v>
      </c>
      <c r="B813" s="1" t="s">
        <v>25</v>
      </c>
      <c r="C813" t="s">
        <v>19</v>
      </c>
      <c r="D813">
        <v>687000</v>
      </c>
    </row>
    <row r="814" spans="1:4" x14ac:dyDescent="0.2">
      <c r="A814">
        <v>1925</v>
      </c>
      <c r="B814" s="1" t="s">
        <v>24</v>
      </c>
      <c r="C814" t="s">
        <v>20</v>
      </c>
      <c r="D814">
        <v>572000</v>
      </c>
    </row>
    <row r="815" spans="1:4" x14ac:dyDescent="0.2">
      <c r="A815">
        <v>1925</v>
      </c>
      <c r="B815" s="1" t="s">
        <v>25</v>
      </c>
      <c r="C815" t="s">
        <v>20</v>
      </c>
      <c r="D815">
        <v>478000</v>
      </c>
    </row>
    <row r="816" spans="1:4" x14ac:dyDescent="0.2">
      <c r="A816">
        <v>1925</v>
      </c>
      <c r="B816" s="1" t="s">
        <v>24</v>
      </c>
      <c r="C816" t="s">
        <v>21</v>
      </c>
      <c r="D816">
        <v>429000</v>
      </c>
    </row>
    <row r="817" spans="1:4" x14ac:dyDescent="0.2">
      <c r="A817">
        <v>1925</v>
      </c>
      <c r="B817" s="1" t="s">
        <v>25</v>
      </c>
      <c r="C817" t="s">
        <v>21</v>
      </c>
      <c r="D817">
        <v>331000</v>
      </c>
    </row>
    <row r="818" spans="1:4" x14ac:dyDescent="0.2">
      <c r="A818">
        <v>1925</v>
      </c>
      <c r="B818" s="1" t="s">
        <v>24</v>
      </c>
      <c r="C818" t="s">
        <v>22</v>
      </c>
      <c r="D818">
        <v>250000</v>
      </c>
    </row>
    <row r="819" spans="1:4" x14ac:dyDescent="0.2">
      <c r="A819">
        <v>1925</v>
      </c>
      <c r="B819" s="1" t="s">
        <v>25</v>
      </c>
      <c r="C819" t="s">
        <v>22</v>
      </c>
      <c r="D819">
        <v>165000</v>
      </c>
    </row>
    <row r="820" spans="1:4" x14ac:dyDescent="0.2">
      <c r="A820">
        <v>1925</v>
      </c>
      <c r="B820" s="1" t="s">
        <v>24</v>
      </c>
      <c r="C820" t="s">
        <v>30</v>
      </c>
      <c r="D820">
        <v>185000</v>
      </c>
    </row>
    <row r="821" spans="1:4" x14ac:dyDescent="0.2">
      <c r="A821">
        <v>1925</v>
      </c>
      <c r="B821" s="1" t="s">
        <v>25</v>
      </c>
      <c r="C821" t="s">
        <v>30</v>
      </c>
      <c r="D821">
        <v>104000</v>
      </c>
    </row>
    <row r="822" spans="1:4" x14ac:dyDescent="0.2">
      <c r="A822">
        <v>1926</v>
      </c>
      <c r="B822" s="1" t="s">
        <v>24</v>
      </c>
      <c r="C822" s="1" t="s">
        <v>29</v>
      </c>
      <c r="D822">
        <v>328000</v>
      </c>
    </row>
    <row r="823" spans="1:4" x14ac:dyDescent="0.2">
      <c r="A823">
        <v>1926</v>
      </c>
      <c r="B823" s="1" t="s">
        <v>25</v>
      </c>
      <c r="C823" s="1" t="s">
        <v>29</v>
      </c>
      <c r="D823">
        <v>337000</v>
      </c>
    </row>
    <row r="824" spans="1:4" x14ac:dyDescent="0.2">
      <c r="A824">
        <v>1926</v>
      </c>
      <c r="B824" s="1" t="s">
        <v>24</v>
      </c>
      <c r="C824" s="2" t="s">
        <v>26</v>
      </c>
      <c r="D824">
        <v>1354000</v>
      </c>
    </row>
    <row r="825" spans="1:4" x14ac:dyDescent="0.2">
      <c r="A825">
        <v>1926</v>
      </c>
      <c r="B825" s="1" t="s">
        <v>25</v>
      </c>
      <c r="C825" s="2" t="s">
        <v>26</v>
      </c>
      <c r="D825">
        <v>1388000</v>
      </c>
    </row>
    <row r="826" spans="1:4" x14ac:dyDescent="0.2">
      <c r="A826">
        <v>1926</v>
      </c>
      <c r="B826" s="1" t="s">
        <v>24</v>
      </c>
      <c r="C826" s="2" t="s">
        <v>27</v>
      </c>
      <c r="D826">
        <v>1599000</v>
      </c>
    </row>
    <row r="827" spans="1:4" x14ac:dyDescent="0.2">
      <c r="A827">
        <v>1926</v>
      </c>
      <c r="B827" s="1" t="s">
        <v>25</v>
      </c>
      <c r="C827" s="2" t="s">
        <v>27</v>
      </c>
      <c r="D827">
        <v>1634000</v>
      </c>
    </row>
    <row r="828" spans="1:4" x14ac:dyDescent="0.2">
      <c r="A828">
        <v>1926</v>
      </c>
      <c r="B828" s="1" t="s">
        <v>24</v>
      </c>
      <c r="C828" s="3" t="s">
        <v>28</v>
      </c>
      <c r="D828">
        <v>1733000</v>
      </c>
    </row>
    <row r="829" spans="1:4" x14ac:dyDescent="0.2">
      <c r="A829">
        <v>1926</v>
      </c>
      <c r="B829" s="1" t="s">
        <v>25</v>
      </c>
      <c r="C829" s="3" t="s">
        <v>28</v>
      </c>
      <c r="D829">
        <v>1746000</v>
      </c>
    </row>
    <row r="830" spans="1:4" x14ac:dyDescent="0.2">
      <c r="A830">
        <v>1926</v>
      </c>
      <c r="B830" s="1" t="s">
        <v>24</v>
      </c>
      <c r="C830" t="s">
        <v>4</v>
      </c>
      <c r="D830">
        <v>1795000</v>
      </c>
    </row>
    <row r="831" spans="1:4" x14ac:dyDescent="0.2">
      <c r="A831">
        <v>1926</v>
      </c>
      <c r="B831" s="1" t="s">
        <v>25</v>
      </c>
      <c r="C831" t="s">
        <v>4</v>
      </c>
      <c r="D831">
        <v>1793000</v>
      </c>
    </row>
    <row r="832" spans="1:4" x14ac:dyDescent="0.2">
      <c r="A832">
        <v>1926</v>
      </c>
      <c r="B832" s="1" t="s">
        <v>24</v>
      </c>
      <c r="C832" t="s">
        <v>5</v>
      </c>
      <c r="D832">
        <v>1744000</v>
      </c>
    </row>
    <row r="833" spans="1:4" x14ac:dyDescent="0.2">
      <c r="A833">
        <v>1926</v>
      </c>
      <c r="B833" s="1" t="s">
        <v>25</v>
      </c>
      <c r="C833" t="s">
        <v>5</v>
      </c>
      <c r="D833">
        <v>1645000</v>
      </c>
    </row>
    <row r="834" spans="1:4" x14ac:dyDescent="0.2">
      <c r="A834">
        <v>1926</v>
      </c>
      <c r="B834" s="1" t="s">
        <v>24</v>
      </c>
      <c r="C834" t="s">
        <v>12</v>
      </c>
      <c r="D834">
        <v>1666000</v>
      </c>
    </row>
    <row r="835" spans="1:4" x14ac:dyDescent="0.2">
      <c r="A835">
        <v>1926</v>
      </c>
      <c r="B835" s="1" t="s">
        <v>25</v>
      </c>
      <c r="C835" t="s">
        <v>12</v>
      </c>
      <c r="D835">
        <v>1398000</v>
      </c>
    </row>
    <row r="836" spans="1:4" x14ac:dyDescent="0.2">
      <c r="A836">
        <v>1926</v>
      </c>
      <c r="B836" s="1" t="s">
        <v>24</v>
      </c>
      <c r="C836" t="s">
        <v>13</v>
      </c>
      <c r="D836">
        <v>1570000</v>
      </c>
    </row>
    <row r="837" spans="1:4" x14ac:dyDescent="0.2">
      <c r="A837">
        <v>1926</v>
      </c>
      <c r="B837" s="1" t="s">
        <v>25</v>
      </c>
      <c r="C837" t="s">
        <v>13</v>
      </c>
      <c r="D837">
        <v>1338000</v>
      </c>
    </row>
    <row r="838" spans="1:4" x14ac:dyDescent="0.2">
      <c r="A838">
        <v>1926</v>
      </c>
      <c r="B838" s="1" t="s">
        <v>24</v>
      </c>
      <c r="C838" t="s">
        <v>14</v>
      </c>
      <c r="D838">
        <v>1463000</v>
      </c>
    </row>
    <row r="839" spans="1:4" x14ac:dyDescent="0.2">
      <c r="A839">
        <v>1926</v>
      </c>
      <c r="B839" s="1" t="s">
        <v>25</v>
      </c>
      <c r="C839" t="s">
        <v>14</v>
      </c>
      <c r="D839">
        <v>1246000</v>
      </c>
    </row>
    <row r="840" spans="1:4" x14ac:dyDescent="0.2">
      <c r="A840">
        <v>1926</v>
      </c>
      <c r="B840" s="1" t="s">
        <v>24</v>
      </c>
      <c r="C840" t="s">
        <v>15</v>
      </c>
      <c r="D840">
        <v>1424000</v>
      </c>
    </row>
    <row r="841" spans="1:4" x14ac:dyDescent="0.2">
      <c r="A841">
        <v>1926</v>
      </c>
      <c r="B841" s="1" t="s">
        <v>25</v>
      </c>
      <c r="C841" t="s">
        <v>15</v>
      </c>
      <c r="D841">
        <v>1241000</v>
      </c>
    </row>
    <row r="842" spans="1:4" x14ac:dyDescent="0.2">
      <c r="A842">
        <v>1926</v>
      </c>
      <c r="B842" s="1" t="s">
        <v>24</v>
      </c>
      <c r="C842" t="s">
        <v>16</v>
      </c>
      <c r="D842">
        <v>1318000</v>
      </c>
    </row>
    <row r="843" spans="1:4" x14ac:dyDescent="0.2">
      <c r="A843">
        <v>1926</v>
      </c>
      <c r="B843" s="1" t="s">
        <v>25</v>
      </c>
      <c r="C843" t="s">
        <v>16</v>
      </c>
      <c r="D843">
        <v>1166000</v>
      </c>
    </row>
    <row r="844" spans="1:4" x14ac:dyDescent="0.2">
      <c r="A844">
        <v>1926</v>
      </c>
      <c r="B844" s="1" t="s">
        <v>24</v>
      </c>
      <c r="C844" t="s">
        <v>17</v>
      </c>
      <c r="D844">
        <v>1179000</v>
      </c>
    </row>
    <row r="845" spans="1:4" x14ac:dyDescent="0.2">
      <c r="A845">
        <v>1926</v>
      </c>
      <c r="B845" s="1" t="s">
        <v>25</v>
      </c>
      <c r="C845" t="s">
        <v>17</v>
      </c>
      <c r="D845">
        <v>1104000</v>
      </c>
    </row>
    <row r="846" spans="1:4" x14ac:dyDescent="0.2">
      <c r="A846">
        <v>1926</v>
      </c>
      <c r="B846" s="1" t="s">
        <v>24</v>
      </c>
      <c r="C846" t="s">
        <v>18</v>
      </c>
      <c r="D846">
        <v>960000</v>
      </c>
    </row>
    <row r="847" spans="1:4" x14ac:dyDescent="0.2">
      <c r="A847">
        <v>1926</v>
      </c>
      <c r="B847" s="1" t="s">
        <v>25</v>
      </c>
      <c r="C847" t="s">
        <v>18</v>
      </c>
      <c r="D847">
        <v>878000</v>
      </c>
    </row>
    <row r="848" spans="1:4" x14ac:dyDescent="0.2">
      <c r="A848">
        <v>1926</v>
      </c>
      <c r="B848" s="1" t="s">
        <v>24</v>
      </c>
      <c r="C848" t="s">
        <v>19</v>
      </c>
      <c r="D848">
        <v>768000</v>
      </c>
    </row>
    <row r="849" spans="1:4" x14ac:dyDescent="0.2">
      <c r="A849">
        <v>1926</v>
      </c>
      <c r="B849" s="1" t="s">
        <v>25</v>
      </c>
      <c r="C849" t="s">
        <v>19</v>
      </c>
      <c r="D849">
        <v>687000</v>
      </c>
    </row>
    <row r="850" spans="1:4" x14ac:dyDescent="0.2">
      <c r="A850">
        <v>1926</v>
      </c>
      <c r="B850" s="1" t="s">
        <v>24</v>
      </c>
      <c r="C850" t="s">
        <v>20</v>
      </c>
      <c r="D850">
        <v>598000</v>
      </c>
    </row>
    <row r="851" spans="1:4" x14ac:dyDescent="0.2">
      <c r="A851">
        <v>1926</v>
      </c>
      <c r="B851" s="1" t="s">
        <v>25</v>
      </c>
      <c r="C851" t="s">
        <v>20</v>
      </c>
      <c r="D851">
        <v>498000</v>
      </c>
    </row>
    <row r="852" spans="1:4" x14ac:dyDescent="0.2">
      <c r="A852">
        <v>1926</v>
      </c>
      <c r="B852" s="1" t="s">
        <v>24</v>
      </c>
      <c r="C852" t="s">
        <v>21</v>
      </c>
      <c r="D852">
        <v>441000</v>
      </c>
    </row>
    <row r="853" spans="1:4" x14ac:dyDescent="0.2">
      <c r="A853">
        <v>1926</v>
      </c>
      <c r="B853" s="1" t="s">
        <v>25</v>
      </c>
      <c r="C853" t="s">
        <v>21</v>
      </c>
      <c r="D853">
        <v>343000</v>
      </c>
    </row>
    <row r="854" spans="1:4" x14ac:dyDescent="0.2">
      <c r="A854">
        <v>1926</v>
      </c>
      <c r="B854" s="1" t="s">
        <v>24</v>
      </c>
      <c r="C854" t="s">
        <v>22</v>
      </c>
      <c r="D854">
        <v>261000</v>
      </c>
    </row>
    <row r="855" spans="1:4" x14ac:dyDescent="0.2">
      <c r="A855">
        <v>1926</v>
      </c>
      <c r="B855" s="1" t="s">
        <v>25</v>
      </c>
      <c r="C855" t="s">
        <v>22</v>
      </c>
      <c r="D855">
        <v>172000</v>
      </c>
    </row>
    <row r="856" spans="1:4" x14ac:dyDescent="0.2">
      <c r="A856">
        <v>1926</v>
      </c>
      <c r="B856" s="1" t="s">
        <v>24</v>
      </c>
      <c r="C856" t="s">
        <v>30</v>
      </c>
      <c r="D856">
        <v>191000</v>
      </c>
    </row>
    <row r="857" spans="1:4" x14ac:dyDescent="0.2">
      <c r="A857">
        <v>1926</v>
      </c>
      <c r="B857" s="1" t="s">
        <v>25</v>
      </c>
      <c r="C857" t="s">
        <v>30</v>
      </c>
      <c r="D857">
        <v>108000</v>
      </c>
    </row>
    <row r="858" spans="1:4" x14ac:dyDescent="0.2">
      <c r="A858">
        <v>1927</v>
      </c>
      <c r="B858" s="1" t="s">
        <v>24</v>
      </c>
      <c r="C858" s="1" t="s">
        <v>29</v>
      </c>
      <c r="D858">
        <v>317000</v>
      </c>
    </row>
    <row r="859" spans="1:4" x14ac:dyDescent="0.2">
      <c r="A859">
        <v>1927</v>
      </c>
      <c r="B859" s="1" t="s">
        <v>25</v>
      </c>
      <c r="C859" s="1" t="s">
        <v>29</v>
      </c>
      <c r="D859">
        <v>324000</v>
      </c>
    </row>
    <row r="860" spans="1:4" x14ac:dyDescent="0.2">
      <c r="A860">
        <v>1927</v>
      </c>
      <c r="B860" s="1" t="s">
        <v>24</v>
      </c>
      <c r="C860" s="2" t="s">
        <v>26</v>
      </c>
      <c r="D860">
        <v>1305000</v>
      </c>
    </row>
    <row r="861" spans="1:4" x14ac:dyDescent="0.2">
      <c r="A861">
        <v>1927</v>
      </c>
      <c r="B861" s="1" t="s">
        <v>25</v>
      </c>
      <c r="C861" s="2" t="s">
        <v>26</v>
      </c>
      <c r="D861">
        <v>1335000</v>
      </c>
    </row>
    <row r="862" spans="1:4" x14ac:dyDescent="0.2">
      <c r="A862">
        <v>1927</v>
      </c>
      <c r="B862" s="1" t="s">
        <v>24</v>
      </c>
      <c r="C862" s="2" t="s">
        <v>27</v>
      </c>
      <c r="D862">
        <v>1658000</v>
      </c>
    </row>
    <row r="863" spans="1:4" x14ac:dyDescent="0.2">
      <c r="A863">
        <v>1927</v>
      </c>
      <c r="B863" s="1" t="s">
        <v>25</v>
      </c>
      <c r="C863" s="2" t="s">
        <v>27</v>
      </c>
      <c r="D863">
        <v>1694000</v>
      </c>
    </row>
    <row r="864" spans="1:4" x14ac:dyDescent="0.2">
      <c r="A864">
        <v>1927</v>
      </c>
      <c r="B864" s="1" t="s">
        <v>24</v>
      </c>
      <c r="C864" s="3" t="s">
        <v>28</v>
      </c>
      <c r="D864">
        <v>1681000</v>
      </c>
    </row>
    <row r="865" spans="1:4" x14ac:dyDescent="0.2">
      <c r="A865">
        <v>1927</v>
      </c>
      <c r="B865" s="1" t="s">
        <v>25</v>
      </c>
      <c r="C865" s="3" t="s">
        <v>28</v>
      </c>
      <c r="D865">
        <v>1692000</v>
      </c>
    </row>
    <row r="866" spans="1:4" x14ac:dyDescent="0.2">
      <c r="A866">
        <v>1927</v>
      </c>
      <c r="B866" s="1" t="s">
        <v>24</v>
      </c>
      <c r="C866" t="s">
        <v>4</v>
      </c>
      <c r="D866">
        <v>1782000</v>
      </c>
    </row>
    <row r="867" spans="1:4" x14ac:dyDescent="0.2">
      <c r="A867">
        <v>1927</v>
      </c>
      <c r="B867" s="1" t="s">
        <v>25</v>
      </c>
      <c r="C867" t="s">
        <v>4</v>
      </c>
      <c r="D867">
        <v>1778000</v>
      </c>
    </row>
    <row r="868" spans="1:4" x14ac:dyDescent="0.2">
      <c r="A868">
        <v>1927</v>
      </c>
      <c r="B868" s="1" t="s">
        <v>24</v>
      </c>
      <c r="C868" t="s">
        <v>5</v>
      </c>
      <c r="D868">
        <v>1755000</v>
      </c>
    </row>
    <row r="869" spans="1:4" x14ac:dyDescent="0.2">
      <c r="A869">
        <v>1927</v>
      </c>
      <c r="B869" s="1" t="s">
        <v>25</v>
      </c>
      <c r="C869" t="s">
        <v>5</v>
      </c>
      <c r="D869">
        <v>1670000</v>
      </c>
    </row>
    <row r="870" spans="1:4" x14ac:dyDescent="0.2">
      <c r="A870">
        <v>1927</v>
      </c>
      <c r="B870" s="1" t="s">
        <v>24</v>
      </c>
      <c r="C870" t="s">
        <v>12</v>
      </c>
      <c r="D870">
        <v>1673000</v>
      </c>
    </row>
    <row r="871" spans="1:4" x14ac:dyDescent="0.2">
      <c r="A871">
        <v>1927</v>
      </c>
      <c r="B871" s="1" t="s">
        <v>25</v>
      </c>
      <c r="C871" t="s">
        <v>12</v>
      </c>
      <c r="D871">
        <v>1441000</v>
      </c>
    </row>
    <row r="872" spans="1:4" x14ac:dyDescent="0.2">
      <c r="A872">
        <v>1927</v>
      </c>
      <c r="B872" s="1" t="s">
        <v>24</v>
      </c>
      <c r="C872" t="s">
        <v>13</v>
      </c>
      <c r="D872">
        <v>1585000</v>
      </c>
    </row>
    <row r="873" spans="1:4" x14ac:dyDescent="0.2">
      <c r="A873">
        <v>1927</v>
      </c>
      <c r="B873" s="1" t="s">
        <v>25</v>
      </c>
      <c r="C873" t="s">
        <v>13</v>
      </c>
      <c r="D873">
        <v>1346000</v>
      </c>
    </row>
    <row r="874" spans="1:4" x14ac:dyDescent="0.2">
      <c r="A874">
        <v>1927</v>
      </c>
      <c r="B874" s="1" t="s">
        <v>24</v>
      </c>
      <c r="C874" t="s">
        <v>14</v>
      </c>
      <c r="D874">
        <v>1472000</v>
      </c>
    </row>
    <row r="875" spans="1:4" x14ac:dyDescent="0.2">
      <c r="A875">
        <v>1927</v>
      </c>
      <c r="B875" s="1" t="s">
        <v>25</v>
      </c>
      <c r="C875" t="s">
        <v>14</v>
      </c>
      <c r="D875">
        <v>1252000</v>
      </c>
    </row>
    <row r="876" spans="1:4" x14ac:dyDescent="0.2">
      <c r="A876">
        <v>1927</v>
      </c>
      <c r="B876" s="1" t="s">
        <v>24</v>
      </c>
      <c r="C876" t="s">
        <v>15</v>
      </c>
      <c r="D876">
        <v>1422000</v>
      </c>
    </row>
    <row r="877" spans="1:4" x14ac:dyDescent="0.2">
      <c r="A877">
        <v>1927</v>
      </c>
      <c r="B877" s="1" t="s">
        <v>25</v>
      </c>
      <c r="C877" t="s">
        <v>15</v>
      </c>
      <c r="D877">
        <v>1230000</v>
      </c>
    </row>
    <row r="878" spans="1:4" x14ac:dyDescent="0.2">
      <c r="A878">
        <v>1927</v>
      </c>
      <c r="B878" s="1" t="s">
        <v>24</v>
      </c>
      <c r="C878" t="s">
        <v>16</v>
      </c>
      <c r="D878">
        <v>1338000</v>
      </c>
    </row>
    <row r="879" spans="1:4" x14ac:dyDescent="0.2">
      <c r="A879">
        <v>1927</v>
      </c>
      <c r="B879" s="1" t="s">
        <v>25</v>
      </c>
      <c r="C879" t="s">
        <v>16</v>
      </c>
      <c r="D879">
        <v>1179000</v>
      </c>
    </row>
    <row r="880" spans="1:4" x14ac:dyDescent="0.2">
      <c r="A880">
        <v>1927</v>
      </c>
      <c r="B880" s="1" t="s">
        <v>24</v>
      </c>
      <c r="C880" t="s">
        <v>17</v>
      </c>
      <c r="D880">
        <v>1193000</v>
      </c>
    </row>
    <row r="881" spans="1:4" x14ac:dyDescent="0.2">
      <c r="A881">
        <v>1927</v>
      </c>
      <c r="B881" s="1" t="s">
        <v>25</v>
      </c>
      <c r="C881" t="s">
        <v>17</v>
      </c>
      <c r="D881">
        <v>1105000</v>
      </c>
    </row>
    <row r="882" spans="1:4" x14ac:dyDescent="0.2">
      <c r="A882">
        <v>1927</v>
      </c>
      <c r="B882" s="1" t="s">
        <v>24</v>
      </c>
      <c r="C882" t="s">
        <v>18</v>
      </c>
      <c r="D882">
        <v>983000</v>
      </c>
    </row>
    <row r="883" spans="1:4" x14ac:dyDescent="0.2">
      <c r="A883">
        <v>1927</v>
      </c>
      <c r="B883" s="1" t="s">
        <v>25</v>
      </c>
      <c r="C883" t="s">
        <v>18</v>
      </c>
      <c r="D883">
        <v>902000</v>
      </c>
    </row>
    <row r="884" spans="1:4" x14ac:dyDescent="0.2">
      <c r="A884">
        <v>1927</v>
      </c>
      <c r="B884" s="1" t="s">
        <v>24</v>
      </c>
      <c r="C884" t="s">
        <v>19</v>
      </c>
      <c r="D884">
        <v>793000</v>
      </c>
    </row>
    <row r="885" spans="1:4" x14ac:dyDescent="0.2">
      <c r="A885">
        <v>1927</v>
      </c>
      <c r="B885" s="1" t="s">
        <v>25</v>
      </c>
      <c r="C885" t="s">
        <v>19</v>
      </c>
      <c r="D885">
        <v>706000</v>
      </c>
    </row>
    <row r="886" spans="1:4" x14ac:dyDescent="0.2">
      <c r="A886">
        <v>1927</v>
      </c>
      <c r="B886" s="1" t="s">
        <v>24</v>
      </c>
      <c r="C886" t="s">
        <v>20</v>
      </c>
      <c r="D886">
        <v>613000</v>
      </c>
    </row>
    <row r="887" spans="1:4" x14ac:dyDescent="0.2">
      <c r="A887">
        <v>1927</v>
      </c>
      <c r="B887" s="1" t="s">
        <v>25</v>
      </c>
      <c r="C887" t="s">
        <v>20</v>
      </c>
      <c r="D887">
        <v>512000</v>
      </c>
    </row>
    <row r="888" spans="1:4" x14ac:dyDescent="0.2">
      <c r="A888">
        <v>1927</v>
      </c>
      <c r="B888" s="1" t="s">
        <v>24</v>
      </c>
      <c r="C888" t="s">
        <v>21</v>
      </c>
      <c r="D888">
        <v>448000</v>
      </c>
    </row>
    <row r="889" spans="1:4" x14ac:dyDescent="0.2">
      <c r="A889">
        <v>1927</v>
      </c>
      <c r="B889" s="1" t="s">
        <v>25</v>
      </c>
      <c r="C889" t="s">
        <v>21</v>
      </c>
      <c r="D889">
        <v>346000</v>
      </c>
    </row>
    <row r="890" spans="1:4" x14ac:dyDescent="0.2">
      <c r="A890">
        <v>1927</v>
      </c>
      <c r="B890" s="1" t="s">
        <v>24</v>
      </c>
      <c r="C890" t="s">
        <v>22</v>
      </c>
      <c r="D890">
        <v>271000</v>
      </c>
    </row>
    <row r="891" spans="1:4" x14ac:dyDescent="0.2">
      <c r="A891">
        <v>1927</v>
      </c>
      <c r="B891" s="1" t="s">
        <v>25</v>
      </c>
      <c r="C891" t="s">
        <v>22</v>
      </c>
      <c r="D891">
        <v>181000</v>
      </c>
    </row>
    <row r="892" spans="1:4" x14ac:dyDescent="0.2">
      <c r="A892">
        <v>1927</v>
      </c>
      <c r="B892" s="1" t="s">
        <v>24</v>
      </c>
      <c r="C892" t="s">
        <v>30</v>
      </c>
      <c r="D892">
        <v>195000</v>
      </c>
    </row>
    <row r="893" spans="1:4" x14ac:dyDescent="0.2">
      <c r="A893">
        <v>1927</v>
      </c>
      <c r="B893" s="1" t="s">
        <v>25</v>
      </c>
      <c r="C893" t="s">
        <v>30</v>
      </c>
      <c r="D893">
        <v>109000</v>
      </c>
    </row>
    <row r="894" spans="1:4" x14ac:dyDescent="0.2">
      <c r="A894">
        <v>1928</v>
      </c>
      <c r="B894" s="1" t="s">
        <v>24</v>
      </c>
      <c r="C894" s="1" t="s">
        <v>29</v>
      </c>
      <c r="D894">
        <v>307000</v>
      </c>
    </row>
    <row r="895" spans="1:4" x14ac:dyDescent="0.2">
      <c r="A895">
        <v>1928</v>
      </c>
      <c r="B895" s="1" t="s">
        <v>25</v>
      </c>
      <c r="C895" s="1" t="s">
        <v>29</v>
      </c>
      <c r="D895">
        <v>316000</v>
      </c>
    </row>
    <row r="896" spans="1:4" x14ac:dyDescent="0.2">
      <c r="A896">
        <v>1928</v>
      </c>
      <c r="B896" s="1" t="s">
        <v>24</v>
      </c>
      <c r="C896" s="2" t="s">
        <v>26</v>
      </c>
      <c r="D896">
        <v>1274000</v>
      </c>
    </row>
    <row r="897" spans="1:4" x14ac:dyDescent="0.2">
      <c r="A897">
        <v>1928</v>
      </c>
      <c r="B897" s="1" t="s">
        <v>25</v>
      </c>
      <c r="C897" s="2" t="s">
        <v>26</v>
      </c>
      <c r="D897">
        <v>1299000</v>
      </c>
    </row>
    <row r="898" spans="1:4" x14ac:dyDescent="0.2">
      <c r="A898">
        <v>1928</v>
      </c>
      <c r="B898" s="1" t="s">
        <v>24</v>
      </c>
      <c r="C898" s="2" t="s">
        <v>27</v>
      </c>
      <c r="D898">
        <v>1728000</v>
      </c>
    </row>
    <row r="899" spans="1:4" x14ac:dyDescent="0.2">
      <c r="A899">
        <v>1928</v>
      </c>
      <c r="B899" s="1" t="s">
        <v>25</v>
      </c>
      <c r="C899" s="2" t="s">
        <v>27</v>
      </c>
      <c r="D899">
        <v>1768000</v>
      </c>
    </row>
    <row r="900" spans="1:4" x14ac:dyDescent="0.2">
      <c r="A900">
        <v>1928</v>
      </c>
      <c r="B900" s="1" t="s">
        <v>24</v>
      </c>
      <c r="C900" s="3" t="s">
        <v>28</v>
      </c>
      <c r="D900">
        <v>1585000</v>
      </c>
    </row>
    <row r="901" spans="1:4" x14ac:dyDescent="0.2">
      <c r="A901">
        <v>1928</v>
      </c>
      <c r="B901" s="1" t="s">
        <v>25</v>
      </c>
      <c r="C901" s="3" t="s">
        <v>28</v>
      </c>
      <c r="D901">
        <v>1599000</v>
      </c>
    </row>
    <row r="902" spans="1:4" x14ac:dyDescent="0.2">
      <c r="A902">
        <v>1928</v>
      </c>
      <c r="B902" s="1" t="s">
        <v>24</v>
      </c>
      <c r="C902" t="s">
        <v>4</v>
      </c>
      <c r="D902">
        <v>1768000</v>
      </c>
    </row>
    <row r="903" spans="1:4" x14ac:dyDescent="0.2">
      <c r="A903">
        <v>1928</v>
      </c>
      <c r="B903" s="1" t="s">
        <v>25</v>
      </c>
      <c r="C903" t="s">
        <v>4</v>
      </c>
      <c r="D903">
        <v>1760000</v>
      </c>
    </row>
    <row r="904" spans="1:4" x14ac:dyDescent="0.2">
      <c r="A904">
        <v>1928</v>
      </c>
      <c r="B904" s="1" t="s">
        <v>24</v>
      </c>
      <c r="C904" t="s">
        <v>5</v>
      </c>
      <c r="D904">
        <v>1770000</v>
      </c>
    </row>
    <row r="905" spans="1:4" x14ac:dyDescent="0.2">
      <c r="A905">
        <v>1928</v>
      </c>
      <c r="B905" s="1" t="s">
        <v>25</v>
      </c>
      <c r="C905" t="s">
        <v>5</v>
      </c>
      <c r="D905">
        <v>1687000</v>
      </c>
    </row>
    <row r="906" spans="1:4" x14ac:dyDescent="0.2">
      <c r="A906">
        <v>1928</v>
      </c>
      <c r="B906" s="1" t="s">
        <v>24</v>
      </c>
      <c r="C906" t="s">
        <v>12</v>
      </c>
      <c r="D906">
        <v>1689000</v>
      </c>
    </row>
    <row r="907" spans="1:4" x14ac:dyDescent="0.2">
      <c r="A907">
        <v>1928</v>
      </c>
      <c r="B907" s="1" t="s">
        <v>25</v>
      </c>
      <c r="C907" t="s">
        <v>12</v>
      </c>
      <c r="D907">
        <v>1498000</v>
      </c>
    </row>
    <row r="908" spans="1:4" x14ac:dyDescent="0.2">
      <c r="A908">
        <v>1928</v>
      </c>
      <c r="B908" s="1" t="s">
        <v>24</v>
      </c>
      <c r="C908" t="s">
        <v>13</v>
      </c>
      <c r="D908">
        <v>1591000</v>
      </c>
    </row>
    <row r="909" spans="1:4" x14ac:dyDescent="0.2">
      <c r="A909">
        <v>1928</v>
      </c>
      <c r="B909" s="1" t="s">
        <v>25</v>
      </c>
      <c r="C909" t="s">
        <v>13</v>
      </c>
      <c r="D909">
        <v>1354000</v>
      </c>
    </row>
    <row r="910" spans="1:4" x14ac:dyDescent="0.2">
      <c r="A910">
        <v>1928</v>
      </c>
      <c r="B910" s="1" t="s">
        <v>24</v>
      </c>
      <c r="C910" t="s">
        <v>14</v>
      </c>
      <c r="D910">
        <v>1491000</v>
      </c>
    </row>
    <row r="911" spans="1:4" x14ac:dyDescent="0.2">
      <c r="A911">
        <v>1928</v>
      </c>
      <c r="B911" s="1" t="s">
        <v>25</v>
      </c>
      <c r="C911" t="s">
        <v>14</v>
      </c>
      <c r="D911">
        <v>1263000</v>
      </c>
    </row>
    <row r="912" spans="1:4" x14ac:dyDescent="0.2">
      <c r="A912">
        <v>1928</v>
      </c>
      <c r="B912" s="1" t="s">
        <v>24</v>
      </c>
      <c r="C912" t="s">
        <v>15</v>
      </c>
      <c r="D912">
        <v>1411000</v>
      </c>
    </row>
    <row r="913" spans="1:4" x14ac:dyDescent="0.2">
      <c r="A913">
        <v>1928</v>
      </c>
      <c r="B913" s="1" t="s">
        <v>25</v>
      </c>
      <c r="C913" t="s">
        <v>15</v>
      </c>
      <c r="D913">
        <v>1221000</v>
      </c>
    </row>
    <row r="914" spans="1:4" x14ac:dyDescent="0.2">
      <c r="A914">
        <v>1928</v>
      </c>
      <c r="B914" s="1" t="s">
        <v>24</v>
      </c>
      <c r="C914" t="s">
        <v>16</v>
      </c>
      <c r="D914">
        <v>1365000</v>
      </c>
    </row>
    <row r="915" spans="1:4" x14ac:dyDescent="0.2">
      <c r="A915">
        <v>1928</v>
      </c>
      <c r="B915" s="1" t="s">
        <v>25</v>
      </c>
      <c r="C915" t="s">
        <v>16</v>
      </c>
      <c r="D915">
        <v>1192000</v>
      </c>
    </row>
    <row r="916" spans="1:4" x14ac:dyDescent="0.2">
      <c r="A916">
        <v>1928</v>
      </c>
      <c r="B916" s="1" t="s">
        <v>24</v>
      </c>
      <c r="C916" t="s">
        <v>17</v>
      </c>
      <c r="D916">
        <v>1198000</v>
      </c>
    </row>
    <row r="917" spans="1:4" x14ac:dyDescent="0.2">
      <c r="A917">
        <v>1928</v>
      </c>
      <c r="B917" s="1" t="s">
        <v>25</v>
      </c>
      <c r="C917" t="s">
        <v>17</v>
      </c>
      <c r="D917">
        <v>1102000</v>
      </c>
    </row>
    <row r="918" spans="1:4" x14ac:dyDescent="0.2">
      <c r="A918">
        <v>1928</v>
      </c>
      <c r="B918" s="1" t="s">
        <v>24</v>
      </c>
      <c r="C918" t="s">
        <v>18</v>
      </c>
      <c r="D918">
        <v>1024000</v>
      </c>
    </row>
    <row r="919" spans="1:4" x14ac:dyDescent="0.2">
      <c r="A919">
        <v>1928</v>
      </c>
      <c r="B919" s="1" t="s">
        <v>25</v>
      </c>
      <c r="C919" t="s">
        <v>18</v>
      </c>
      <c r="D919">
        <v>932000</v>
      </c>
    </row>
    <row r="920" spans="1:4" x14ac:dyDescent="0.2">
      <c r="A920">
        <v>1928</v>
      </c>
      <c r="B920" s="1" t="s">
        <v>24</v>
      </c>
      <c r="C920" t="s">
        <v>19</v>
      </c>
      <c r="D920">
        <v>804000</v>
      </c>
    </row>
    <row r="921" spans="1:4" x14ac:dyDescent="0.2">
      <c r="A921">
        <v>1928</v>
      </c>
      <c r="B921" s="1" t="s">
        <v>25</v>
      </c>
      <c r="C921" t="s">
        <v>19</v>
      </c>
      <c r="D921">
        <v>717000</v>
      </c>
    </row>
    <row r="922" spans="1:4" x14ac:dyDescent="0.2">
      <c r="A922">
        <v>1928</v>
      </c>
      <c r="B922" s="1" t="s">
        <v>24</v>
      </c>
      <c r="C922" t="s">
        <v>20</v>
      </c>
      <c r="D922">
        <v>643000</v>
      </c>
    </row>
    <row r="923" spans="1:4" x14ac:dyDescent="0.2">
      <c r="A923">
        <v>1928</v>
      </c>
      <c r="B923" s="1" t="s">
        <v>25</v>
      </c>
      <c r="C923" t="s">
        <v>20</v>
      </c>
      <c r="D923">
        <v>536000</v>
      </c>
    </row>
    <row r="924" spans="1:4" x14ac:dyDescent="0.2">
      <c r="A924">
        <v>1928</v>
      </c>
      <c r="B924" s="1" t="s">
        <v>24</v>
      </c>
      <c r="C924" t="s">
        <v>21</v>
      </c>
      <c r="D924">
        <v>455000</v>
      </c>
    </row>
    <row r="925" spans="1:4" x14ac:dyDescent="0.2">
      <c r="A925">
        <v>1928</v>
      </c>
      <c r="B925" s="1" t="s">
        <v>25</v>
      </c>
      <c r="C925" t="s">
        <v>21</v>
      </c>
      <c r="D925">
        <v>349000</v>
      </c>
    </row>
    <row r="926" spans="1:4" x14ac:dyDescent="0.2">
      <c r="A926">
        <v>1928</v>
      </c>
      <c r="B926" s="1" t="s">
        <v>24</v>
      </c>
      <c r="C926" t="s">
        <v>22</v>
      </c>
      <c r="D926">
        <v>282000</v>
      </c>
    </row>
    <row r="927" spans="1:4" x14ac:dyDescent="0.2">
      <c r="A927">
        <v>1928</v>
      </c>
      <c r="B927" s="1" t="s">
        <v>25</v>
      </c>
      <c r="C927" t="s">
        <v>22</v>
      </c>
      <c r="D927">
        <v>191000</v>
      </c>
    </row>
    <row r="928" spans="1:4" x14ac:dyDescent="0.2">
      <c r="A928">
        <v>1928</v>
      </c>
      <c r="B928" s="1" t="s">
        <v>24</v>
      </c>
      <c r="C928" t="s">
        <v>30</v>
      </c>
      <c r="D928">
        <v>201000</v>
      </c>
    </row>
    <row r="929" spans="1:4" x14ac:dyDescent="0.2">
      <c r="A929">
        <v>1928</v>
      </c>
      <c r="B929" s="1" t="s">
        <v>25</v>
      </c>
      <c r="C929" t="s">
        <v>30</v>
      </c>
      <c r="D929">
        <v>113000</v>
      </c>
    </row>
    <row r="930" spans="1:4" x14ac:dyDescent="0.2">
      <c r="A930">
        <v>1929</v>
      </c>
      <c r="B930" s="1" t="s">
        <v>24</v>
      </c>
      <c r="C930" s="1" t="s">
        <v>29</v>
      </c>
      <c r="D930">
        <v>304000</v>
      </c>
    </row>
    <row r="931" spans="1:4" x14ac:dyDescent="0.2">
      <c r="A931">
        <v>1929</v>
      </c>
      <c r="B931" s="1" t="s">
        <v>25</v>
      </c>
      <c r="C931" s="1" t="s">
        <v>29</v>
      </c>
      <c r="D931">
        <v>312000</v>
      </c>
    </row>
    <row r="932" spans="1:4" x14ac:dyDescent="0.2">
      <c r="A932">
        <v>1929</v>
      </c>
      <c r="B932" s="1" t="s">
        <v>24</v>
      </c>
      <c r="C932" s="2" t="s">
        <v>26</v>
      </c>
      <c r="D932">
        <v>1235000</v>
      </c>
    </row>
    <row r="933" spans="1:4" x14ac:dyDescent="0.2">
      <c r="A933">
        <v>1929</v>
      </c>
      <c r="B933" s="1" t="s">
        <v>25</v>
      </c>
      <c r="C933" s="2" t="s">
        <v>26</v>
      </c>
      <c r="D933">
        <v>1263000</v>
      </c>
    </row>
    <row r="934" spans="1:4" x14ac:dyDescent="0.2">
      <c r="A934">
        <v>1929</v>
      </c>
      <c r="B934" s="1" t="s">
        <v>24</v>
      </c>
      <c r="C934" s="2" t="s">
        <v>27</v>
      </c>
      <c r="D934">
        <v>1786000</v>
      </c>
    </row>
    <row r="935" spans="1:4" x14ac:dyDescent="0.2">
      <c r="A935">
        <v>1929</v>
      </c>
      <c r="B935" s="1" t="s">
        <v>25</v>
      </c>
      <c r="C935" s="2" t="s">
        <v>27</v>
      </c>
      <c r="D935">
        <v>1824000</v>
      </c>
    </row>
    <row r="936" spans="1:4" x14ac:dyDescent="0.2">
      <c r="A936">
        <v>1929</v>
      </c>
      <c r="B936" s="1" t="s">
        <v>24</v>
      </c>
      <c r="C936" s="3" t="s">
        <v>28</v>
      </c>
      <c r="D936">
        <v>1490000</v>
      </c>
    </row>
    <row r="937" spans="1:4" x14ac:dyDescent="0.2">
      <c r="A937">
        <v>1929</v>
      </c>
      <c r="B937" s="1" t="s">
        <v>25</v>
      </c>
      <c r="C937" s="3" t="s">
        <v>28</v>
      </c>
      <c r="D937">
        <v>1511000</v>
      </c>
    </row>
    <row r="938" spans="1:4" x14ac:dyDescent="0.2">
      <c r="A938">
        <v>1929</v>
      </c>
      <c r="B938" s="1" t="s">
        <v>24</v>
      </c>
      <c r="C938" t="s">
        <v>4</v>
      </c>
      <c r="D938">
        <v>1760000</v>
      </c>
    </row>
    <row r="939" spans="1:4" x14ac:dyDescent="0.2">
      <c r="A939">
        <v>1929</v>
      </c>
      <c r="B939" s="1" t="s">
        <v>25</v>
      </c>
      <c r="C939" t="s">
        <v>4</v>
      </c>
      <c r="D939">
        <v>1746000</v>
      </c>
    </row>
    <row r="940" spans="1:4" x14ac:dyDescent="0.2">
      <c r="A940">
        <v>1929</v>
      </c>
      <c r="B940" s="1" t="s">
        <v>24</v>
      </c>
      <c r="C940" t="s">
        <v>5</v>
      </c>
      <c r="D940">
        <v>1785000</v>
      </c>
    </row>
    <row r="941" spans="1:4" x14ac:dyDescent="0.2">
      <c r="A941">
        <v>1929</v>
      </c>
      <c r="B941" s="1" t="s">
        <v>25</v>
      </c>
      <c r="C941" t="s">
        <v>5</v>
      </c>
      <c r="D941">
        <v>1710000</v>
      </c>
    </row>
    <row r="942" spans="1:4" x14ac:dyDescent="0.2">
      <c r="A942">
        <v>1929</v>
      </c>
      <c r="B942" s="1" t="s">
        <v>24</v>
      </c>
      <c r="C942" t="s">
        <v>12</v>
      </c>
      <c r="D942">
        <v>1703000</v>
      </c>
    </row>
    <row r="943" spans="1:4" x14ac:dyDescent="0.2">
      <c r="A943">
        <v>1929</v>
      </c>
      <c r="B943" s="1" t="s">
        <v>25</v>
      </c>
      <c r="C943" t="s">
        <v>12</v>
      </c>
      <c r="D943">
        <v>1550000</v>
      </c>
    </row>
    <row r="944" spans="1:4" x14ac:dyDescent="0.2">
      <c r="A944">
        <v>1929</v>
      </c>
      <c r="B944" s="1" t="s">
        <v>24</v>
      </c>
      <c r="C944" t="s">
        <v>13</v>
      </c>
      <c r="D944">
        <v>1599000</v>
      </c>
    </row>
    <row r="945" spans="1:4" x14ac:dyDescent="0.2">
      <c r="A945">
        <v>1929</v>
      </c>
      <c r="B945" s="1" t="s">
        <v>25</v>
      </c>
      <c r="C945" t="s">
        <v>13</v>
      </c>
      <c r="D945">
        <v>1369000</v>
      </c>
    </row>
    <row r="946" spans="1:4" x14ac:dyDescent="0.2">
      <c r="A946">
        <v>1929</v>
      </c>
      <c r="B946" s="1" t="s">
        <v>24</v>
      </c>
      <c r="C946" t="s">
        <v>14</v>
      </c>
      <c r="D946">
        <v>1497000</v>
      </c>
    </row>
    <row r="947" spans="1:4" x14ac:dyDescent="0.2">
      <c r="A947">
        <v>1929</v>
      </c>
      <c r="B947" s="1" t="s">
        <v>25</v>
      </c>
      <c r="C947" t="s">
        <v>14</v>
      </c>
      <c r="D947">
        <v>1268000</v>
      </c>
    </row>
    <row r="948" spans="1:4" x14ac:dyDescent="0.2">
      <c r="A948">
        <v>1929</v>
      </c>
      <c r="B948" s="1" t="s">
        <v>24</v>
      </c>
      <c r="C948" t="s">
        <v>15</v>
      </c>
      <c r="D948">
        <v>1426000</v>
      </c>
    </row>
    <row r="949" spans="1:4" x14ac:dyDescent="0.2">
      <c r="A949">
        <v>1929</v>
      </c>
      <c r="B949" s="1" t="s">
        <v>25</v>
      </c>
      <c r="C949" t="s">
        <v>15</v>
      </c>
      <c r="D949">
        <v>1226000</v>
      </c>
    </row>
    <row r="950" spans="1:4" x14ac:dyDescent="0.2">
      <c r="A950">
        <v>1929</v>
      </c>
      <c r="B950" s="1" t="s">
        <v>24</v>
      </c>
      <c r="C950" t="s">
        <v>16</v>
      </c>
      <c r="D950">
        <v>1356000</v>
      </c>
    </row>
    <row r="951" spans="1:4" x14ac:dyDescent="0.2">
      <c r="A951">
        <v>1929</v>
      </c>
      <c r="B951" s="1" t="s">
        <v>25</v>
      </c>
      <c r="C951" t="s">
        <v>16</v>
      </c>
      <c r="D951">
        <v>1181000</v>
      </c>
    </row>
    <row r="952" spans="1:4" x14ac:dyDescent="0.2">
      <c r="A952">
        <v>1929</v>
      </c>
      <c r="B952" s="1" t="s">
        <v>24</v>
      </c>
      <c r="C952" t="s">
        <v>17</v>
      </c>
      <c r="D952">
        <v>1226000</v>
      </c>
    </row>
    <row r="953" spans="1:4" x14ac:dyDescent="0.2">
      <c r="A953">
        <v>1929</v>
      </c>
      <c r="B953" s="1" t="s">
        <v>25</v>
      </c>
      <c r="C953" t="s">
        <v>17</v>
      </c>
      <c r="D953">
        <v>1107000</v>
      </c>
    </row>
    <row r="954" spans="1:4" x14ac:dyDescent="0.2">
      <c r="A954">
        <v>1929</v>
      </c>
      <c r="B954" s="1" t="s">
        <v>24</v>
      </c>
      <c r="C954" t="s">
        <v>18</v>
      </c>
      <c r="D954">
        <v>1040000</v>
      </c>
    </row>
    <row r="955" spans="1:4" x14ac:dyDescent="0.2">
      <c r="A955">
        <v>1929</v>
      </c>
      <c r="B955" s="1" t="s">
        <v>25</v>
      </c>
      <c r="C955" t="s">
        <v>18</v>
      </c>
      <c r="D955">
        <v>949000</v>
      </c>
    </row>
    <row r="956" spans="1:4" x14ac:dyDescent="0.2">
      <c r="A956">
        <v>1929</v>
      </c>
      <c r="B956" s="1" t="s">
        <v>24</v>
      </c>
      <c r="C956" t="s">
        <v>19</v>
      </c>
      <c r="D956">
        <v>831000</v>
      </c>
    </row>
    <row r="957" spans="1:4" x14ac:dyDescent="0.2">
      <c r="A957">
        <v>1929</v>
      </c>
      <c r="B957" s="1" t="s">
        <v>25</v>
      </c>
      <c r="C957" t="s">
        <v>19</v>
      </c>
      <c r="D957">
        <v>739000</v>
      </c>
    </row>
    <row r="958" spans="1:4" x14ac:dyDescent="0.2">
      <c r="A958">
        <v>1929</v>
      </c>
      <c r="B958" s="1" t="s">
        <v>24</v>
      </c>
      <c r="C958" t="s">
        <v>20</v>
      </c>
      <c r="D958">
        <v>656000</v>
      </c>
    </row>
    <row r="959" spans="1:4" x14ac:dyDescent="0.2">
      <c r="A959">
        <v>1929</v>
      </c>
      <c r="B959" s="1" t="s">
        <v>25</v>
      </c>
      <c r="C959" t="s">
        <v>20</v>
      </c>
      <c r="D959">
        <v>547000</v>
      </c>
    </row>
    <row r="960" spans="1:4" x14ac:dyDescent="0.2">
      <c r="A960">
        <v>1929</v>
      </c>
      <c r="B960" s="1" t="s">
        <v>24</v>
      </c>
      <c r="C960" t="s">
        <v>21</v>
      </c>
      <c r="D960">
        <v>466000</v>
      </c>
    </row>
    <row r="961" spans="1:4" x14ac:dyDescent="0.2">
      <c r="A961">
        <v>1929</v>
      </c>
      <c r="B961" s="1" t="s">
        <v>25</v>
      </c>
      <c r="C961" t="s">
        <v>21</v>
      </c>
      <c r="D961">
        <v>357000</v>
      </c>
    </row>
    <row r="962" spans="1:4" x14ac:dyDescent="0.2">
      <c r="A962">
        <v>1929</v>
      </c>
      <c r="B962" s="1" t="s">
        <v>24</v>
      </c>
      <c r="C962" t="s">
        <v>22</v>
      </c>
      <c r="D962">
        <v>278000</v>
      </c>
    </row>
    <row r="963" spans="1:4" x14ac:dyDescent="0.2">
      <c r="A963">
        <v>1929</v>
      </c>
      <c r="B963" s="1" t="s">
        <v>25</v>
      </c>
      <c r="C963" t="s">
        <v>22</v>
      </c>
      <c r="D963">
        <v>189000</v>
      </c>
    </row>
    <row r="964" spans="1:4" x14ac:dyDescent="0.2">
      <c r="A964">
        <v>1929</v>
      </c>
      <c r="B964" s="1" t="s">
        <v>24</v>
      </c>
      <c r="C964" t="s">
        <v>30</v>
      </c>
      <c r="D964">
        <v>201000</v>
      </c>
    </row>
    <row r="965" spans="1:4" x14ac:dyDescent="0.2">
      <c r="A965">
        <v>1929</v>
      </c>
      <c r="B965" s="1" t="s">
        <v>25</v>
      </c>
      <c r="C965" t="s">
        <v>30</v>
      </c>
      <c r="D965">
        <v>113000</v>
      </c>
    </row>
    <row r="966" spans="1:4" x14ac:dyDescent="0.2">
      <c r="A966">
        <v>1930</v>
      </c>
      <c r="B966" s="1" t="s">
        <v>24</v>
      </c>
      <c r="C966" s="1" t="s">
        <v>29</v>
      </c>
      <c r="D966">
        <v>303000</v>
      </c>
    </row>
    <row r="967" spans="1:4" x14ac:dyDescent="0.2">
      <c r="A967">
        <v>1930</v>
      </c>
      <c r="B967" s="1" t="s">
        <v>25</v>
      </c>
      <c r="C967" s="1" t="s">
        <v>29</v>
      </c>
      <c r="D967">
        <v>309000</v>
      </c>
    </row>
    <row r="968" spans="1:4" x14ac:dyDescent="0.2">
      <c r="A968">
        <v>1930</v>
      </c>
      <c r="B968" s="1" t="s">
        <v>24</v>
      </c>
      <c r="C968" s="2" t="s">
        <v>26</v>
      </c>
      <c r="D968">
        <v>1208000</v>
      </c>
    </row>
    <row r="969" spans="1:4" x14ac:dyDescent="0.2">
      <c r="A969">
        <v>1930</v>
      </c>
      <c r="B969" s="1" t="s">
        <v>25</v>
      </c>
      <c r="C969" s="2" t="s">
        <v>26</v>
      </c>
      <c r="D969">
        <v>1236000</v>
      </c>
    </row>
    <row r="970" spans="1:4" x14ac:dyDescent="0.2">
      <c r="A970">
        <v>1930</v>
      </c>
      <c r="B970" s="1" t="s">
        <v>24</v>
      </c>
      <c r="C970" s="2" t="s">
        <v>27</v>
      </c>
      <c r="D970">
        <v>1697000</v>
      </c>
    </row>
    <row r="971" spans="1:4" x14ac:dyDescent="0.2">
      <c r="A971">
        <v>1930</v>
      </c>
      <c r="B971" s="1" t="s">
        <v>25</v>
      </c>
      <c r="C971" s="2" t="s">
        <v>27</v>
      </c>
      <c r="D971">
        <v>1734000</v>
      </c>
    </row>
    <row r="972" spans="1:4" x14ac:dyDescent="0.2">
      <c r="A972">
        <v>1930</v>
      </c>
      <c r="B972" s="1" t="s">
        <v>24</v>
      </c>
      <c r="C972" s="3" t="s">
        <v>28</v>
      </c>
      <c r="D972">
        <v>1544000</v>
      </c>
    </row>
    <row r="973" spans="1:4" x14ac:dyDescent="0.2">
      <c r="A973">
        <v>1930</v>
      </c>
      <c r="B973" s="1" t="s">
        <v>25</v>
      </c>
      <c r="C973" s="3" t="s">
        <v>28</v>
      </c>
      <c r="D973">
        <v>1576000</v>
      </c>
    </row>
    <row r="974" spans="1:4" x14ac:dyDescent="0.2">
      <c r="A974">
        <v>1930</v>
      </c>
      <c r="B974" s="1" t="s">
        <v>24</v>
      </c>
      <c r="C974" t="s">
        <v>4</v>
      </c>
      <c r="D974">
        <v>1746000</v>
      </c>
    </row>
    <row r="975" spans="1:4" x14ac:dyDescent="0.2">
      <c r="A975">
        <v>1930</v>
      </c>
      <c r="B975" s="1" t="s">
        <v>25</v>
      </c>
      <c r="C975" t="s">
        <v>4</v>
      </c>
      <c r="D975">
        <v>1732000</v>
      </c>
    </row>
    <row r="976" spans="1:4" x14ac:dyDescent="0.2">
      <c r="A976">
        <v>1930</v>
      </c>
      <c r="B976" s="1" t="s">
        <v>24</v>
      </c>
      <c r="C976" t="s">
        <v>5</v>
      </c>
      <c r="D976">
        <v>1786000</v>
      </c>
    </row>
    <row r="977" spans="1:4" x14ac:dyDescent="0.2">
      <c r="A977">
        <v>1930</v>
      </c>
      <c r="B977" s="1" t="s">
        <v>25</v>
      </c>
      <c r="C977" t="s">
        <v>5</v>
      </c>
      <c r="D977">
        <v>1714000</v>
      </c>
    </row>
    <row r="978" spans="1:4" x14ac:dyDescent="0.2">
      <c r="A978">
        <v>1930</v>
      </c>
      <c r="B978" s="1" t="s">
        <v>24</v>
      </c>
      <c r="C978" t="s">
        <v>12</v>
      </c>
      <c r="D978">
        <v>1713000</v>
      </c>
    </row>
    <row r="979" spans="1:4" x14ac:dyDescent="0.2">
      <c r="A979">
        <v>1930</v>
      </c>
      <c r="B979" s="1" t="s">
        <v>25</v>
      </c>
      <c r="C979" t="s">
        <v>12</v>
      </c>
      <c r="D979">
        <v>1596000</v>
      </c>
    </row>
    <row r="980" spans="1:4" x14ac:dyDescent="0.2">
      <c r="A980">
        <v>1930</v>
      </c>
      <c r="B980" s="1" t="s">
        <v>24</v>
      </c>
      <c r="C980" t="s">
        <v>13</v>
      </c>
      <c r="D980">
        <v>1612000</v>
      </c>
    </row>
    <row r="981" spans="1:4" x14ac:dyDescent="0.2">
      <c r="A981">
        <v>1930</v>
      </c>
      <c r="B981" s="1" t="s">
        <v>25</v>
      </c>
      <c r="C981" t="s">
        <v>13</v>
      </c>
      <c r="D981">
        <v>1405000</v>
      </c>
    </row>
    <row r="982" spans="1:4" x14ac:dyDescent="0.2">
      <c r="A982">
        <v>1930</v>
      </c>
      <c r="B982" s="1" t="s">
        <v>24</v>
      </c>
      <c r="C982" t="s">
        <v>14</v>
      </c>
      <c r="D982">
        <v>1527000</v>
      </c>
    </row>
    <row r="983" spans="1:4" x14ac:dyDescent="0.2">
      <c r="A983">
        <v>1930</v>
      </c>
      <c r="B983" s="1" t="s">
        <v>25</v>
      </c>
      <c r="C983" t="s">
        <v>14</v>
      </c>
      <c r="D983">
        <v>1287000</v>
      </c>
    </row>
    <row r="984" spans="1:4" x14ac:dyDescent="0.2">
      <c r="A984">
        <v>1930</v>
      </c>
      <c r="B984" s="1" t="s">
        <v>24</v>
      </c>
      <c r="C984" t="s">
        <v>15</v>
      </c>
      <c r="D984">
        <v>1412000</v>
      </c>
    </row>
    <row r="985" spans="1:4" x14ac:dyDescent="0.2">
      <c r="A985">
        <v>1930</v>
      </c>
      <c r="B985" s="1" t="s">
        <v>25</v>
      </c>
      <c r="C985" t="s">
        <v>15</v>
      </c>
      <c r="D985">
        <v>1217000</v>
      </c>
    </row>
    <row r="986" spans="1:4" x14ac:dyDescent="0.2">
      <c r="A986">
        <v>1930</v>
      </c>
      <c r="B986" s="1" t="s">
        <v>24</v>
      </c>
      <c r="C986" t="s">
        <v>16</v>
      </c>
      <c r="D986">
        <v>1380000</v>
      </c>
    </row>
    <row r="987" spans="1:4" x14ac:dyDescent="0.2">
      <c r="A987">
        <v>1930</v>
      </c>
      <c r="B987" s="1" t="s">
        <v>25</v>
      </c>
      <c r="C987" t="s">
        <v>16</v>
      </c>
      <c r="D987">
        <v>1191000</v>
      </c>
    </row>
    <row r="988" spans="1:4" x14ac:dyDescent="0.2">
      <c r="A988">
        <v>1930</v>
      </c>
      <c r="B988" s="1" t="s">
        <v>24</v>
      </c>
      <c r="C988" t="s">
        <v>17</v>
      </c>
      <c r="D988">
        <v>1230000</v>
      </c>
    </row>
    <row r="989" spans="1:4" x14ac:dyDescent="0.2">
      <c r="A989">
        <v>1930</v>
      </c>
      <c r="B989" s="1" t="s">
        <v>25</v>
      </c>
      <c r="C989" t="s">
        <v>17</v>
      </c>
      <c r="D989">
        <v>1106000</v>
      </c>
    </row>
    <row r="990" spans="1:4" x14ac:dyDescent="0.2">
      <c r="A990">
        <v>1930</v>
      </c>
      <c r="B990" s="1" t="s">
        <v>24</v>
      </c>
      <c r="C990" t="s">
        <v>18</v>
      </c>
      <c r="D990">
        <v>1079000</v>
      </c>
    </row>
    <row r="991" spans="1:4" x14ac:dyDescent="0.2">
      <c r="A991">
        <v>1930</v>
      </c>
      <c r="B991" s="1" t="s">
        <v>25</v>
      </c>
      <c r="C991" t="s">
        <v>18</v>
      </c>
      <c r="D991">
        <v>974000</v>
      </c>
    </row>
    <row r="992" spans="1:4" x14ac:dyDescent="0.2">
      <c r="A992">
        <v>1930</v>
      </c>
      <c r="B992" s="1" t="s">
        <v>24</v>
      </c>
      <c r="C992" t="s">
        <v>19</v>
      </c>
      <c r="D992">
        <v>834000</v>
      </c>
    </row>
    <row r="993" spans="1:4" x14ac:dyDescent="0.2">
      <c r="A993">
        <v>1930</v>
      </c>
      <c r="B993" s="1" t="s">
        <v>25</v>
      </c>
      <c r="C993" t="s">
        <v>19</v>
      </c>
      <c r="D993">
        <v>745000</v>
      </c>
    </row>
    <row r="994" spans="1:4" x14ac:dyDescent="0.2">
      <c r="A994">
        <v>1930</v>
      </c>
      <c r="B994" s="1" t="s">
        <v>24</v>
      </c>
      <c r="C994" t="s">
        <v>20</v>
      </c>
      <c r="D994">
        <v>693000</v>
      </c>
    </row>
    <row r="995" spans="1:4" x14ac:dyDescent="0.2">
      <c r="A995">
        <v>1930</v>
      </c>
      <c r="B995" s="1" t="s">
        <v>25</v>
      </c>
      <c r="C995" t="s">
        <v>20</v>
      </c>
      <c r="D995">
        <v>578000</v>
      </c>
    </row>
    <row r="996" spans="1:4" x14ac:dyDescent="0.2">
      <c r="A996">
        <v>1930</v>
      </c>
      <c r="B996" s="1" t="s">
        <v>24</v>
      </c>
      <c r="C996" t="s">
        <v>21</v>
      </c>
      <c r="D996">
        <v>470000</v>
      </c>
    </row>
    <row r="997" spans="1:4" x14ac:dyDescent="0.2">
      <c r="A997">
        <v>1930</v>
      </c>
      <c r="B997" s="1" t="s">
        <v>25</v>
      </c>
      <c r="C997" t="s">
        <v>21</v>
      </c>
      <c r="D997">
        <v>362000</v>
      </c>
    </row>
    <row r="998" spans="1:4" x14ac:dyDescent="0.2">
      <c r="A998">
        <v>1930</v>
      </c>
      <c r="B998" s="1" t="s">
        <v>24</v>
      </c>
      <c r="C998" t="s">
        <v>22</v>
      </c>
      <c r="D998">
        <v>293000</v>
      </c>
    </row>
    <row r="999" spans="1:4" x14ac:dyDescent="0.2">
      <c r="A999">
        <v>1930</v>
      </c>
      <c r="B999" s="1" t="s">
        <v>25</v>
      </c>
      <c r="C999" t="s">
        <v>22</v>
      </c>
      <c r="D999">
        <v>199000</v>
      </c>
    </row>
    <row r="1000" spans="1:4" x14ac:dyDescent="0.2">
      <c r="A1000">
        <v>1930</v>
      </c>
      <c r="B1000" s="1" t="s">
        <v>24</v>
      </c>
      <c r="C1000" t="s">
        <v>30</v>
      </c>
      <c r="D1000">
        <v>202000</v>
      </c>
    </row>
    <row r="1001" spans="1:4" x14ac:dyDescent="0.2">
      <c r="A1001">
        <v>1930</v>
      </c>
      <c r="B1001" s="1" t="s">
        <v>25</v>
      </c>
      <c r="C1001" t="s">
        <v>30</v>
      </c>
      <c r="D1001">
        <v>111000</v>
      </c>
    </row>
    <row r="1002" spans="1:4" x14ac:dyDescent="0.2">
      <c r="A1002">
        <v>1931</v>
      </c>
      <c r="B1002" s="1" t="s">
        <v>24</v>
      </c>
      <c r="C1002" s="1" t="s">
        <v>29</v>
      </c>
      <c r="D1002">
        <v>301200</v>
      </c>
    </row>
    <row r="1003" spans="1:4" x14ac:dyDescent="0.2">
      <c r="A1003">
        <v>1931</v>
      </c>
      <c r="B1003" s="1" t="s">
        <v>25</v>
      </c>
      <c r="C1003" s="1" t="s">
        <v>29</v>
      </c>
      <c r="D1003">
        <v>310900</v>
      </c>
    </row>
    <row r="1004" spans="1:4" x14ac:dyDescent="0.2">
      <c r="A1004">
        <v>1931</v>
      </c>
      <c r="B1004" s="1" t="s">
        <v>24</v>
      </c>
      <c r="C1004" s="2" t="s">
        <v>26</v>
      </c>
      <c r="D1004">
        <v>1187900</v>
      </c>
    </row>
    <row r="1005" spans="1:4" x14ac:dyDescent="0.2">
      <c r="A1005">
        <v>1931</v>
      </c>
      <c r="B1005" s="1" t="s">
        <v>25</v>
      </c>
      <c r="C1005" s="2" t="s">
        <v>26</v>
      </c>
      <c r="D1005">
        <v>1211800</v>
      </c>
    </row>
    <row r="1006" spans="1:4" x14ac:dyDescent="0.2">
      <c r="A1006">
        <v>1931</v>
      </c>
      <c r="B1006" s="1" t="s">
        <v>24</v>
      </c>
      <c r="C1006" s="2" t="s">
        <v>27</v>
      </c>
      <c r="D1006">
        <v>1633900</v>
      </c>
    </row>
    <row r="1007" spans="1:4" x14ac:dyDescent="0.2">
      <c r="A1007">
        <v>1931</v>
      </c>
      <c r="B1007" s="1" t="s">
        <v>25</v>
      </c>
      <c r="C1007" s="2" t="s">
        <v>27</v>
      </c>
      <c r="D1007">
        <v>1664900</v>
      </c>
    </row>
    <row r="1008" spans="1:4" x14ac:dyDescent="0.2">
      <c r="A1008">
        <v>1931</v>
      </c>
      <c r="B1008" s="1" t="s">
        <v>24</v>
      </c>
      <c r="C1008" s="3" t="s">
        <v>28</v>
      </c>
      <c r="D1008">
        <v>1600200</v>
      </c>
    </row>
    <row r="1009" spans="1:4" x14ac:dyDescent="0.2">
      <c r="A1009">
        <v>1931</v>
      </c>
      <c r="B1009" s="1" t="s">
        <v>25</v>
      </c>
      <c r="C1009" s="3" t="s">
        <v>28</v>
      </c>
      <c r="D1009">
        <v>1634800</v>
      </c>
    </row>
    <row r="1010" spans="1:4" x14ac:dyDescent="0.2">
      <c r="A1010">
        <v>1931</v>
      </c>
      <c r="B1010" s="1" t="s">
        <v>24</v>
      </c>
      <c r="C1010" t="s">
        <v>4</v>
      </c>
      <c r="D1010">
        <v>1712500</v>
      </c>
    </row>
    <row r="1011" spans="1:4" x14ac:dyDescent="0.2">
      <c r="A1011">
        <v>1931</v>
      </c>
      <c r="B1011" s="1" t="s">
        <v>25</v>
      </c>
      <c r="C1011" t="s">
        <v>4</v>
      </c>
      <c r="D1011">
        <v>1697700</v>
      </c>
    </row>
    <row r="1012" spans="1:4" x14ac:dyDescent="0.2">
      <c r="A1012">
        <v>1931</v>
      </c>
      <c r="B1012" s="1" t="s">
        <v>24</v>
      </c>
      <c r="C1012" t="s">
        <v>5</v>
      </c>
      <c r="D1012">
        <v>1787000</v>
      </c>
    </row>
    <row r="1013" spans="1:4" x14ac:dyDescent="0.2">
      <c r="A1013">
        <v>1931</v>
      </c>
      <c r="B1013" s="1" t="s">
        <v>25</v>
      </c>
      <c r="C1013" t="s">
        <v>5</v>
      </c>
      <c r="D1013">
        <v>1706200</v>
      </c>
    </row>
    <row r="1014" spans="1:4" x14ac:dyDescent="0.2">
      <c r="A1014">
        <v>1931</v>
      </c>
      <c r="B1014" s="1" t="s">
        <v>24</v>
      </c>
      <c r="C1014" t="s">
        <v>12</v>
      </c>
      <c r="D1014">
        <v>1733500</v>
      </c>
    </row>
    <row r="1015" spans="1:4" x14ac:dyDescent="0.2">
      <c r="A1015">
        <v>1931</v>
      </c>
      <c r="B1015" s="1" t="s">
        <v>25</v>
      </c>
      <c r="C1015" t="s">
        <v>12</v>
      </c>
      <c r="D1015">
        <v>1643600</v>
      </c>
    </row>
    <row r="1016" spans="1:4" x14ac:dyDescent="0.2">
      <c r="A1016">
        <v>1931</v>
      </c>
      <c r="B1016" s="1" t="s">
        <v>24</v>
      </c>
      <c r="C1016" t="s">
        <v>13</v>
      </c>
      <c r="D1016">
        <v>1620200</v>
      </c>
    </row>
    <row r="1017" spans="1:4" x14ac:dyDescent="0.2">
      <c r="A1017">
        <v>1931</v>
      </c>
      <c r="B1017" s="1" t="s">
        <v>25</v>
      </c>
      <c r="C1017" t="s">
        <v>13</v>
      </c>
      <c r="D1017">
        <v>1445500</v>
      </c>
    </row>
    <row r="1018" spans="1:4" x14ac:dyDescent="0.2">
      <c r="A1018">
        <v>1931</v>
      </c>
      <c r="B1018" s="1" t="s">
        <v>24</v>
      </c>
      <c r="C1018" t="s">
        <v>14</v>
      </c>
      <c r="D1018">
        <v>1519300</v>
      </c>
    </row>
    <row r="1019" spans="1:4" x14ac:dyDescent="0.2">
      <c r="A1019">
        <v>1931</v>
      </c>
      <c r="B1019" s="1" t="s">
        <v>25</v>
      </c>
      <c r="C1019" t="s">
        <v>14</v>
      </c>
      <c r="D1019">
        <v>1278700</v>
      </c>
    </row>
    <row r="1020" spans="1:4" x14ac:dyDescent="0.2">
      <c r="A1020">
        <v>1931</v>
      </c>
      <c r="B1020" s="1" t="s">
        <v>24</v>
      </c>
      <c r="C1020" t="s">
        <v>15</v>
      </c>
      <c r="D1020">
        <v>1439900</v>
      </c>
    </row>
    <row r="1021" spans="1:4" x14ac:dyDescent="0.2">
      <c r="A1021">
        <v>1931</v>
      </c>
      <c r="B1021" s="1" t="s">
        <v>25</v>
      </c>
      <c r="C1021" t="s">
        <v>15</v>
      </c>
      <c r="D1021">
        <v>1234300</v>
      </c>
    </row>
    <row r="1022" spans="1:4" x14ac:dyDescent="0.2">
      <c r="A1022">
        <v>1931</v>
      </c>
      <c r="B1022" s="1" t="s">
        <v>24</v>
      </c>
      <c r="C1022" t="s">
        <v>16</v>
      </c>
      <c r="D1022">
        <v>1364700</v>
      </c>
    </row>
    <row r="1023" spans="1:4" x14ac:dyDescent="0.2">
      <c r="A1023">
        <v>1931</v>
      </c>
      <c r="B1023" s="1" t="s">
        <v>25</v>
      </c>
      <c r="C1023" t="s">
        <v>16</v>
      </c>
      <c r="D1023">
        <v>1171700</v>
      </c>
    </row>
    <row r="1024" spans="1:4" x14ac:dyDescent="0.2">
      <c r="A1024">
        <v>1931</v>
      </c>
      <c r="B1024" s="1" t="s">
        <v>24</v>
      </c>
      <c r="C1024" t="s">
        <v>17</v>
      </c>
      <c r="D1024">
        <v>1261200</v>
      </c>
    </row>
    <row r="1025" spans="1:4" x14ac:dyDescent="0.2">
      <c r="A1025">
        <v>1931</v>
      </c>
      <c r="B1025" s="1" t="s">
        <v>25</v>
      </c>
      <c r="C1025" t="s">
        <v>17</v>
      </c>
      <c r="D1025">
        <v>1116100</v>
      </c>
    </row>
    <row r="1026" spans="1:4" x14ac:dyDescent="0.2">
      <c r="A1026">
        <v>1931</v>
      </c>
      <c r="B1026" s="1" t="s">
        <v>24</v>
      </c>
      <c r="C1026" t="s">
        <v>18</v>
      </c>
      <c r="D1026">
        <v>1084300</v>
      </c>
    </row>
    <row r="1027" spans="1:4" x14ac:dyDescent="0.2">
      <c r="A1027">
        <v>1931</v>
      </c>
      <c r="B1027" s="1" t="s">
        <v>25</v>
      </c>
      <c r="C1027" t="s">
        <v>18</v>
      </c>
      <c r="D1027">
        <v>978700</v>
      </c>
    </row>
    <row r="1028" spans="1:4" x14ac:dyDescent="0.2">
      <c r="A1028">
        <v>1931</v>
      </c>
      <c r="B1028" s="1" t="s">
        <v>24</v>
      </c>
      <c r="C1028" t="s">
        <v>19</v>
      </c>
      <c r="D1028">
        <v>887800</v>
      </c>
    </row>
    <row r="1029" spans="1:4" x14ac:dyDescent="0.2">
      <c r="A1029">
        <v>1931</v>
      </c>
      <c r="B1029" s="1" t="s">
        <v>25</v>
      </c>
      <c r="C1029" t="s">
        <v>19</v>
      </c>
      <c r="D1029">
        <v>787600</v>
      </c>
    </row>
    <row r="1030" spans="1:4" x14ac:dyDescent="0.2">
      <c r="A1030">
        <v>1931</v>
      </c>
      <c r="B1030" s="1" t="s">
        <v>24</v>
      </c>
      <c r="C1030" t="s">
        <v>20</v>
      </c>
      <c r="D1030">
        <v>690600</v>
      </c>
    </row>
    <row r="1031" spans="1:4" x14ac:dyDescent="0.2">
      <c r="A1031">
        <v>1931</v>
      </c>
      <c r="B1031" s="1" t="s">
        <v>25</v>
      </c>
      <c r="C1031" t="s">
        <v>20</v>
      </c>
      <c r="D1031">
        <v>576000</v>
      </c>
    </row>
    <row r="1032" spans="1:4" x14ac:dyDescent="0.2">
      <c r="A1032">
        <v>1931</v>
      </c>
      <c r="B1032" s="1" t="s">
        <v>24</v>
      </c>
      <c r="C1032" t="s">
        <v>21</v>
      </c>
      <c r="D1032">
        <v>493900</v>
      </c>
    </row>
    <row r="1033" spans="1:4" x14ac:dyDescent="0.2">
      <c r="A1033">
        <v>1931</v>
      </c>
      <c r="B1033" s="1" t="s">
        <v>25</v>
      </c>
      <c r="C1033" t="s">
        <v>21</v>
      </c>
      <c r="D1033">
        <v>379300</v>
      </c>
    </row>
    <row r="1034" spans="1:4" x14ac:dyDescent="0.2">
      <c r="A1034">
        <v>1931</v>
      </c>
      <c r="B1034" s="1" t="s">
        <v>24</v>
      </c>
      <c r="C1034" t="s">
        <v>22</v>
      </c>
      <c r="D1034">
        <v>299400</v>
      </c>
    </row>
    <row r="1035" spans="1:4" x14ac:dyDescent="0.2">
      <c r="A1035">
        <v>1931</v>
      </c>
      <c r="B1035" s="1" t="s">
        <v>25</v>
      </c>
      <c r="C1035" t="s">
        <v>22</v>
      </c>
      <c r="D1035">
        <v>205900</v>
      </c>
    </row>
    <row r="1036" spans="1:4" x14ac:dyDescent="0.2">
      <c r="A1036">
        <v>1931</v>
      </c>
      <c r="B1036" s="1" t="s">
        <v>24</v>
      </c>
      <c r="C1036" t="s">
        <v>30</v>
      </c>
      <c r="D1036">
        <v>210500</v>
      </c>
    </row>
    <row r="1037" spans="1:4" x14ac:dyDescent="0.2">
      <c r="A1037">
        <v>1931</v>
      </c>
      <c r="B1037" s="1" t="s">
        <v>25</v>
      </c>
      <c r="C1037" t="s">
        <v>30</v>
      </c>
      <c r="D1037">
        <v>116300</v>
      </c>
    </row>
    <row r="1038" spans="1:4" x14ac:dyDescent="0.2">
      <c r="A1038">
        <v>1932</v>
      </c>
      <c r="B1038" s="1" t="s">
        <v>24</v>
      </c>
      <c r="C1038" s="1" t="s">
        <v>29</v>
      </c>
      <c r="D1038">
        <v>292100</v>
      </c>
    </row>
    <row r="1039" spans="1:4" x14ac:dyDescent="0.2">
      <c r="A1039">
        <v>1932</v>
      </c>
      <c r="B1039" s="1" t="s">
        <v>25</v>
      </c>
      <c r="C1039" s="1" t="s">
        <v>29</v>
      </c>
      <c r="D1039">
        <v>302600</v>
      </c>
    </row>
    <row r="1040" spans="1:4" x14ac:dyDescent="0.2">
      <c r="A1040">
        <v>1932</v>
      </c>
      <c r="B1040" s="1" t="s">
        <v>24</v>
      </c>
      <c r="C1040" s="2" t="s">
        <v>26</v>
      </c>
      <c r="D1040">
        <v>1178200</v>
      </c>
    </row>
    <row r="1041" spans="1:4" x14ac:dyDescent="0.2">
      <c r="A1041">
        <v>1932</v>
      </c>
      <c r="B1041" s="1" t="s">
        <v>25</v>
      </c>
      <c r="C1041" s="2" t="s">
        <v>26</v>
      </c>
      <c r="D1041">
        <v>1205200</v>
      </c>
    </row>
    <row r="1042" spans="1:4" x14ac:dyDescent="0.2">
      <c r="A1042">
        <v>1932</v>
      </c>
      <c r="B1042" s="1" t="s">
        <v>24</v>
      </c>
      <c r="C1042" s="2" t="s">
        <v>27</v>
      </c>
      <c r="D1042">
        <v>1578400</v>
      </c>
    </row>
    <row r="1043" spans="1:4" x14ac:dyDescent="0.2">
      <c r="A1043">
        <v>1932</v>
      </c>
      <c r="B1043" s="1" t="s">
        <v>25</v>
      </c>
      <c r="C1043" s="2" t="s">
        <v>27</v>
      </c>
      <c r="D1043">
        <v>1606800</v>
      </c>
    </row>
    <row r="1044" spans="1:4" x14ac:dyDescent="0.2">
      <c r="A1044">
        <v>1932</v>
      </c>
      <c r="B1044" s="1" t="s">
        <v>24</v>
      </c>
      <c r="C1044" s="3" t="s">
        <v>28</v>
      </c>
      <c r="D1044">
        <v>1656200</v>
      </c>
    </row>
    <row r="1045" spans="1:4" x14ac:dyDescent="0.2">
      <c r="A1045">
        <v>1932</v>
      </c>
      <c r="B1045" s="1" t="s">
        <v>25</v>
      </c>
      <c r="C1045" s="3" t="s">
        <v>28</v>
      </c>
      <c r="D1045">
        <v>1692000</v>
      </c>
    </row>
    <row r="1046" spans="1:4" x14ac:dyDescent="0.2">
      <c r="A1046">
        <v>1932</v>
      </c>
      <c r="B1046" s="1" t="s">
        <v>24</v>
      </c>
      <c r="C1046" t="s">
        <v>4</v>
      </c>
      <c r="D1046">
        <v>1659800</v>
      </c>
    </row>
    <row r="1047" spans="1:4" x14ac:dyDescent="0.2">
      <c r="A1047">
        <v>1932</v>
      </c>
      <c r="B1047" s="1" t="s">
        <v>25</v>
      </c>
      <c r="C1047" t="s">
        <v>4</v>
      </c>
      <c r="D1047">
        <v>1653200</v>
      </c>
    </row>
    <row r="1048" spans="1:4" x14ac:dyDescent="0.2">
      <c r="A1048">
        <v>1932</v>
      </c>
      <c r="B1048" s="1" t="s">
        <v>24</v>
      </c>
      <c r="C1048" t="s">
        <v>5</v>
      </c>
      <c r="D1048">
        <v>1780200</v>
      </c>
    </row>
    <row r="1049" spans="1:4" x14ac:dyDescent="0.2">
      <c r="A1049">
        <v>1932</v>
      </c>
      <c r="B1049" s="1" t="s">
        <v>25</v>
      </c>
      <c r="C1049" t="s">
        <v>5</v>
      </c>
      <c r="D1049">
        <v>1706900</v>
      </c>
    </row>
    <row r="1050" spans="1:4" x14ac:dyDescent="0.2">
      <c r="A1050">
        <v>1932</v>
      </c>
      <c r="B1050" s="1" t="s">
        <v>24</v>
      </c>
      <c r="C1050" t="s">
        <v>12</v>
      </c>
      <c r="D1050">
        <v>1751800</v>
      </c>
    </row>
    <row r="1051" spans="1:4" x14ac:dyDescent="0.2">
      <c r="A1051">
        <v>1932</v>
      </c>
      <c r="B1051" s="1" t="s">
        <v>25</v>
      </c>
      <c r="C1051" t="s">
        <v>12</v>
      </c>
      <c r="D1051">
        <v>1663400</v>
      </c>
    </row>
    <row r="1052" spans="1:4" x14ac:dyDescent="0.2">
      <c r="A1052">
        <v>1932</v>
      </c>
      <c r="B1052" s="1" t="s">
        <v>24</v>
      </c>
      <c r="C1052" t="s">
        <v>13</v>
      </c>
      <c r="D1052">
        <v>1641400</v>
      </c>
    </row>
    <row r="1053" spans="1:4" x14ac:dyDescent="0.2">
      <c r="A1053">
        <v>1932</v>
      </c>
      <c r="B1053" s="1" t="s">
        <v>25</v>
      </c>
      <c r="C1053" t="s">
        <v>13</v>
      </c>
      <c r="D1053">
        <v>1512200</v>
      </c>
    </row>
    <row r="1054" spans="1:4" x14ac:dyDescent="0.2">
      <c r="A1054">
        <v>1932</v>
      </c>
      <c r="B1054" s="1" t="s">
        <v>24</v>
      </c>
      <c r="C1054" t="s">
        <v>14</v>
      </c>
      <c r="D1054">
        <v>1532100</v>
      </c>
    </row>
    <row r="1055" spans="1:4" x14ac:dyDescent="0.2">
      <c r="A1055">
        <v>1932</v>
      </c>
      <c r="B1055" s="1" t="s">
        <v>25</v>
      </c>
      <c r="C1055" t="s">
        <v>14</v>
      </c>
      <c r="D1055">
        <v>1289200</v>
      </c>
    </row>
    <row r="1056" spans="1:4" x14ac:dyDescent="0.2">
      <c r="A1056">
        <v>1932</v>
      </c>
      <c r="B1056" s="1" t="s">
        <v>24</v>
      </c>
      <c r="C1056" t="s">
        <v>15</v>
      </c>
      <c r="D1056">
        <v>1448100</v>
      </c>
    </row>
    <row r="1057" spans="1:4" x14ac:dyDescent="0.2">
      <c r="A1057">
        <v>1932</v>
      </c>
      <c r="B1057" s="1" t="s">
        <v>25</v>
      </c>
      <c r="C1057" t="s">
        <v>15</v>
      </c>
      <c r="D1057">
        <v>1239100</v>
      </c>
    </row>
    <row r="1058" spans="1:4" x14ac:dyDescent="0.2">
      <c r="A1058">
        <v>1932</v>
      </c>
      <c r="B1058" s="1" t="s">
        <v>24</v>
      </c>
      <c r="C1058" t="s">
        <v>16</v>
      </c>
      <c r="D1058">
        <v>1371700</v>
      </c>
    </row>
    <row r="1059" spans="1:4" x14ac:dyDescent="0.2">
      <c r="A1059">
        <v>1932</v>
      </c>
      <c r="B1059" s="1" t="s">
        <v>25</v>
      </c>
      <c r="C1059" t="s">
        <v>16</v>
      </c>
      <c r="D1059">
        <v>1174500</v>
      </c>
    </row>
    <row r="1060" spans="1:4" x14ac:dyDescent="0.2">
      <c r="A1060">
        <v>1932</v>
      </c>
      <c r="B1060" s="1" t="s">
        <v>24</v>
      </c>
      <c r="C1060" t="s">
        <v>17</v>
      </c>
      <c r="D1060">
        <v>1276700</v>
      </c>
    </row>
    <row r="1061" spans="1:4" x14ac:dyDescent="0.2">
      <c r="A1061">
        <v>1932</v>
      </c>
      <c r="B1061" s="1" t="s">
        <v>25</v>
      </c>
      <c r="C1061" t="s">
        <v>17</v>
      </c>
      <c r="D1061">
        <v>1122200</v>
      </c>
    </row>
    <row r="1062" spans="1:4" x14ac:dyDescent="0.2">
      <c r="A1062">
        <v>1932</v>
      </c>
      <c r="B1062" s="1" t="s">
        <v>24</v>
      </c>
      <c r="C1062" t="s">
        <v>18</v>
      </c>
      <c r="D1062">
        <v>1106500</v>
      </c>
    </row>
    <row r="1063" spans="1:4" x14ac:dyDescent="0.2">
      <c r="A1063">
        <v>1932</v>
      </c>
      <c r="B1063" s="1" t="s">
        <v>25</v>
      </c>
      <c r="C1063" t="s">
        <v>18</v>
      </c>
      <c r="D1063">
        <v>994700</v>
      </c>
    </row>
    <row r="1064" spans="1:4" x14ac:dyDescent="0.2">
      <c r="A1064">
        <v>1932</v>
      </c>
      <c r="B1064" s="1" t="s">
        <v>24</v>
      </c>
      <c r="C1064" t="s">
        <v>19</v>
      </c>
      <c r="D1064">
        <v>907400</v>
      </c>
    </row>
    <row r="1065" spans="1:4" x14ac:dyDescent="0.2">
      <c r="A1065">
        <v>1932</v>
      </c>
      <c r="B1065" s="1" t="s">
        <v>25</v>
      </c>
      <c r="C1065" t="s">
        <v>19</v>
      </c>
      <c r="D1065">
        <v>806200</v>
      </c>
    </row>
    <row r="1066" spans="1:4" x14ac:dyDescent="0.2">
      <c r="A1066">
        <v>1932</v>
      </c>
      <c r="B1066" s="1" t="s">
        <v>24</v>
      </c>
      <c r="C1066" t="s">
        <v>20</v>
      </c>
      <c r="D1066">
        <v>707100</v>
      </c>
    </row>
    <row r="1067" spans="1:4" x14ac:dyDescent="0.2">
      <c r="A1067">
        <v>1932</v>
      </c>
      <c r="B1067" s="1" t="s">
        <v>25</v>
      </c>
      <c r="C1067" t="s">
        <v>20</v>
      </c>
      <c r="D1067">
        <v>591400</v>
      </c>
    </row>
    <row r="1068" spans="1:4" x14ac:dyDescent="0.2">
      <c r="A1068">
        <v>1932</v>
      </c>
      <c r="B1068" s="1" t="s">
        <v>24</v>
      </c>
      <c r="C1068" t="s">
        <v>21</v>
      </c>
      <c r="D1068">
        <v>508500</v>
      </c>
    </row>
    <row r="1069" spans="1:4" x14ac:dyDescent="0.2">
      <c r="A1069">
        <v>1932</v>
      </c>
      <c r="B1069" s="1" t="s">
        <v>25</v>
      </c>
      <c r="C1069" t="s">
        <v>21</v>
      </c>
      <c r="D1069">
        <v>389900</v>
      </c>
    </row>
    <row r="1070" spans="1:4" x14ac:dyDescent="0.2">
      <c r="A1070">
        <v>1932</v>
      </c>
      <c r="B1070" s="1" t="s">
        <v>24</v>
      </c>
      <c r="C1070" t="s">
        <v>22</v>
      </c>
      <c r="D1070">
        <v>308900</v>
      </c>
    </row>
    <row r="1071" spans="1:4" x14ac:dyDescent="0.2">
      <c r="A1071">
        <v>1932</v>
      </c>
      <c r="B1071" s="1" t="s">
        <v>25</v>
      </c>
      <c r="C1071" t="s">
        <v>22</v>
      </c>
      <c r="D1071">
        <v>211300</v>
      </c>
    </row>
    <row r="1072" spans="1:4" x14ac:dyDescent="0.2">
      <c r="A1072">
        <v>1932</v>
      </c>
      <c r="B1072" s="1" t="s">
        <v>24</v>
      </c>
      <c r="C1072" t="s">
        <v>30</v>
      </c>
      <c r="D1072">
        <v>215900</v>
      </c>
    </row>
    <row r="1073" spans="1:4" x14ac:dyDescent="0.2">
      <c r="A1073">
        <v>1932</v>
      </c>
      <c r="B1073" s="1" t="s">
        <v>25</v>
      </c>
      <c r="C1073" t="s">
        <v>30</v>
      </c>
      <c r="D1073">
        <v>119200</v>
      </c>
    </row>
    <row r="1074" spans="1:4" x14ac:dyDescent="0.2">
      <c r="A1074">
        <v>1933</v>
      </c>
      <c r="B1074" s="1" t="s">
        <v>24</v>
      </c>
      <c r="C1074" s="1" t="s">
        <v>29</v>
      </c>
      <c r="D1074">
        <v>279900</v>
      </c>
    </row>
    <row r="1075" spans="1:4" x14ac:dyDescent="0.2">
      <c r="A1075">
        <v>1933</v>
      </c>
      <c r="B1075" s="1" t="s">
        <v>25</v>
      </c>
      <c r="C1075" s="1" t="s">
        <v>29</v>
      </c>
      <c r="D1075">
        <v>289800</v>
      </c>
    </row>
    <row r="1076" spans="1:4" x14ac:dyDescent="0.2">
      <c r="A1076">
        <v>1933</v>
      </c>
      <c r="B1076" s="1" t="s">
        <v>24</v>
      </c>
      <c r="C1076" s="2" t="s">
        <v>26</v>
      </c>
      <c r="D1076">
        <v>1167100</v>
      </c>
    </row>
    <row r="1077" spans="1:4" x14ac:dyDescent="0.2">
      <c r="A1077">
        <v>1933</v>
      </c>
      <c r="B1077" s="1" t="s">
        <v>25</v>
      </c>
      <c r="C1077" s="2" t="s">
        <v>26</v>
      </c>
      <c r="D1077">
        <v>1196800</v>
      </c>
    </row>
    <row r="1078" spans="1:4" x14ac:dyDescent="0.2">
      <c r="A1078">
        <v>1933</v>
      </c>
      <c r="B1078" s="1" t="s">
        <v>24</v>
      </c>
      <c r="C1078" s="2" t="s">
        <v>27</v>
      </c>
      <c r="D1078">
        <v>1538500</v>
      </c>
    </row>
    <row r="1079" spans="1:4" x14ac:dyDescent="0.2">
      <c r="A1079">
        <v>1933</v>
      </c>
      <c r="B1079" s="1" t="s">
        <v>25</v>
      </c>
      <c r="C1079" s="2" t="s">
        <v>27</v>
      </c>
      <c r="D1079">
        <v>1566400</v>
      </c>
    </row>
    <row r="1080" spans="1:4" x14ac:dyDescent="0.2">
      <c r="A1080">
        <v>1933</v>
      </c>
      <c r="B1080" s="1" t="s">
        <v>24</v>
      </c>
      <c r="C1080" s="3" t="s">
        <v>28</v>
      </c>
      <c r="D1080">
        <v>1721200</v>
      </c>
    </row>
    <row r="1081" spans="1:4" x14ac:dyDescent="0.2">
      <c r="A1081">
        <v>1933</v>
      </c>
      <c r="B1081" s="1" t="s">
        <v>25</v>
      </c>
      <c r="C1081" s="3" t="s">
        <v>28</v>
      </c>
      <c r="D1081">
        <v>1757400</v>
      </c>
    </row>
    <row r="1082" spans="1:4" x14ac:dyDescent="0.2">
      <c r="A1082">
        <v>1933</v>
      </c>
      <c r="B1082" s="1" t="s">
        <v>24</v>
      </c>
      <c r="C1082" t="s">
        <v>4</v>
      </c>
      <c r="D1082">
        <v>1573400</v>
      </c>
    </row>
    <row r="1083" spans="1:4" x14ac:dyDescent="0.2">
      <c r="A1083">
        <v>1933</v>
      </c>
      <c r="B1083" s="1" t="s">
        <v>25</v>
      </c>
      <c r="C1083" t="s">
        <v>4</v>
      </c>
      <c r="D1083">
        <v>1571900</v>
      </c>
    </row>
    <row r="1084" spans="1:4" x14ac:dyDescent="0.2">
      <c r="A1084">
        <v>1933</v>
      </c>
      <c r="B1084" s="1" t="s">
        <v>24</v>
      </c>
      <c r="C1084" t="s">
        <v>5</v>
      </c>
      <c r="D1084">
        <v>1769600</v>
      </c>
    </row>
    <row r="1085" spans="1:4" x14ac:dyDescent="0.2">
      <c r="A1085">
        <v>1933</v>
      </c>
      <c r="B1085" s="1" t="s">
        <v>25</v>
      </c>
      <c r="C1085" t="s">
        <v>5</v>
      </c>
      <c r="D1085">
        <v>1699400</v>
      </c>
    </row>
    <row r="1086" spans="1:4" x14ac:dyDescent="0.2">
      <c r="A1086">
        <v>1933</v>
      </c>
      <c r="B1086" s="1" t="s">
        <v>24</v>
      </c>
      <c r="C1086" t="s">
        <v>12</v>
      </c>
      <c r="D1086">
        <v>1769500</v>
      </c>
    </row>
    <row r="1087" spans="1:4" x14ac:dyDescent="0.2">
      <c r="A1087">
        <v>1933</v>
      </c>
      <c r="B1087" s="1" t="s">
        <v>25</v>
      </c>
      <c r="C1087" t="s">
        <v>12</v>
      </c>
      <c r="D1087">
        <v>1680300</v>
      </c>
    </row>
    <row r="1088" spans="1:4" x14ac:dyDescent="0.2">
      <c r="A1088">
        <v>1933</v>
      </c>
      <c r="B1088" s="1" t="s">
        <v>24</v>
      </c>
      <c r="C1088" t="s">
        <v>13</v>
      </c>
      <c r="D1088">
        <v>1663400</v>
      </c>
    </row>
    <row r="1089" spans="1:4" x14ac:dyDescent="0.2">
      <c r="A1089">
        <v>1933</v>
      </c>
      <c r="B1089" s="1" t="s">
        <v>25</v>
      </c>
      <c r="C1089" t="s">
        <v>13</v>
      </c>
      <c r="D1089">
        <v>1570800</v>
      </c>
    </row>
    <row r="1090" spans="1:4" x14ac:dyDescent="0.2">
      <c r="A1090">
        <v>1933</v>
      </c>
      <c r="B1090" s="1" t="s">
        <v>24</v>
      </c>
      <c r="C1090" t="s">
        <v>14</v>
      </c>
      <c r="D1090">
        <v>1545500</v>
      </c>
    </row>
    <row r="1091" spans="1:4" x14ac:dyDescent="0.2">
      <c r="A1091">
        <v>1933</v>
      </c>
      <c r="B1091" s="1" t="s">
        <v>25</v>
      </c>
      <c r="C1091" t="s">
        <v>14</v>
      </c>
      <c r="D1091">
        <v>1301300</v>
      </c>
    </row>
    <row r="1092" spans="1:4" x14ac:dyDescent="0.2">
      <c r="A1092">
        <v>1933</v>
      </c>
      <c r="B1092" s="1" t="s">
        <v>24</v>
      </c>
      <c r="C1092" t="s">
        <v>15</v>
      </c>
      <c r="D1092">
        <v>1456100</v>
      </c>
    </row>
    <row r="1093" spans="1:4" x14ac:dyDescent="0.2">
      <c r="A1093">
        <v>1933</v>
      </c>
      <c r="B1093" s="1" t="s">
        <v>25</v>
      </c>
      <c r="C1093" t="s">
        <v>15</v>
      </c>
      <c r="D1093">
        <v>1240600</v>
      </c>
    </row>
    <row r="1094" spans="1:4" x14ac:dyDescent="0.2">
      <c r="A1094">
        <v>1933</v>
      </c>
      <c r="B1094" s="1" t="s">
        <v>24</v>
      </c>
      <c r="C1094" t="s">
        <v>16</v>
      </c>
      <c r="D1094">
        <v>1378300</v>
      </c>
    </row>
    <row r="1095" spans="1:4" x14ac:dyDescent="0.2">
      <c r="A1095">
        <v>1933</v>
      </c>
      <c r="B1095" s="1" t="s">
        <v>25</v>
      </c>
      <c r="C1095" t="s">
        <v>16</v>
      </c>
      <c r="D1095">
        <v>1178300</v>
      </c>
    </row>
    <row r="1096" spans="1:4" x14ac:dyDescent="0.2">
      <c r="A1096">
        <v>1933</v>
      </c>
      <c r="B1096" s="1" t="s">
        <v>24</v>
      </c>
      <c r="C1096" t="s">
        <v>17</v>
      </c>
      <c r="D1096">
        <v>1288100</v>
      </c>
    </row>
    <row r="1097" spans="1:4" x14ac:dyDescent="0.2">
      <c r="A1097">
        <v>1933</v>
      </c>
      <c r="B1097" s="1" t="s">
        <v>25</v>
      </c>
      <c r="C1097" t="s">
        <v>17</v>
      </c>
      <c r="D1097">
        <v>1124000</v>
      </c>
    </row>
    <row r="1098" spans="1:4" x14ac:dyDescent="0.2">
      <c r="A1098">
        <v>1933</v>
      </c>
      <c r="B1098" s="1" t="s">
        <v>24</v>
      </c>
      <c r="C1098" t="s">
        <v>18</v>
      </c>
      <c r="D1098">
        <v>1128600</v>
      </c>
    </row>
    <row r="1099" spans="1:4" x14ac:dyDescent="0.2">
      <c r="A1099">
        <v>1933</v>
      </c>
      <c r="B1099" s="1" t="s">
        <v>25</v>
      </c>
      <c r="C1099" t="s">
        <v>18</v>
      </c>
      <c r="D1099">
        <v>1008700</v>
      </c>
    </row>
    <row r="1100" spans="1:4" x14ac:dyDescent="0.2">
      <c r="A1100">
        <v>1933</v>
      </c>
      <c r="B1100" s="1" t="s">
        <v>24</v>
      </c>
      <c r="C1100" t="s">
        <v>19</v>
      </c>
      <c r="D1100">
        <v>927900</v>
      </c>
    </row>
    <row r="1101" spans="1:4" x14ac:dyDescent="0.2">
      <c r="A1101">
        <v>1933</v>
      </c>
      <c r="B1101" s="1" t="s">
        <v>25</v>
      </c>
      <c r="C1101" t="s">
        <v>19</v>
      </c>
      <c r="D1101">
        <v>824300</v>
      </c>
    </row>
    <row r="1102" spans="1:4" x14ac:dyDescent="0.2">
      <c r="A1102">
        <v>1933</v>
      </c>
      <c r="B1102" s="1" t="s">
        <v>24</v>
      </c>
      <c r="C1102" t="s">
        <v>20</v>
      </c>
      <c r="D1102">
        <v>725500</v>
      </c>
    </row>
    <row r="1103" spans="1:4" x14ac:dyDescent="0.2">
      <c r="A1103">
        <v>1933</v>
      </c>
      <c r="B1103" s="1" t="s">
        <v>25</v>
      </c>
      <c r="C1103" t="s">
        <v>20</v>
      </c>
      <c r="D1103">
        <v>608200</v>
      </c>
    </row>
    <row r="1104" spans="1:4" x14ac:dyDescent="0.2">
      <c r="A1104">
        <v>1933</v>
      </c>
      <c r="B1104" s="1" t="s">
        <v>24</v>
      </c>
      <c r="C1104" t="s">
        <v>21</v>
      </c>
      <c r="D1104">
        <v>521700</v>
      </c>
    </row>
    <row r="1105" spans="1:4" x14ac:dyDescent="0.2">
      <c r="A1105">
        <v>1933</v>
      </c>
      <c r="B1105" s="1" t="s">
        <v>25</v>
      </c>
      <c r="C1105" t="s">
        <v>21</v>
      </c>
      <c r="D1105">
        <v>400200</v>
      </c>
    </row>
    <row r="1106" spans="1:4" x14ac:dyDescent="0.2">
      <c r="A1106">
        <v>1933</v>
      </c>
      <c r="B1106" s="1" t="s">
        <v>24</v>
      </c>
      <c r="C1106" t="s">
        <v>22</v>
      </c>
      <c r="D1106">
        <v>318200</v>
      </c>
    </row>
    <row r="1107" spans="1:4" x14ac:dyDescent="0.2">
      <c r="A1107">
        <v>1933</v>
      </c>
      <c r="B1107" s="1" t="s">
        <v>25</v>
      </c>
      <c r="C1107" t="s">
        <v>22</v>
      </c>
      <c r="D1107">
        <v>216100</v>
      </c>
    </row>
    <row r="1108" spans="1:4" x14ac:dyDescent="0.2">
      <c r="A1108">
        <v>1933</v>
      </c>
      <c r="B1108" s="1" t="s">
        <v>24</v>
      </c>
      <c r="C1108" t="s">
        <v>30</v>
      </c>
      <c r="D1108">
        <v>220500</v>
      </c>
    </row>
    <row r="1109" spans="1:4" x14ac:dyDescent="0.2">
      <c r="A1109">
        <v>1933</v>
      </c>
      <c r="B1109" s="1" t="s">
        <v>25</v>
      </c>
      <c r="C1109" t="s">
        <v>30</v>
      </c>
      <c r="D1109">
        <v>122000</v>
      </c>
    </row>
    <row r="1110" spans="1:4" x14ac:dyDescent="0.2">
      <c r="A1110">
        <v>1934</v>
      </c>
      <c r="B1110" s="1" t="s">
        <v>24</v>
      </c>
      <c r="C1110" s="1" t="s">
        <v>29</v>
      </c>
      <c r="D1110">
        <v>272300</v>
      </c>
    </row>
    <row r="1111" spans="1:4" x14ac:dyDescent="0.2">
      <c r="A1111">
        <v>1934</v>
      </c>
      <c r="B1111" s="1" t="s">
        <v>25</v>
      </c>
      <c r="C1111" s="1" t="s">
        <v>29</v>
      </c>
      <c r="D1111">
        <v>282200</v>
      </c>
    </row>
    <row r="1112" spans="1:4" x14ac:dyDescent="0.2">
      <c r="A1112">
        <v>1934</v>
      </c>
      <c r="B1112" s="1" t="s">
        <v>24</v>
      </c>
      <c r="C1112" s="2" t="s">
        <v>26</v>
      </c>
      <c r="D1112">
        <v>1143100</v>
      </c>
    </row>
    <row r="1113" spans="1:4" x14ac:dyDescent="0.2">
      <c r="A1113">
        <v>1934</v>
      </c>
      <c r="B1113" s="1" t="s">
        <v>25</v>
      </c>
      <c r="C1113" s="2" t="s">
        <v>26</v>
      </c>
      <c r="D1113">
        <v>1174300</v>
      </c>
    </row>
    <row r="1114" spans="1:4" x14ac:dyDescent="0.2">
      <c r="A1114">
        <v>1934</v>
      </c>
      <c r="B1114" s="1" t="s">
        <v>24</v>
      </c>
      <c r="C1114" s="2" t="s">
        <v>27</v>
      </c>
      <c r="D1114">
        <v>1505500</v>
      </c>
    </row>
    <row r="1115" spans="1:4" x14ac:dyDescent="0.2">
      <c r="A1115">
        <v>1934</v>
      </c>
      <c r="B1115" s="1" t="s">
        <v>25</v>
      </c>
      <c r="C1115" s="2" t="s">
        <v>27</v>
      </c>
      <c r="D1115">
        <v>1532700</v>
      </c>
    </row>
    <row r="1116" spans="1:4" x14ac:dyDescent="0.2">
      <c r="A1116">
        <v>1934</v>
      </c>
      <c r="B1116" s="1" t="s">
        <v>24</v>
      </c>
      <c r="C1116" s="3" t="s">
        <v>28</v>
      </c>
      <c r="D1116">
        <v>1779300</v>
      </c>
    </row>
    <row r="1117" spans="1:4" x14ac:dyDescent="0.2">
      <c r="A1117">
        <v>1934</v>
      </c>
      <c r="B1117" s="1" t="s">
        <v>25</v>
      </c>
      <c r="C1117" s="3" t="s">
        <v>28</v>
      </c>
      <c r="D1117">
        <v>1812200</v>
      </c>
    </row>
    <row r="1118" spans="1:4" x14ac:dyDescent="0.2">
      <c r="A1118">
        <v>1934</v>
      </c>
      <c r="B1118" s="1" t="s">
        <v>24</v>
      </c>
      <c r="C1118" t="s">
        <v>4</v>
      </c>
      <c r="D1118">
        <v>1482500</v>
      </c>
    </row>
    <row r="1119" spans="1:4" x14ac:dyDescent="0.2">
      <c r="A1119">
        <v>1934</v>
      </c>
      <c r="B1119" s="1" t="s">
        <v>25</v>
      </c>
      <c r="C1119" t="s">
        <v>4</v>
      </c>
      <c r="D1119">
        <v>1487300</v>
      </c>
    </row>
    <row r="1120" spans="1:4" x14ac:dyDescent="0.2">
      <c r="A1120">
        <v>1934</v>
      </c>
      <c r="B1120" s="1" t="s">
        <v>24</v>
      </c>
      <c r="C1120" t="s">
        <v>5</v>
      </c>
      <c r="D1120">
        <v>1763300</v>
      </c>
    </row>
    <row r="1121" spans="1:4" x14ac:dyDescent="0.2">
      <c r="A1121">
        <v>1934</v>
      </c>
      <c r="B1121" s="1" t="s">
        <v>25</v>
      </c>
      <c r="C1121" t="s">
        <v>5</v>
      </c>
      <c r="D1121">
        <v>1694200</v>
      </c>
    </row>
    <row r="1122" spans="1:4" x14ac:dyDescent="0.2">
      <c r="A1122">
        <v>1934</v>
      </c>
      <c r="B1122" s="1" t="s">
        <v>24</v>
      </c>
      <c r="C1122" t="s">
        <v>12</v>
      </c>
      <c r="D1122">
        <v>1780700</v>
      </c>
    </row>
    <row r="1123" spans="1:4" x14ac:dyDescent="0.2">
      <c r="A1123">
        <v>1934</v>
      </c>
      <c r="B1123" s="1" t="s">
        <v>25</v>
      </c>
      <c r="C1123" t="s">
        <v>12</v>
      </c>
      <c r="D1123">
        <v>1693800</v>
      </c>
    </row>
    <row r="1124" spans="1:4" x14ac:dyDescent="0.2">
      <c r="A1124">
        <v>1934</v>
      </c>
      <c r="B1124" s="1" t="s">
        <v>24</v>
      </c>
      <c r="C1124" t="s">
        <v>13</v>
      </c>
      <c r="D1124">
        <v>1684600</v>
      </c>
    </row>
    <row r="1125" spans="1:4" x14ac:dyDescent="0.2">
      <c r="A1125">
        <v>1934</v>
      </c>
      <c r="B1125" s="1" t="s">
        <v>25</v>
      </c>
      <c r="C1125" t="s">
        <v>13</v>
      </c>
      <c r="D1125">
        <v>1615200</v>
      </c>
    </row>
    <row r="1126" spans="1:4" x14ac:dyDescent="0.2">
      <c r="A1126">
        <v>1934</v>
      </c>
      <c r="B1126" s="1" t="s">
        <v>24</v>
      </c>
      <c r="C1126" t="s">
        <v>14</v>
      </c>
      <c r="D1126">
        <v>1559900</v>
      </c>
    </row>
    <row r="1127" spans="1:4" x14ac:dyDescent="0.2">
      <c r="A1127">
        <v>1934</v>
      </c>
      <c r="B1127" s="1" t="s">
        <v>25</v>
      </c>
      <c r="C1127" t="s">
        <v>14</v>
      </c>
      <c r="D1127">
        <v>1324500</v>
      </c>
    </row>
    <row r="1128" spans="1:4" x14ac:dyDescent="0.2">
      <c r="A1128">
        <v>1934</v>
      </c>
      <c r="B1128" s="1" t="s">
        <v>24</v>
      </c>
      <c r="C1128" t="s">
        <v>15</v>
      </c>
      <c r="D1128">
        <v>1464400</v>
      </c>
    </row>
    <row r="1129" spans="1:4" x14ac:dyDescent="0.2">
      <c r="A1129">
        <v>1934</v>
      </c>
      <c r="B1129" s="1" t="s">
        <v>25</v>
      </c>
      <c r="C1129" t="s">
        <v>15</v>
      </c>
      <c r="D1129">
        <v>1240700</v>
      </c>
    </row>
    <row r="1130" spans="1:4" x14ac:dyDescent="0.2">
      <c r="A1130">
        <v>1934</v>
      </c>
      <c r="B1130" s="1" t="s">
        <v>24</v>
      </c>
      <c r="C1130" t="s">
        <v>16</v>
      </c>
      <c r="D1130">
        <v>1385200</v>
      </c>
    </row>
    <row r="1131" spans="1:4" x14ac:dyDescent="0.2">
      <c r="A1131">
        <v>1934</v>
      </c>
      <c r="B1131" s="1" t="s">
        <v>25</v>
      </c>
      <c r="C1131" t="s">
        <v>16</v>
      </c>
      <c r="D1131">
        <v>1184600</v>
      </c>
    </row>
    <row r="1132" spans="1:4" x14ac:dyDescent="0.2">
      <c r="A1132">
        <v>1934</v>
      </c>
      <c r="B1132" s="1" t="s">
        <v>24</v>
      </c>
      <c r="C1132" t="s">
        <v>17</v>
      </c>
      <c r="D1132">
        <v>1297000</v>
      </c>
    </row>
    <row r="1133" spans="1:4" x14ac:dyDescent="0.2">
      <c r="A1133">
        <v>1934</v>
      </c>
      <c r="B1133" s="1" t="s">
        <v>25</v>
      </c>
      <c r="C1133" t="s">
        <v>17</v>
      </c>
      <c r="D1133">
        <v>1122400</v>
      </c>
    </row>
    <row r="1134" spans="1:4" x14ac:dyDescent="0.2">
      <c r="A1134">
        <v>1934</v>
      </c>
      <c r="B1134" s="1" t="s">
        <v>24</v>
      </c>
      <c r="C1134" t="s">
        <v>18</v>
      </c>
      <c r="D1134">
        <v>1149900</v>
      </c>
    </row>
    <row r="1135" spans="1:4" x14ac:dyDescent="0.2">
      <c r="A1135">
        <v>1934</v>
      </c>
      <c r="B1135" s="1" t="s">
        <v>25</v>
      </c>
      <c r="C1135" t="s">
        <v>18</v>
      </c>
      <c r="D1135">
        <v>1019800</v>
      </c>
    </row>
    <row r="1136" spans="1:4" x14ac:dyDescent="0.2">
      <c r="A1136">
        <v>1934</v>
      </c>
      <c r="B1136" s="1" t="s">
        <v>24</v>
      </c>
      <c r="C1136" t="s">
        <v>19</v>
      </c>
      <c r="D1136">
        <v>948500</v>
      </c>
    </row>
    <row r="1137" spans="1:4" x14ac:dyDescent="0.2">
      <c r="A1137">
        <v>1934</v>
      </c>
      <c r="B1137" s="1" t="s">
        <v>25</v>
      </c>
      <c r="C1137" t="s">
        <v>19</v>
      </c>
      <c r="D1137">
        <v>840700</v>
      </c>
    </row>
    <row r="1138" spans="1:4" x14ac:dyDescent="0.2">
      <c r="A1138">
        <v>1934</v>
      </c>
      <c r="B1138" s="1" t="s">
        <v>24</v>
      </c>
      <c r="C1138" t="s">
        <v>20</v>
      </c>
      <c r="D1138">
        <v>744400</v>
      </c>
    </row>
    <row r="1139" spans="1:4" x14ac:dyDescent="0.2">
      <c r="A1139">
        <v>1934</v>
      </c>
      <c r="B1139" s="1" t="s">
        <v>25</v>
      </c>
      <c r="C1139" t="s">
        <v>20</v>
      </c>
      <c r="D1139">
        <v>625900</v>
      </c>
    </row>
    <row r="1140" spans="1:4" x14ac:dyDescent="0.2">
      <c r="A1140">
        <v>1934</v>
      </c>
      <c r="B1140" s="1" t="s">
        <v>24</v>
      </c>
      <c r="C1140" t="s">
        <v>21</v>
      </c>
      <c r="D1140">
        <v>536000</v>
      </c>
    </row>
    <row r="1141" spans="1:4" x14ac:dyDescent="0.2">
      <c r="A1141">
        <v>1934</v>
      </c>
      <c r="B1141" s="1" t="s">
        <v>25</v>
      </c>
      <c r="C1141" t="s">
        <v>21</v>
      </c>
      <c r="D1141">
        <v>411000</v>
      </c>
    </row>
    <row r="1142" spans="1:4" x14ac:dyDescent="0.2">
      <c r="A1142">
        <v>1934</v>
      </c>
      <c r="B1142" s="1" t="s">
        <v>24</v>
      </c>
      <c r="C1142" t="s">
        <v>22</v>
      </c>
      <c r="D1142">
        <v>328700</v>
      </c>
    </row>
    <row r="1143" spans="1:4" x14ac:dyDescent="0.2">
      <c r="A1143">
        <v>1934</v>
      </c>
      <c r="B1143" s="1" t="s">
        <v>25</v>
      </c>
      <c r="C1143" t="s">
        <v>22</v>
      </c>
      <c r="D1143">
        <v>223600</v>
      </c>
    </row>
    <row r="1144" spans="1:4" x14ac:dyDescent="0.2">
      <c r="A1144">
        <v>1934</v>
      </c>
      <c r="B1144" s="1" t="s">
        <v>24</v>
      </c>
      <c r="C1144" t="s">
        <v>30</v>
      </c>
      <c r="D1144">
        <v>229700</v>
      </c>
    </row>
    <row r="1145" spans="1:4" x14ac:dyDescent="0.2">
      <c r="A1145">
        <v>1934</v>
      </c>
      <c r="B1145" s="1" t="s">
        <v>25</v>
      </c>
      <c r="C1145" t="s">
        <v>30</v>
      </c>
      <c r="D1145">
        <v>126900</v>
      </c>
    </row>
    <row r="1146" spans="1:4" x14ac:dyDescent="0.2">
      <c r="A1146">
        <v>1935</v>
      </c>
      <c r="B1146" s="1" t="s">
        <v>24</v>
      </c>
      <c r="C1146" s="1" t="s">
        <v>29</v>
      </c>
      <c r="D1146">
        <v>276900</v>
      </c>
    </row>
    <row r="1147" spans="1:4" x14ac:dyDescent="0.2">
      <c r="A1147">
        <v>1935</v>
      </c>
      <c r="B1147" s="1" t="s">
        <v>25</v>
      </c>
      <c r="C1147" s="1" t="s">
        <v>29</v>
      </c>
      <c r="D1147">
        <v>289400</v>
      </c>
    </row>
    <row r="1148" spans="1:4" x14ac:dyDescent="0.2">
      <c r="A1148">
        <v>1935</v>
      </c>
      <c r="B1148" s="1" t="s">
        <v>24</v>
      </c>
      <c r="C1148" s="2" t="s">
        <v>26</v>
      </c>
      <c r="D1148">
        <v>1116600</v>
      </c>
    </row>
    <row r="1149" spans="1:4" x14ac:dyDescent="0.2">
      <c r="A1149">
        <v>1935</v>
      </c>
      <c r="B1149" s="1" t="s">
        <v>25</v>
      </c>
      <c r="C1149" s="2" t="s">
        <v>26</v>
      </c>
      <c r="D1149">
        <v>1149600</v>
      </c>
    </row>
    <row r="1150" spans="1:4" x14ac:dyDescent="0.2">
      <c r="A1150">
        <v>1935</v>
      </c>
      <c r="B1150" s="1" t="s">
        <v>24</v>
      </c>
      <c r="C1150" s="2" t="s">
        <v>27</v>
      </c>
      <c r="D1150">
        <v>1482300</v>
      </c>
    </row>
    <row r="1151" spans="1:4" x14ac:dyDescent="0.2">
      <c r="A1151">
        <v>1935</v>
      </c>
      <c r="B1151" s="1" t="s">
        <v>25</v>
      </c>
      <c r="C1151" s="2" t="s">
        <v>27</v>
      </c>
      <c r="D1151">
        <v>1508500</v>
      </c>
    </row>
    <row r="1152" spans="1:4" x14ac:dyDescent="0.2">
      <c r="A1152">
        <v>1935</v>
      </c>
      <c r="B1152" s="1" t="s">
        <v>24</v>
      </c>
      <c r="C1152" s="3" t="s">
        <v>28</v>
      </c>
      <c r="D1152">
        <v>1692200</v>
      </c>
    </row>
    <row r="1153" spans="1:4" x14ac:dyDescent="0.2">
      <c r="A1153">
        <v>1935</v>
      </c>
      <c r="B1153" s="1" t="s">
        <v>25</v>
      </c>
      <c r="C1153" s="3" t="s">
        <v>28</v>
      </c>
      <c r="D1153">
        <v>1719700</v>
      </c>
    </row>
    <row r="1154" spans="1:4" x14ac:dyDescent="0.2">
      <c r="A1154">
        <v>1935</v>
      </c>
      <c r="B1154" s="1" t="s">
        <v>24</v>
      </c>
      <c r="C1154" t="s">
        <v>4</v>
      </c>
      <c r="D1154">
        <v>1538700</v>
      </c>
    </row>
    <row r="1155" spans="1:4" x14ac:dyDescent="0.2">
      <c r="A1155">
        <v>1935</v>
      </c>
      <c r="B1155" s="1" t="s">
        <v>25</v>
      </c>
      <c r="C1155" t="s">
        <v>4</v>
      </c>
      <c r="D1155">
        <v>1550100</v>
      </c>
    </row>
    <row r="1156" spans="1:4" x14ac:dyDescent="0.2">
      <c r="A1156">
        <v>1935</v>
      </c>
      <c r="B1156" s="1" t="s">
        <v>24</v>
      </c>
      <c r="C1156" t="s">
        <v>5</v>
      </c>
      <c r="D1156">
        <v>1754200</v>
      </c>
    </row>
    <row r="1157" spans="1:4" x14ac:dyDescent="0.2">
      <c r="A1157">
        <v>1935</v>
      </c>
      <c r="B1157" s="1" t="s">
        <v>25</v>
      </c>
      <c r="C1157" t="s">
        <v>5</v>
      </c>
      <c r="D1157">
        <v>1690100</v>
      </c>
    </row>
    <row r="1158" spans="1:4" x14ac:dyDescent="0.2">
      <c r="A1158">
        <v>1935</v>
      </c>
      <c r="B1158" s="1" t="s">
        <v>24</v>
      </c>
      <c r="C1158" t="s">
        <v>12</v>
      </c>
      <c r="D1158">
        <v>1784200</v>
      </c>
    </row>
    <row r="1159" spans="1:4" x14ac:dyDescent="0.2">
      <c r="A1159">
        <v>1935</v>
      </c>
      <c r="B1159" s="1" t="s">
        <v>25</v>
      </c>
      <c r="C1159" t="s">
        <v>12</v>
      </c>
      <c r="D1159">
        <v>1704500</v>
      </c>
    </row>
    <row r="1160" spans="1:4" x14ac:dyDescent="0.2">
      <c r="A1160">
        <v>1935</v>
      </c>
      <c r="B1160" s="1" t="s">
        <v>24</v>
      </c>
      <c r="C1160" t="s">
        <v>13</v>
      </c>
      <c r="D1160">
        <v>1705800</v>
      </c>
    </row>
    <row r="1161" spans="1:4" x14ac:dyDescent="0.2">
      <c r="A1161">
        <v>1935</v>
      </c>
      <c r="B1161" s="1" t="s">
        <v>25</v>
      </c>
      <c r="C1161" t="s">
        <v>13</v>
      </c>
      <c r="D1161">
        <v>1641100</v>
      </c>
    </row>
    <row r="1162" spans="1:4" x14ac:dyDescent="0.2">
      <c r="A1162">
        <v>1935</v>
      </c>
      <c r="B1162" s="1" t="s">
        <v>24</v>
      </c>
      <c r="C1162" t="s">
        <v>14</v>
      </c>
      <c r="D1162">
        <v>1577000</v>
      </c>
    </row>
    <row r="1163" spans="1:4" x14ac:dyDescent="0.2">
      <c r="A1163">
        <v>1935</v>
      </c>
      <c r="B1163" s="1" t="s">
        <v>25</v>
      </c>
      <c r="C1163" t="s">
        <v>14</v>
      </c>
      <c r="D1163">
        <v>1368800</v>
      </c>
    </row>
    <row r="1164" spans="1:4" x14ac:dyDescent="0.2">
      <c r="A1164">
        <v>1935</v>
      </c>
      <c r="B1164" s="1" t="s">
        <v>24</v>
      </c>
      <c r="C1164" t="s">
        <v>15</v>
      </c>
      <c r="D1164">
        <v>1475600</v>
      </c>
    </row>
    <row r="1165" spans="1:4" x14ac:dyDescent="0.2">
      <c r="A1165">
        <v>1935</v>
      </c>
      <c r="B1165" s="1" t="s">
        <v>25</v>
      </c>
      <c r="C1165" t="s">
        <v>15</v>
      </c>
      <c r="D1165">
        <v>1243100</v>
      </c>
    </row>
    <row r="1166" spans="1:4" x14ac:dyDescent="0.2">
      <c r="A1166">
        <v>1935</v>
      </c>
      <c r="B1166" s="1" t="s">
        <v>24</v>
      </c>
      <c r="C1166" t="s">
        <v>16</v>
      </c>
      <c r="D1166">
        <v>1395000</v>
      </c>
    </row>
    <row r="1167" spans="1:4" x14ac:dyDescent="0.2">
      <c r="A1167">
        <v>1935</v>
      </c>
      <c r="B1167" s="1" t="s">
        <v>25</v>
      </c>
      <c r="C1167" t="s">
        <v>16</v>
      </c>
      <c r="D1167">
        <v>1193800</v>
      </c>
    </row>
    <row r="1168" spans="1:4" x14ac:dyDescent="0.2">
      <c r="A1168">
        <v>1935</v>
      </c>
      <c r="B1168" s="1" t="s">
        <v>24</v>
      </c>
      <c r="C1168" t="s">
        <v>17</v>
      </c>
      <c r="D1168">
        <v>1306400</v>
      </c>
    </row>
    <row r="1169" spans="1:4" x14ac:dyDescent="0.2">
      <c r="A1169">
        <v>1935</v>
      </c>
      <c r="B1169" s="1" t="s">
        <v>25</v>
      </c>
      <c r="C1169" t="s">
        <v>17</v>
      </c>
      <c r="D1169">
        <v>1121900</v>
      </c>
    </row>
    <row r="1170" spans="1:4" x14ac:dyDescent="0.2">
      <c r="A1170">
        <v>1935</v>
      </c>
      <c r="B1170" s="1" t="s">
        <v>24</v>
      </c>
      <c r="C1170" t="s">
        <v>18</v>
      </c>
      <c r="D1170">
        <v>1171900</v>
      </c>
    </row>
    <row r="1171" spans="1:4" x14ac:dyDescent="0.2">
      <c r="A1171">
        <v>1935</v>
      </c>
      <c r="B1171" s="1" t="s">
        <v>25</v>
      </c>
      <c r="C1171" t="s">
        <v>18</v>
      </c>
      <c r="D1171">
        <v>1030600</v>
      </c>
    </row>
    <row r="1172" spans="1:4" x14ac:dyDescent="0.2">
      <c r="A1172">
        <v>1935</v>
      </c>
      <c r="B1172" s="1" t="s">
        <v>24</v>
      </c>
      <c r="C1172" t="s">
        <v>19</v>
      </c>
      <c r="D1172">
        <v>971700</v>
      </c>
    </row>
    <row r="1173" spans="1:4" x14ac:dyDescent="0.2">
      <c r="A1173">
        <v>1935</v>
      </c>
      <c r="B1173" s="1" t="s">
        <v>25</v>
      </c>
      <c r="C1173" t="s">
        <v>19</v>
      </c>
      <c r="D1173">
        <v>857100</v>
      </c>
    </row>
    <row r="1174" spans="1:4" x14ac:dyDescent="0.2">
      <c r="A1174">
        <v>1935</v>
      </c>
      <c r="B1174" s="1" t="s">
        <v>24</v>
      </c>
      <c r="C1174" t="s">
        <v>20</v>
      </c>
      <c r="D1174">
        <v>764100</v>
      </c>
    </row>
    <row r="1175" spans="1:4" x14ac:dyDescent="0.2">
      <c r="A1175">
        <v>1935</v>
      </c>
      <c r="B1175" s="1" t="s">
        <v>25</v>
      </c>
      <c r="C1175" t="s">
        <v>20</v>
      </c>
      <c r="D1175">
        <v>644900</v>
      </c>
    </row>
    <row r="1176" spans="1:4" x14ac:dyDescent="0.2">
      <c r="A1176">
        <v>1935</v>
      </c>
      <c r="B1176" s="1" t="s">
        <v>24</v>
      </c>
      <c r="C1176" t="s">
        <v>21</v>
      </c>
      <c r="D1176">
        <v>552600</v>
      </c>
    </row>
    <row r="1177" spans="1:4" x14ac:dyDescent="0.2">
      <c r="A1177">
        <v>1935</v>
      </c>
      <c r="B1177" s="1" t="s">
        <v>25</v>
      </c>
      <c r="C1177" t="s">
        <v>21</v>
      </c>
      <c r="D1177">
        <v>423700</v>
      </c>
    </row>
    <row r="1178" spans="1:4" x14ac:dyDescent="0.2">
      <c r="A1178">
        <v>1935</v>
      </c>
      <c r="B1178" s="1" t="s">
        <v>24</v>
      </c>
      <c r="C1178" t="s">
        <v>22</v>
      </c>
      <c r="D1178">
        <v>339500</v>
      </c>
    </row>
    <row r="1179" spans="1:4" x14ac:dyDescent="0.2">
      <c r="A1179">
        <v>1935</v>
      </c>
      <c r="B1179" s="1" t="s">
        <v>25</v>
      </c>
      <c r="C1179" t="s">
        <v>22</v>
      </c>
      <c r="D1179">
        <v>230800</v>
      </c>
    </row>
    <row r="1180" spans="1:4" x14ac:dyDescent="0.2">
      <c r="A1180">
        <v>1935</v>
      </c>
      <c r="B1180" s="1" t="s">
        <v>24</v>
      </c>
      <c r="C1180" t="s">
        <v>30</v>
      </c>
      <c r="D1180">
        <v>240300</v>
      </c>
    </row>
    <row r="1181" spans="1:4" x14ac:dyDescent="0.2">
      <c r="A1181">
        <v>1935</v>
      </c>
      <c r="B1181" s="1" t="s">
        <v>25</v>
      </c>
      <c r="C1181" t="s">
        <v>30</v>
      </c>
      <c r="D1181">
        <v>132300</v>
      </c>
    </row>
    <row r="1182" spans="1:4" x14ac:dyDescent="0.2">
      <c r="A1182">
        <v>1936</v>
      </c>
      <c r="B1182" s="1" t="s">
        <v>24</v>
      </c>
      <c r="C1182" s="1" t="s">
        <v>29</v>
      </c>
      <c r="D1182">
        <v>280700</v>
      </c>
    </row>
    <row r="1183" spans="1:4" x14ac:dyDescent="0.2">
      <c r="A1183">
        <v>1936</v>
      </c>
      <c r="B1183" s="1" t="s">
        <v>25</v>
      </c>
      <c r="C1183" s="1" t="s">
        <v>29</v>
      </c>
      <c r="D1183">
        <v>292000</v>
      </c>
    </row>
    <row r="1184" spans="1:4" x14ac:dyDescent="0.2">
      <c r="A1184">
        <v>1936</v>
      </c>
      <c r="B1184" s="1" t="s">
        <v>24</v>
      </c>
      <c r="C1184" s="2" t="s">
        <v>26</v>
      </c>
      <c r="D1184">
        <v>1093900</v>
      </c>
    </row>
    <row r="1185" spans="1:4" x14ac:dyDescent="0.2">
      <c r="A1185">
        <v>1936</v>
      </c>
      <c r="B1185" s="1" t="s">
        <v>25</v>
      </c>
      <c r="C1185" s="2" t="s">
        <v>26</v>
      </c>
      <c r="D1185">
        <v>1131500</v>
      </c>
    </row>
    <row r="1186" spans="1:4" x14ac:dyDescent="0.2">
      <c r="A1186">
        <v>1936</v>
      </c>
      <c r="B1186" s="1" t="s">
        <v>24</v>
      </c>
      <c r="C1186" s="2" t="s">
        <v>27</v>
      </c>
      <c r="D1186">
        <v>1463800</v>
      </c>
    </row>
    <row r="1187" spans="1:4" x14ac:dyDescent="0.2">
      <c r="A1187">
        <v>1936</v>
      </c>
      <c r="B1187" s="1" t="s">
        <v>25</v>
      </c>
      <c r="C1187" s="2" t="s">
        <v>27</v>
      </c>
      <c r="D1187">
        <v>1492200</v>
      </c>
    </row>
    <row r="1188" spans="1:4" x14ac:dyDescent="0.2">
      <c r="A1188">
        <v>1936</v>
      </c>
      <c r="B1188" s="1" t="s">
        <v>24</v>
      </c>
      <c r="C1188" s="3" t="s">
        <v>28</v>
      </c>
      <c r="D1188">
        <v>1628300</v>
      </c>
    </row>
    <row r="1189" spans="1:4" x14ac:dyDescent="0.2">
      <c r="A1189">
        <v>1936</v>
      </c>
      <c r="B1189" s="1" t="s">
        <v>25</v>
      </c>
      <c r="C1189" s="3" t="s">
        <v>28</v>
      </c>
      <c r="D1189">
        <v>1653100</v>
      </c>
    </row>
    <row r="1190" spans="1:4" x14ac:dyDescent="0.2">
      <c r="A1190">
        <v>1936</v>
      </c>
      <c r="B1190" s="1" t="s">
        <v>24</v>
      </c>
      <c r="C1190" t="s">
        <v>4</v>
      </c>
      <c r="D1190">
        <v>1603000</v>
      </c>
    </row>
    <row r="1191" spans="1:4" x14ac:dyDescent="0.2">
      <c r="A1191">
        <v>1936</v>
      </c>
      <c r="B1191" s="1" t="s">
        <v>25</v>
      </c>
      <c r="C1191" t="s">
        <v>4</v>
      </c>
      <c r="D1191">
        <v>1615600</v>
      </c>
    </row>
    <row r="1192" spans="1:4" x14ac:dyDescent="0.2">
      <c r="A1192">
        <v>1936</v>
      </c>
      <c r="B1192" s="1" t="s">
        <v>24</v>
      </c>
      <c r="C1192" t="s">
        <v>5</v>
      </c>
      <c r="D1192">
        <v>1719600</v>
      </c>
    </row>
    <row r="1193" spans="1:4" x14ac:dyDescent="0.2">
      <c r="A1193">
        <v>1936</v>
      </c>
      <c r="B1193" s="1" t="s">
        <v>25</v>
      </c>
      <c r="C1193" t="s">
        <v>5</v>
      </c>
      <c r="D1193">
        <v>1660600</v>
      </c>
    </row>
    <row r="1194" spans="1:4" x14ac:dyDescent="0.2">
      <c r="A1194">
        <v>1936</v>
      </c>
      <c r="B1194" s="1" t="s">
        <v>24</v>
      </c>
      <c r="C1194" t="s">
        <v>12</v>
      </c>
      <c r="D1194">
        <v>1787000</v>
      </c>
    </row>
    <row r="1195" spans="1:4" x14ac:dyDescent="0.2">
      <c r="A1195">
        <v>1936</v>
      </c>
      <c r="B1195" s="1" t="s">
        <v>25</v>
      </c>
      <c r="C1195" t="s">
        <v>12</v>
      </c>
      <c r="D1195">
        <v>1706800</v>
      </c>
    </row>
    <row r="1196" spans="1:4" x14ac:dyDescent="0.2">
      <c r="A1196">
        <v>1936</v>
      </c>
      <c r="B1196" s="1" t="s">
        <v>24</v>
      </c>
      <c r="C1196" t="s">
        <v>13</v>
      </c>
      <c r="D1196">
        <v>1724300</v>
      </c>
    </row>
    <row r="1197" spans="1:4" x14ac:dyDescent="0.2">
      <c r="A1197">
        <v>1936</v>
      </c>
      <c r="B1197" s="1" t="s">
        <v>25</v>
      </c>
      <c r="C1197" t="s">
        <v>13</v>
      </c>
      <c r="D1197">
        <v>1652100</v>
      </c>
    </row>
    <row r="1198" spans="1:4" x14ac:dyDescent="0.2">
      <c r="A1198">
        <v>1936</v>
      </c>
      <c r="B1198" s="1" t="s">
        <v>24</v>
      </c>
      <c r="C1198" t="s">
        <v>14</v>
      </c>
      <c r="D1198">
        <v>1598100</v>
      </c>
    </row>
    <row r="1199" spans="1:4" x14ac:dyDescent="0.2">
      <c r="A1199">
        <v>1936</v>
      </c>
      <c r="B1199" s="1" t="s">
        <v>25</v>
      </c>
      <c r="C1199" t="s">
        <v>14</v>
      </c>
      <c r="D1199">
        <v>1423200</v>
      </c>
    </row>
    <row r="1200" spans="1:4" x14ac:dyDescent="0.2">
      <c r="A1200">
        <v>1936</v>
      </c>
      <c r="B1200" s="1" t="s">
        <v>24</v>
      </c>
      <c r="C1200" t="s">
        <v>15</v>
      </c>
      <c r="D1200">
        <v>1490800</v>
      </c>
    </row>
    <row r="1201" spans="1:4" x14ac:dyDescent="0.2">
      <c r="A1201">
        <v>1936</v>
      </c>
      <c r="B1201" s="1" t="s">
        <v>25</v>
      </c>
      <c r="C1201" t="s">
        <v>15</v>
      </c>
      <c r="D1201">
        <v>1249700</v>
      </c>
    </row>
    <row r="1202" spans="1:4" x14ac:dyDescent="0.2">
      <c r="A1202">
        <v>1936</v>
      </c>
      <c r="B1202" s="1" t="s">
        <v>24</v>
      </c>
      <c r="C1202" t="s">
        <v>16</v>
      </c>
      <c r="D1202">
        <v>1406200</v>
      </c>
    </row>
    <row r="1203" spans="1:4" x14ac:dyDescent="0.2">
      <c r="A1203">
        <v>1936</v>
      </c>
      <c r="B1203" s="1" t="s">
        <v>25</v>
      </c>
      <c r="C1203" t="s">
        <v>16</v>
      </c>
      <c r="D1203">
        <v>1204900</v>
      </c>
    </row>
    <row r="1204" spans="1:4" x14ac:dyDescent="0.2">
      <c r="A1204">
        <v>1936</v>
      </c>
      <c r="B1204" s="1" t="s">
        <v>24</v>
      </c>
      <c r="C1204" t="s">
        <v>17</v>
      </c>
      <c r="D1204">
        <v>1315100</v>
      </c>
    </row>
    <row r="1205" spans="1:4" x14ac:dyDescent="0.2">
      <c r="A1205">
        <v>1936</v>
      </c>
      <c r="B1205" s="1" t="s">
        <v>25</v>
      </c>
      <c r="C1205" t="s">
        <v>17</v>
      </c>
      <c r="D1205">
        <v>1125400</v>
      </c>
    </row>
    <row r="1206" spans="1:4" x14ac:dyDescent="0.2">
      <c r="A1206">
        <v>1936</v>
      </c>
      <c r="B1206" s="1" t="s">
        <v>24</v>
      </c>
      <c r="C1206" t="s">
        <v>18</v>
      </c>
      <c r="D1206">
        <v>1191400</v>
      </c>
    </row>
    <row r="1207" spans="1:4" x14ac:dyDescent="0.2">
      <c r="A1207">
        <v>1936</v>
      </c>
      <c r="B1207" s="1" t="s">
        <v>25</v>
      </c>
      <c r="C1207" t="s">
        <v>18</v>
      </c>
      <c r="D1207">
        <v>1041700</v>
      </c>
    </row>
    <row r="1208" spans="1:4" x14ac:dyDescent="0.2">
      <c r="A1208">
        <v>1936</v>
      </c>
      <c r="B1208" s="1" t="s">
        <v>24</v>
      </c>
      <c r="C1208" t="s">
        <v>19</v>
      </c>
      <c r="D1208">
        <v>993800</v>
      </c>
    </row>
    <row r="1209" spans="1:4" x14ac:dyDescent="0.2">
      <c r="A1209">
        <v>1936</v>
      </c>
      <c r="B1209" s="1" t="s">
        <v>25</v>
      </c>
      <c r="C1209" t="s">
        <v>19</v>
      </c>
      <c r="D1209">
        <v>872900</v>
      </c>
    </row>
    <row r="1210" spans="1:4" x14ac:dyDescent="0.2">
      <c r="A1210">
        <v>1936</v>
      </c>
      <c r="B1210" s="1" t="s">
        <v>24</v>
      </c>
      <c r="C1210" t="s">
        <v>20</v>
      </c>
      <c r="D1210">
        <v>784900</v>
      </c>
    </row>
    <row r="1211" spans="1:4" x14ac:dyDescent="0.2">
      <c r="A1211">
        <v>1936</v>
      </c>
      <c r="B1211" s="1" t="s">
        <v>25</v>
      </c>
      <c r="C1211" t="s">
        <v>20</v>
      </c>
      <c r="D1211">
        <v>663700</v>
      </c>
    </row>
    <row r="1212" spans="1:4" x14ac:dyDescent="0.2">
      <c r="A1212">
        <v>1936</v>
      </c>
      <c r="B1212" s="1" t="s">
        <v>24</v>
      </c>
      <c r="C1212" t="s">
        <v>21</v>
      </c>
      <c r="D1212">
        <v>568800</v>
      </c>
    </row>
    <row r="1213" spans="1:4" x14ac:dyDescent="0.2">
      <c r="A1213">
        <v>1936</v>
      </c>
      <c r="B1213" s="1" t="s">
        <v>25</v>
      </c>
      <c r="C1213" t="s">
        <v>21</v>
      </c>
      <c r="D1213">
        <v>434700</v>
      </c>
    </row>
    <row r="1214" spans="1:4" x14ac:dyDescent="0.2">
      <c r="A1214">
        <v>1936</v>
      </c>
      <c r="B1214" s="1" t="s">
        <v>24</v>
      </c>
      <c r="C1214" t="s">
        <v>22</v>
      </c>
      <c r="D1214">
        <v>350600</v>
      </c>
    </row>
    <row r="1215" spans="1:4" x14ac:dyDescent="0.2">
      <c r="A1215">
        <v>1936</v>
      </c>
      <c r="B1215" s="1" t="s">
        <v>25</v>
      </c>
      <c r="C1215" t="s">
        <v>22</v>
      </c>
      <c r="D1215">
        <v>236100</v>
      </c>
    </row>
    <row r="1216" spans="1:4" x14ac:dyDescent="0.2">
      <c r="A1216">
        <v>1936</v>
      </c>
      <c r="B1216" s="1" t="s">
        <v>24</v>
      </c>
      <c r="C1216" t="s">
        <v>30</v>
      </c>
      <c r="D1216">
        <v>247700</v>
      </c>
    </row>
    <row r="1217" spans="1:4" x14ac:dyDescent="0.2">
      <c r="A1217">
        <v>1936</v>
      </c>
      <c r="B1217" s="1" t="s">
        <v>25</v>
      </c>
      <c r="C1217" t="s">
        <v>30</v>
      </c>
      <c r="D1217">
        <v>135400</v>
      </c>
    </row>
    <row r="1218" spans="1:4" x14ac:dyDescent="0.2">
      <c r="A1218">
        <v>1937</v>
      </c>
      <c r="B1218" s="1" t="s">
        <v>24</v>
      </c>
      <c r="C1218" s="1" t="s">
        <v>29</v>
      </c>
      <c r="D1218">
        <v>283900</v>
      </c>
    </row>
    <row r="1219" spans="1:4" x14ac:dyDescent="0.2">
      <c r="A1219">
        <v>1937</v>
      </c>
      <c r="B1219" s="1" t="s">
        <v>25</v>
      </c>
      <c r="C1219" s="1" t="s">
        <v>29</v>
      </c>
      <c r="D1219">
        <v>296300</v>
      </c>
    </row>
    <row r="1220" spans="1:4" x14ac:dyDescent="0.2">
      <c r="A1220">
        <v>1937</v>
      </c>
      <c r="B1220" s="1" t="s">
        <v>24</v>
      </c>
      <c r="C1220" s="2" t="s">
        <v>26</v>
      </c>
      <c r="D1220">
        <v>1085200</v>
      </c>
    </row>
    <row r="1221" spans="1:4" x14ac:dyDescent="0.2">
      <c r="A1221">
        <v>1937</v>
      </c>
      <c r="B1221" s="1" t="s">
        <v>25</v>
      </c>
      <c r="C1221" s="2" t="s">
        <v>26</v>
      </c>
      <c r="D1221">
        <v>1124100</v>
      </c>
    </row>
    <row r="1222" spans="1:4" x14ac:dyDescent="0.2">
      <c r="A1222">
        <v>1937</v>
      </c>
      <c r="B1222" s="1" t="s">
        <v>24</v>
      </c>
      <c r="C1222" s="2" t="s">
        <v>27</v>
      </c>
      <c r="D1222">
        <v>1445400</v>
      </c>
    </row>
    <row r="1223" spans="1:4" x14ac:dyDescent="0.2">
      <c r="A1223">
        <v>1937</v>
      </c>
      <c r="B1223" s="1" t="s">
        <v>25</v>
      </c>
      <c r="C1223" s="2" t="s">
        <v>27</v>
      </c>
      <c r="D1223">
        <v>1477200</v>
      </c>
    </row>
    <row r="1224" spans="1:4" x14ac:dyDescent="0.2">
      <c r="A1224">
        <v>1937</v>
      </c>
      <c r="B1224" s="1" t="s">
        <v>24</v>
      </c>
      <c r="C1224" s="3" t="s">
        <v>28</v>
      </c>
      <c r="D1224">
        <v>1575000</v>
      </c>
    </row>
    <row r="1225" spans="1:4" x14ac:dyDescent="0.2">
      <c r="A1225">
        <v>1937</v>
      </c>
      <c r="B1225" s="1" t="s">
        <v>25</v>
      </c>
      <c r="C1225" s="3" t="s">
        <v>28</v>
      </c>
      <c r="D1225">
        <v>1596300</v>
      </c>
    </row>
    <row r="1226" spans="1:4" x14ac:dyDescent="0.2">
      <c r="A1226">
        <v>1937</v>
      </c>
      <c r="B1226" s="1" t="s">
        <v>24</v>
      </c>
      <c r="C1226" t="s">
        <v>4</v>
      </c>
      <c r="D1226">
        <v>1662100</v>
      </c>
    </row>
    <row r="1227" spans="1:4" x14ac:dyDescent="0.2">
      <c r="A1227">
        <v>1937</v>
      </c>
      <c r="B1227" s="1" t="s">
        <v>25</v>
      </c>
      <c r="C1227" t="s">
        <v>4</v>
      </c>
      <c r="D1227">
        <v>1677200</v>
      </c>
    </row>
    <row r="1228" spans="1:4" x14ac:dyDescent="0.2">
      <c r="A1228">
        <v>1937</v>
      </c>
      <c r="B1228" s="1" t="s">
        <v>24</v>
      </c>
      <c r="C1228" t="s">
        <v>5</v>
      </c>
      <c r="D1228">
        <v>1670600</v>
      </c>
    </row>
    <row r="1229" spans="1:4" x14ac:dyDescent="0.2">
      <c r="A1229">
        <v>1937</v>
      </c>
      <c r="B1229" s="1" t="s">
        <v>25</v>
      </c>
      <c r="C1229" t="s">
        <v>5</v>
      </c>
      <c r="D1229">
        <v>1630500</v>
      </c>
    </row>
    <row r="1230" spans="1:4" x14ac:dyDescent="0.2">
      <c r="A1230">
        <v>1937</v>
      </c>
      <c r="B1230" s="1" t="s">
        <v>24</v>
      </c>
      <c r="C1230" t="s">
        <v>12</v>
      </c>
      <c r="D1230">
        <v>1778600</v>
      </c>
    </row>
    <row r="1231" spans="1:4" x14ac:dyDescent="0.2">
      <c r="A1231">
        <v>1937</v>
      </c>
      <c r="B1231" s="1" t="s">
        <v>25</v>
      </c>
      <c r="C1231" t="s">
        <v>12</v>
      </c>
      <c r="D1231">
        <v>1709300</v>
      </c>
    </row>
    <row r="1232" spans="1:4" x14ac:dyDescent="0.2">
      <c r="A1232">
        <v>1937</v>
      </c>
      <c r="B1232" s="1" t="s">
        <v>24</v>
      </c>
      <c r="C1232" t="s">
        <v>13</v>
      </c>
      <c r="D1232">
        <v>1738800</v>
      </c>
    </row>
    <row r="1233" spans="1:4" x14ac:dyDescent="0.2">
      <c r="A1233">
        <v>1937</v>
      </c>
      <c r="B1233" s="1" t="s">
        <v>25</v>
      </c>
      <c r="C1233" t="s">
        <v>13</v>
      </c>
      <c r="D1233">
        <v>1669000</v>
      </c>
    </row>
    <row r="1234" spans="1:4" x14ac:dyDescent="0.2">
      <c r="A1234">
        <v>1937</v>
      </c>
      <c r="B1234" s="1" t="s">
        <v>24</v>
      </c>
      <c r="C1234" t="s">
        <v>14</v>
      </c>
      <c r="D1234">
        <v>1616500</v>
      </c>
    </row>
    <row r="1235" spans="1:4" x14ac:dyDescent="0.2">
      <c r="A1235">
        <v>1937</v>
      </c>
      <c r="B1235" s="1" t="s">
        <v>25</v>
      </c>
      <c r="C1235" t="s">
        <v>14</v>
      </c>
      <c r="D1235">
        <v>1482600</v>
      </c>
    </row>
    <row r="1236" spans="1:4" x14ac:dyDescent="0.2">
      <c r="A1236">
        <v>1937</v>
      </c>
      <c r="B1236" s="1" t="s">
        <v>24</v>
      </c>
      <c r="C1236" t="s">
        <v>15</v>
      </c>
      <c r="D1236">
        <v>1504100</v>
      </c>
    </row>
    <row r="1237" spans="1:4" x14ac:dyDescent="0.2">
      <c r="A1237">
        <v>1937</v>
      </c>
      <c r="B1237" s="1" t="s">
        <v>25</v>
      </c>
      <c r="C1237" t="s">
        <v>15</v>
      </c>
      <c r="D1237">
        <v>1259600</v>
      </c>
    </row>
    <row r="1238" spans="1:4" x14ac:dyDescent="0.2">
      <c r="A1238">
        <v>1937</v>
      </c>
      <c r="B1238" s="1" t="s">
        <v>24</v>
      </c>
      <c r="C1238" t="s">
        <v>16</v>
      </c>
      <c r="D1238">
        <v>1416200</v>
      </c>
    </row>
    <row r="1239" spans="1:4" x14ac:dyDescent="0.2">
      <c r="A1239">
        <v>1937</v>
      </c>
      <c r="B1239" s="1" t="s">
        <v>25</v>
      </c>
      <c r="C1239" t="s">
        <v>16</v>
      </c>
      <c r="D1239">
        <v>1213100</v>
      </c>
    </row>
    <row r="1240" spans="1:4" x14ac:dyDescent="0.2">
      <c r="A1240">
        <v>1937</v>
      </c>
      <c r="B1240" s="1" t="s">
        <v>24</v>
      </c>
      <c r="C1240" t="s">
        <v>17</v>
      </c>
      <c r="D1240">
        <v>1322500</v>
      </c>
    </row>
    <row r="1241" spans="1:4" x14ac:dyDescent="0.2">
      <c r="A1241">
        <v>1937</v>
      </c>
      <c r="B1241" s="1" t="s">
        <v>25</v>
      </c>
      <c r="C1241" t="s">
        <v>17</v>
      </c>
      <c r="D1241">
        <v>1129500</v>
      </c>
    </row>
    <row r="1242" spans="1:4" x14ac:dyDescent="0.2">
      <c r="A1242">
        <v>1937</v>
      </c>
      <c r="B1242" s="1" t="s">
        <v>24</v>
      </c>
      <c r="C1242" t="s">
        <v>18</v>
      </c>
      <c r="D1242">
        <v>1207500</v>
      </c>
    </row>
    <row r="1243" spans="1:4" x14ac:dyDescent="0.2">
      <c r="A1243">
        <v>1937</v>
      </c>
      <c r="B1243" s="1" t="s">
        <v>25</v>
      </c>
      <c r="C1243" t="s">
        <v>18</v>
      </c>
      <c r="D1243">
        <v>1046800</v>
      </c>
    </row>
    <row r="1244" spans="1:4" x14ac:dyDescent="0.2">
      <c r="A1244">
        <v>1937</v>
      </c>
      <c r="B1244" s="1" t="s">
        <v>24</v>
      </c>
      <c r="C1244" t="s">
        <v>19</v>
      </c>
      <c r="D1244">
        <v>1014900</v>
      </c>
    </row>
    <row r="1245" spans="1:4" x14ac:dyDescent="0.2">
      <c r="A1245">
        <v>1937</v>
      </c>
      <c r="B1245" s="1" t="s">
        <v>25</v>
      </c>
      <c r="C1245" t="s">
        <v>19</v>
      </c>
      <c r="D1245">
        <v>885800</v>
      </c>
    </row>
    <row r="1246" spans="1:4" x14ac:dyDescent="0.2">
      <c r="A1246">
        <v>1937</v>
      </c>
      <c r="B1246" s="1" t="s">
        <v>24</v>
      </c>
      <c r="C1246" t="s">
        <v>20</v>
      </c>
      <c r="D1246">
        <v>805700</v>
      </c>
    </row>
    <row r="1247" spans="1:4" x14ac:dyDescent="0.2">
      <c r="A1247">
        <v>1937</v>
      </c>
      <c r="B1247" s="1" t="s">
        <v>25</v>
      </c>
      <c r="C1247" t="s">
        <v>20</v>
      </c>
      <c r="D1247">
        <v>680900</v>
      </c>
    </row>
    <row r="1248" spans="1:4" x14ac:dyDescent="0.2">
      <c r="A1248">
        <v>1937</v>
      </c>
      <c r="B1248" s="1" t="s">
        <v>24</v>
      </c>
      <c r="C1248" t="s">
        <v>21</v>
      </c>
      <c r="D1248">
        <v>584100</v>
      </c>
    </row>
    <row r="1249" spans="1:4" x14ac:dyDescent="0.2">
      <c r="A1249">
        <v>1937</v>
      </c>
      <c r="B1249" s="1" t="s">
        <v>25</v>
      </c>
      <c r="C1249" t="s">
        <v>21</v>
      </c>
      <c r="D1249">
        <v>446300</v>
      </c>
    </row>
    <row r="1250" spans="1:4" x14ac:dyDescent="0.2">
      <c r="A1250">
        <v>1937</v>
      </c>
      <c r="B1250" s="1" t="s">
        <v>24</v>
      </c>
      <c r="C1250" t="s">
        <v>22</v>
      </c>
      <c r="D1250">
        <v>360500</v>
      </c>
    </row>
    <row r="1251" spans="1:4" x14ac:dyDescent="0.2">
      <c r="A1251">
        <v>1937</v>
      </c>
      <c r="B1251" s="1" t="s">
        <v>25</v>
      </c>
      <c r="C1251" t="s">
        <v>22</v>
      </c>
      <c r="D1251">
        <v>242700</v>
      </c>
    </row>
    <row r="1252" spans="1:4" x14ac:dyDescent="0.2">
      <c r="A1252">
        <v>1937</v>
      </c>
      <c r="B1252" s="1" t="s">
        <v>24</v>
      </c>
      <c r="C1252" t="s">
        <v>30</v>
      </c>
      <c r="D1252">
        <v>254400</v>
      </c>
    </row>
    <row r="1253" spans="1:4" x14ac:dyDescent="0.2">
      <c r="A1253">
        <v>1937</v>
      </c>
      <c r="B1253" s="1" t="s">
        <v>25</v>
      </c>
      <c r="C1253" t="s">
        <v>30</v>
      </c>
      <c r="D1253">
        <v>137800</v>
      </c>
    </row>
    <row r="1254" spans="1:4" x14ac:dyDescent="0.2">
      <c r="A1254">
        <v>1938</v>
      </c>
      <c r="B1254" s="1" t="s">
        <v>24</v>
      </c>
      <c r="C1254" s="1" t="s">
        <v>29</v>
      </c>
      <c r="D1254">
        <v>290100</v>
      </c>
    </row>
    <row r="1255" spans="1:4" x14ac:dyDescent="0.2">
      <c r="A1255">
        <v>1938</v>
      </c>
      <c r="B1255" s="1" t="s">
        <v>25</v>
      </c>
      <c r="C1255" s="1" t="s">
        <v>29</v>
      </c>
      <c r="D1255">
        <v>302800</v>
      </c>
    </row>
    <row r="1256" spans="1:4" x14ac:dyDescent="0.2">
      <c r="A1256">
        <v>1938</v>
      </c>
      <c r="B1256" s="1" t="s">
        <v>24</v>
      </c>
      <c r="C1256" s="2" t="s">
        <v>26</v>
      </c>
      <c r="D1256">
        <v>1090400</v>
      </c>
    </row>
    <row r="1257" spans="1:4" x14ac:dyDescent="0.2">
      <c r="A1257">
        <v>1938</v>
      </c>
      <c r="B1257" s="1" t="s">
        <v>25</v>
      </c>
      <c r="C1257" s="2" t="s">
        <v>26</v>
      </c>
      <c r="D1257">
        <v>1130900</v>
      </c>
    </row>
    <row r="1258" spans="1:4" x14ac:dyDescent="0.2">
      <c r="A1258">
        <v>1938</v>
      </c>
      <c r="B1258" s="1" t="s">
        <v>24</v>
      </c>
      <c r="C1258" s="2" t="s">
        <v>27</v>
      </c>
      <c r="D1258">
        <v>1425000</v>
      </c>
    </row>
    <row r="1259" spans="1:4" x14ac:dyDescent="0.2">
      <c r="A1259">
        <v>1938</v>
      </c>
      <c r="B1259" s="1" t="s">
        <v>25</v>
      </c>
      <c r="C1259" s="2" t="s">
        <v>27</v>
      </c>
      <c r="D1259">
        <v>1455200</v>
      </c>
    </row>
    <row r="1260" spans="1:4" x14ac:dyDescent="0.2">
      <c r="A1260">
        <v>1938</v>
      </c>
      <c r="B1260" s="1" t="s">
        <v>24</v>
      </c>
      <c r="C1260" s="3" t="s">
        <v>28</v>
      </c>
      <c r="D1260">
        <v>1537700</v>
      </c>
    </row>
    <row r="1261" spans="1:4" x14ac:dyDescent="0.2">
      <c r="A1261">
        <v>1938</v>
      </c>
      <c r="B1261" s="1" t="s">
        <v>25</v>
      </c>
      <c r="C1261" s="3" t="s">
        <v>28</v>
      </c>
      <c r="D1261">
        <v>1555800</v>
      </c>
    </row>
    <row r="1262" spans="1:4" x14ac:dyDescent="0.2">
      <c r="A1262">
        <v>1938</v>
      </c>
      <c r="B1262" s="1" t="s">
        <v>24</v>
      </c>
      <c r="C1262" t="s">
        <v>4</v>
      </c>
      <c r="D1262">
        <v>1730900</v>
      </c>
    </row>
    <row r="1263" spans="1:4" x14ac:dyDescent="0.2">
      <c r="A1263">
        <v>1938</v>
      </c>
      <c r="B1263" s="1" t="s">
        <v>25</v>
      </c>
      <c r="C1263" t="s">
        <v>4</v>
      </c>
      <c r="D1263">
        <v>1741800</v>
      </c>
    </row>
    <row r="1264" spans="1:4" x14ac:dyDescent="0.2">
      <c r="A1264">
        <v>1938</v>
      </c>
      <c r="B1264" s="1" t="s">
        <v>24</v>
      </c>
      <c r="C1264" t="s">
        <v>5</v>
      </c>
      <c r="D1264">
        <v>1588400</v>
      </c>
    </row>
    <row r="1265" spans="1:4" x14ac:dyDescent="0.2">
      <c r="A1265">
        <v>1938</v>
      </c>
      <c r="B1265" s="1" t="s">
        <v>25</v>
      </c>
      <c r="C1265" t="s">
        <v>5</v>
      </c>
      <c r="D1265">
        <v>1560700</v>
      </c>
    </row>
    <row r="1266" spans="1:4" x14ac:dyDescent="0.2">
      <c r="A1266">
        <v>1938</v>
      </c>
      <c r="B1266" s="1" t="s">
        <v>24</v>
      </c>
      <c r="C1266" t="s">
        <v>12</v>
      </c>
      <c r="D1266">
        <v>1766000</v>
      </c>
    </row>
    <row r="1267" spans="1:4" x14ac:dyDescent="0.2">
      <c r="A1267">
        <v>1938</v>
      </c>
      <c r="B1267" s="1" t="s">
        <v>25</v>
      </c>
      <c r="C1267" t="s">
        <v>12</v>
      </c>
      <c r="D1267">
        <v>1703200</v>
      </c>
    </row>
    <row r="1268" spans="1:4" x14ac:dyDescent="0.2">
      <c r="A1268">
        <v>1938</v>
      </c>
      <c r="B1268" s="1" t="s">
        <v>24</v>
      </c>
      <c r="C1268" t="s">
        <v>13</v>
      </c>
      <c r="D1268">
        <v>1752500</v>
      </c>
    </row>
    <row r="1269" spans="1:4" x14ac:dyDescent="0.2">
      <c r="A1269">
        <v>1938</v>
      </c>
      <c r="B1269" s="1" t="s">
        <v>25</v>
      </c>
      <c r="C1269" t="s">
        <v>13</v>
      </c>
      <c r="D1269">
        <v>1683300</v>
      </c>
    </row>
    <row r="1270" spans="1:4" x14ac:dyDescent="0.2">
      <c r="A1270">
        <v>1938</v>
      </c>
      <c r="B1270" s="1" t="s">
        <v>24</v>
      </c>
      <c r="C1270" t="s">
        <v>14</v>
      </c>
      <c r="D1270">
        <v>1635100</v>
      </c>
    </row>
    <row r="1271" spans="1:4" x14ac:dyDescent="0.2">
      <c r="A1271">
        <v>1938</v>
      </c>
      <c r="B1271" s="1" t="s">
        <v>25</v>
      </c>
      <c r="C1271" t="s">
        <v>14</v>
      </c>
      <c r="D1271">
        <v>1535500</v>
      </c>
    </row>
    <row r="1272" spans="1:4" x14ac:dyDescent="0.2">
      <c r="A1272">
        <v>1938</v>
      </c>
      <c r="B1272" s="1" t="s">
        <v>24</v>
      </c>
      <c r="C1272" t="s">
        <v>15</v>
      </c>
      <c r="D1272">
        <v>1520100</v>
      </c>
    </row>
    <row r="1273" spans="1:4" x14ac:dyDescent="0.2">
      <c r="A1273">
        <v>1938</v>
      </c>
      <c r="B1273" s="1" t="s">
        <v>25</v>
      </c>
      <c r="C1273" t="s">
        <v>15</v>
      </c>
      <c r="D1273">
        <v>1272500</v>
      </c>
    </row>
    <row r="1274" spans="1:4" x14ac:dyDescent="0.2">
      <c r="A1274">
        <v>1938</v>
      </c>
      <c r="B1274" s="1" t="s">
        <v>24</v>
      </c>
      <c r="C1274" t="s">
        <v>16</v>
      </c>
      <c r="D1274">
        <v>1428000</v>
      </c>
    </row>
    <row r="1275" spans="1:4" x14ac:dyDescent="0.2">
      <c r="A1275">
        <v>1938</v>
      </c>
      <c r="B1275" s="1" t="s">
        <v>25</v>
      </c>
      <c r="C1275" t="s">
        <v>16</v>
      </c>
      <c r="D1275">
        <v>1217600</v>
      </c>
    </row>
    <row r="1276" spans="1:4" x14ac:dyDescent="0.2">
      <c r="A1276">
        <v>1938</v>
      </c>
      <c r="B1276" s="1" t="s">
        <v>24</v>
      </c>
      <c r="C1276" t="s">
        <v>17</v>
      </c>
      <c r="D1276">
        <v>1331700</v>
      </c>
    </row>
    <row r="1277" spans="1:4" x14ac:dyDescent="0.2">
      <c r="A1277">
        <v>1938</v>
      </c>
      <c r="B1277" s="1" t="s">
        <v>25</v>
      </c>
      <c r="C1277" t="s">
        <v>17</v>
      </c>
      <c r="D1277">
        <v>1135100</v>
      </c>
    </row>
    <row r="1278" spans="1:4" x14ac:dyDescent="0.2">
      <c r="A1278">
        <v>1938</v>
      </c>
      <c r="B1278" s="1" t="s">
        <v>24</v>
      </c>
      <c r="C1278" t="s">
        <v>18</v>
      </c>
      <c r="D1278">
        <v>1220600</v>
      </c>
    </row>
    <row r="1279" spans="1:4" x14ac:dyDescent="0.2">
      <c r="A1279">
        <v>1938</v>
      </c>
      <c r="B1279" s="1" t="s">
        <v>25</v>
      </c>
      <c r="C1279" t="s">
        <v>18</v>
      </c>
      <c r="D1279">
        <v>1048600</v>
      </c>
    </row>
    <row r="1280" spans="1:4" x14ac:dyDescent="0.2">
      <c r="A1280">
        <v>1938</v>
      </c>
      <c r="B1280" s="1" t="s">
        <v>24</v>
      </c>
      <c r="C1280" t="s">
        <v>19</v>
      </c>
      <c r="D1280">
        <v>1038200</v>
      </c>
    </row>
    <row r="1281" spans="1:4" x14ac:dyDescent="0.2">
      <c r="A1281">
        <v>1938</v>
      </c>
      <c r="B1281" s="1" t="s">
        <v>25</v>
      </c>
      <c r="C1281" t="s">
        <v>19</v>
      </c>
      <c r="D1281">
        <v>898300</v>
      </c>
    </row>
    <row r="1282" spans="1:4" x14ac:dyDescent="0.2">
      <c r="A1282">
        <v>1938</v>
      </c>
      <c r="B1282" s="1" t="s">
        <v>24</v>
      </c>
      <c r="C1282" t="s">
        <v>20</v>
      </c>
      <c r="D1282">
        <v>828500</v>
      </c>
    </row>
    <row r="1283" spans="1:4" x14ac:dyDescent="0.2">
      <c r="A1283">
        <v>1938</v>
      </c>
      <c r="B1283" s="1" t="s">
        <v>25</v>
      </c>
      <c r="C1283" t="s">
        <v>20</v>
      </c>
      <c r="D1283">
        <v>697500</v>
      </c>
    </row>
    <row r="1284" spans="1:4" x14ac:dyDescent="0.2">
      <c r="A1284">
        <v>1938</v>
      </c>
      <c r="B1284" s="1" t="s">
        <v>24</v>
      </c>
      <c r="C1284" t="s">
        <v>21</v>
      </c>
      <c r="D1284">
        <v>602600</v>
      </c>
    </row>
    <row r="1285" spans="1:4" x14ac:dyDescent="0.2">
      <c r="A1285">
        <v>1938</v>
      </c>
      <c r="B1285" s="1" t="s">
        <v>25</v>
      </c>
      <c r="C1285" t="s">
        <v>21</v>
      </c>
      <c r="D1285">
        <v>461200</v>
      </c>
    </row>
    <row r="1286" spans="1:4" x14ac:dyDescent="0.2">
      <c r="A1286">
        <v>1938</v>
      </c>
      <c r="B1286" s="1" t="s">
        <v>24</v>
      </c>
      <c r="C1286" t="s">
        <v>22</v>
      </c>
      <c r="D1286">
        <v>371300</v>
      </c>
    </row>
    <row r="1287" spans="1:4" x14ac:dyDescent="0.2">
      <c r="A1287">
        <v>1938</v>
      </c>
      <c r="B1287" s="1" t="s">
        <v>25</v>
      </c>
      <c r="C1287" t="s">
        <v>22</v>
      </c>
      <c r="D1287">
        <v>248900</v>
      </c>
    </row>
    <row r="1288" spans="1:4" x14ac:dyDescent="0.2">
      <c r="A1288">
        <v>1938</v>
      </c>
      <c r="B1288" s="1" t="s">
        <v>24</v>
      </c>
      <c r="C1288" t="s">
        <v>30</v>
      </c>
      <c r="D1288">
        <v>265900</v>
      </c>
    </row>
    <row r="1289" spans="1:4" x14ac:dyDescent="0.2">
      <c r="A1289">
        <v>1938</v>
      </c>
      <c r="B1289" s="1" t="s">
        <v>25</v>
      </c>
      <c r="C1289" t="s">
        <v>30</v>
      </c>
      <c r="D1289">
        <v>143100</v>
      </c>
    </row>
    <row r="1290" spans="1:4" x14ac:dyDescent="0.2">
      <c r="A1290">
        <v>1939</v>
      </c>
      <c r="B1290" s="1" t="s">
        <v>24</v>
      </c>
      <c r="C1290" s="1" t="s">
        <v>29</v>
      </c>
      <c r="D1290">
        <v>291700</v>
      </c>
    </row>
    <row r="1291" spans="1:4" x14ac:dyDescent="0.2">
      <c r="A1291">
        <v>1939</v>
      </c>
      <c r="B1291" s="1" t="s">
        <v>25</v>
      </c>
      <c r="C1291" s="1" t="s">
        <v>29</v>
      </c>
      <c r="D1291">
        <v>304200</v>
      </c>
    </row>
    <row r="1292" spans="1:4" x14ac:dyDescent="0.2">
      <c r="A1292">
        <v>1939</v>
      </c>
      <c r="B1292" s="1" t="s">
        <v>24</v>
      </c>
      <c r="C1292" s="2" t="s">
        <v>26</v>
      </c>
      <c r="D1292">
        <v>1112100</v>
      </c>
    </row>
    <row r="1293" spans="1:4" x14ac:dyDescent="0.2">
      <c r="A1293">
        <v>1939</v>
      </c>
      <c r="B1293" s="1" t="s">
        <v>25</v>
      </c>
      <c r="C1293" s="2" t="s">
        <v>26</v>
      </c>
      <c r="D1293">
        <v>1155900</v>
      </c>
    </row>
    <row r="1294" spans="1:4" x14ac:dyDescent="0.2">
      <c r="A1294">
        <v>1939</v>
      </c>
      <c r="B1294" s="1" t="s">
        <v>24</v>
      </c>
      <c r="C1294" s="2" t="s">
        <v>27</v>
      </c>
      <c r="D1294">
        <v>1397400</v>
      </c>
    </row>
    <row r="1295" spans="1:4" x14ac:dyDescent="0.2">
      <c r="A1295">
        <v>1939</v>
      </c>
      <c r="B1295" s="1" t="s">
        <v>25</v>
      </c>
      <c r="C1295" s="2" t="s">
        <v>27</v>
      </c>
      <c r="D1295">
        <v>1430600</v>
      </c>
    </row>
    <row r="1296" spans="1:4" x14ac:dyDescent="0.2">
      <c r="A1296">
        <v>1939</v>
      </c>
      <c r="B1296" s="1" t="s">
        <v>24</v>
      </c>
      <c r="C1296" s="3" t="s">
        <v>28</v>
      </c>
      <c r="D1296">
        <v>1508600</v>
      </c>
    </row>
    <row r="1297" spans="1:4" x14ac:dyDescent="0.2">
      <c r="A1297">
        <v>1939</v>
      </c>
      <c r="B1297" s="1" t="s">
        <v>25</v>
      </c>
      <c r="C1297" s="3" t="s">
        <v>28</v>
      </c>
      <c r="D1297">
        <v>1525400</v>
      </c>
    </row>
    <row r="1298" spans="1:4" x14ac:dyDescent="0.2">
      <c r="A1298">
        <v>1939</v>
      </c>
      <c r="B1298" s="1" t="s">
        <v>24</v>
      </c>
      <c r="C1298" t="s">
        <v>4</v>
      </c>
      <c r="D1298">
        <v>1795900</v>
      </c>
    </row>
    <row r="1299" spans="1:4" x14ac:dyDescent="0.2">
      <c r="A1299">
        <v>1939</v>
      </c>
      <c r="B1299" s="1" t="s">
        <v>25</v>
      </c>
      <c r="C1299" t="s">
        <v>4</v>
      </c>
      <c r="D1299">
        <v>1755300</v>
      </c>
    </row>
    <row r="1300" spans="1:4" x14ac:dyDescent="0.2">
      <c r="A1300">
        <v>1939</v>
      </c>
      <c r="B1300" s="1" t="s">
        <v>24</v>
      </c>
      <c r="C1300" t="s">
        <v>5</v>
      </c>
      <c r="D1300">
        <v>1505400</v>
      </c>
    </row>
    <row r="1301" spans="1:4" x14ac:dyDescent="0.2">
      <c r="A1301">
        <v>1939</v>
      </c>
      <c r="B1301" s="1" t="s">
        <v>25</v>
      </c>
      <c r="C1301" t="s">
        <v>5</v>
      </c>
      <c r="D1301">
        <v>1399500</v>
      </c>
    </row>
    <row r="1302" spans="1:4" x14ac:dyDescent="0.2">
      <c r="A1302">
        <v>1939</v>
      </c>
      <c r="B1302" s="1" t="s">
        <v>24</v>
      </c>
      <c r="C1302" t="s">
        <v>12</v>
      </c>
      <c r="D1302">
        <v>1763500</v>
      </c>
    </row>
    <row r="1303" spans="1:4" x14ac:dyDescent="0.2">
      <c r="A1303">
        <v>1939</v>
      </c>
      <c r="B1303" s="1" t="s">
        <v>25</v>
      </c>
      <c r="C1303" t="s">
        <v>12</v>
      </c>
      <c r="D1303">
        <v>1658600</v>
      </c>
    </row>
    <row r="1304" spans="1:4" x14ac:dyDescent="0.2">
      <c r="A1304">
        <v>1939</v>
      </c>
      <c r="B1304" s="1" t="s">
        <v>24</v>
      </c>
      <c r="C1304" t="s">
        <v>13</v>
      </c>
      <c r="D1304">
        <v>1764900</v>
      </c>
    </row>
    <row r="1305" spans="1:4" x14ac:dyDescent="0.2">
      <c r="A1305">
        <v>1939</v>
      </c>
      <c r="B1305" s="1" t="s">
        <v>25</v>
      </c>
      <c r="C1305" t="s">
        <v>13</v>
      </c>
      <c r="D1305">
        <v>1670800</v>
      </c>
    </row>
    <row r="1306" spans="1:4" x14ac:dyDescent="0.2">
      <c r="A1306">
        <v>1939</v>
      </c>
      <c r="B1306" s="1" t="s">
        <v>24</v>
      </c>
      <c r="C1306" t="s">
        <v>14</v>
      </c>
      <c r="D1306">
        <v>1658800</v>
      </c>
    </row>
    <row r="1307" spans="1:4" x14ac:dyDescent="0.2">
      <c r="A1307">
        <v>1939</v>
      </c>
      <c r="B1307" s="1" t="s">
        <v>25</v>
      </c>
      <c r="C1307" t="s">
        <v>14</v>
      </c>
      <c r="D1307">
        <v>1566300</v>
      </c>
    </row>
    <row r="1308" spans="1:4" x14ac:dyDescent="0.2">
      <c r="A1308">
        <v>1939</v>
      </c>
      <c r="B1308" s="1" t="s">
        <v>24</v>
      </c>
      <c r="C1308" t="s">
        <v>15</v>
      </c>
      <c r="D1308">
        <v>1541500</v>
      </c>
    </row>
    <row r="1309" spans="1:4" x14ac:dyDescent="0.2">
      <c r="A1309">
        <v>1939</v>
      </c>
      <c r="B1309" s="1" t="s">
        <v>25</v>
      </c>
      <c r="C1309" t="s">
        <v>15</v>
      </c>
      <c r="D1309">
        <v>1292800</v>
      </c>
    </row>
    <row r="1310" spans="1:4" x14ac:dyDescent="0.2">
      <c r="A1310">
        <v>1939</v>
      </c>
      <c r="B1310" s="1" t="s">
        <v>24</v>
      </c>
      <c r="C1310" t="s">
        <v>16</v>
      </c>
      <c r="D1310">
        <v>1443500</v>
      </c>
    </row>
    <row r="1311" spans="1:4" x14ac:dyDescent="0.2">
      <c r="A1311">
        <v>1939</v>
      </c>
      <c r="B1311" s="1" t="s">
        <v>25</v>
      </c>
      <c r="C1311" t="s">
        <v>16</v>
      </c>
      <c r="D1311">
        <v>1220100</v>
      </c>
    </row>
    <row r="1312" spans="1:4" x14ac:dyDescent="0.2">
      <c r="A1312">
        <v>1939</v>
      </c>
      <c r="B1312" s="1" t="s">
        <v>24</v>
      </c>
      <c r="C1312" t="s">
        <v>17</v>
      </c>
      <c r="D1312">
        <v>1344500</v>
      </c>
    </row>
    <row r="1313" spans="1:4" x14ac:dyDescent="0.2">
      <c r="A1313">
        <v>1939</v>
      </c>
      <c r="B1313" s="1" t="s">
        <v>25</v>
      </c>
      <c r="C1313" t="s">
        <v>17</v>
      </c>
      <c r="D1313">
        <v>1147200</v>
      </c>
    </row>
    <row r="1314" spans="1:4" x14ac:dyDescent="0.2">
      <c r="A1314">
        <v>1939</v>
      </c>
      <c r="B1314" s="1" t="s">
        <v>24</v>
      </c>
      <c r="C1314" t="s">
        <v>18</v>
      </c>
      <c r="D1314">
        <v>1233300</v>
      </c>
    </row>
    <row r="1315" spans="1:4" x14ac:dyDescent="0.2">
      <c r="A1315">
        <v>1939</v>
      </c>
      <c r="B1315" s="1" t="s">
        <v>25</v>
      </c>
      <c r="C1315" t="s">
        <v>18</v>
      </c>
      <c r="D1315">
        <v>1049600</v>
      </c>
    </row>
    <row r="1316" spans="1:4" x14ac:dyDescent="0.2">
      <c r="A1316">
        <v>1939</v>
      </c>
      <c r="B1316" s="1" t="s">
        <v>24</v>
      </c>
      <c r="C1316" t="s">
        <v>19</v>
      </c>
      <c r="D1316">
        <v>1063700</v>
      </c>
    </row>
    <row r="1317" spans="1:4" x14ac:dyDescent="0.2">
      <c r="A1317">
        <v>1939</v>
      </c>
      <c r="B1317" s="1" t="s">
        <v>25</v>
      </c>
      <c r="C1317" t="s">
        <v>19</v>
      </c>
      <c r="D1317">
        <v>913000</v>
      </c>
    </row>
    <row r="1318" spans="1:4" x14ac:dyDescent="0.2">
      <c r="A1318">
        <v>1939</v>
      </c>
      <c r="B1318" s="1" t="s">
        <v>24</v>
      </c>
      <c r="C1318" t="s">
        <v>20</v>
      </c>
      <c r="D1318">
        <v>854000</v>
      </c>
    </row>
    <row r="1319" spans="1:4" x14ac:dyDescent="0.2">
      <c r="A1319">
        <v>1939</v>
      </c>
      <c r="B1319" s="1" t="s">
        <v>25</v>
      </c>
      <c r="C1319" t="s">
        <v>20</v>
      </c>
      <c r="D1319">
        <v>715400</v>
      </c>
    </row>
    <row r="1320" spans="1:4" x14ac:dyDescent="0.2">
      <c r="A1320">
        <v>1939</v>
      </c>
      <c r="B1320" s="1" t="s">
        <v>24</v>
      </c>
      <c r="C1320" t="s">
        <v>21</v>
      </c>
      <c r="D1320">
        <v>623100</v>
      </c>
    </row>
    <row r="1321" spans="1:4" x14ac:dyDescent="0.2">
      <c r="A1321">
        <v>1939</v>
      </c>
      <c r="B1321" s="1" t="s">
        <v>25</v>
      </c>
      <c r="C1321" t="s">
        <v>21</v>
      </c>
      <c r="D1321">
        <v>479000</v>
      </c>
    </row>
    <row r="1322" spans="1:4" x14ac:dyDescent="0.2">
      <c r="A1322">
        <v>1939</v>
      </c>
      <c r="B1322" s="1" t="s">
        <v>24</v>
      </c>
      <c r="C1322" t="s">
        <v>22</v>
      </c>
      <c r="D1322">
        <v>381100</v>
      </c>
    </row>
    <row r="1323" spans="1:4" x14ac:dyDescent="0.2">
      <c r="A1323">
        <v>1939</v>
      </c>
      <c r="B1323" s="1" t="s">
        <v>25</v>
      </c>
      <c r="C1323" t="s">
        <v>22</v>
      </c>
      <c r="D1323">
        <v>255100</v>
      </c>
    </row>
    <row r="1324" spans="1:4" x14ac:dyDescent="0.2">
      <c r="A1324">
        <v>1939</v>
      </c>
      <c r="B1324" s="1" t="s">
        <v>24</v>
      </c>
      <c r="C1324" t="s">
        <v>30</v>
      </c>
      <c r="D1324">
        <v>275500</v>
      </c>
    </row>
    <row r="1325" spans="1:4" x14ac:dyDescent="0.2">
      <c r="A1325">
        <v>1939</v>
      </c>
      <c r="B1325" s="1" t="s">
        <v>25</v>
      </c>
      <c r="C1325" t="s">
        <v>30</v>
      </c>
      <c r="D1325">
        <v>148700</v>
      </c>
    </row>
    <row r="1326" spans="1:4" x14ac:dyDescent="0.2">
      <c r="A1326">
        <v>1940</v>
      </c>
      <c r="B1326" s="1" t="s">
        <v>24</v>
      </c>
      <c r="C1326" s="1" t="s">
        <v>29</v>
      </c>
      <c r="D1326">
        <v>284000</v>
      </c>
    </row>
    <row r="1327" spans="1:4" x14ac:dyDescent="0.2">
      <c r="A1327">
        <v>1940</v>
      </c>
      <c r="B1327" s="1" t="s">
        <v>25</v>
      </c>
      <c r="C1327" s="1" t="s">
        <v>29</v>
      </c>
      <c r="D1327">
        <v>297000</v>
      </c>
    </row>
    <row r="1328" spans="1:4" x14ac:dyDescent="0.2">
      <c r="A1328">
        <v>1940</v>
      </c>
      <c r="B1328" s="1" t="s">
        <v>24</v>
      </c>
      <c r="C1328" s="2" t="s">
        <v>26</v>
      </c>
      <c r="D1328">
        <v>1128000</v>
      </c>
    </row>
    <row r="1329" spans="1:4" x14ac:dyDescent="0.2">
      <c r="A1329">
        <v>1940</v>
      </c>
      <c r="B1329" s="1" t="s">
        <v>25</v>
      </c>
      <c r="C1329" s="2" t="s">
        <v>26</v>
      </c>
      <c r="D1329">
        <v>1172000</v>
      </c>
    </row>
    <row r="1330" spans="1:4" x14ac:dyDescent="0.2">
      <c r="A1330">
        <v>1940</v>
      </c>
      <c r="B1330" s="1" t="s">
        <v>24</v>
      </c>
      <c r="C1330" s="2" t="s">
        <v>27</v>
      </c>
      <c r="D1330">
        <v>1380000</v>
      </c>
    </row>
    <row r="1331" spans="1:4" x14ac:dyDescent="0.2">
      <c r="A1331">
        <v>1940</v>
      </c>
      <c r="B1331" s="1" t="s">
        <v>25</v>
      </c>
      <c r="C1331" s="2" t="s">
        <v>27</v>
      </c>
      <c r="D1331">
        <v>1417000</v>
      </c>
    </row>
    <row r="1332" spans="1:4" x14ac:dyDescent="0.2">
      <c r="A1332">
        <v>1940</v>
      </c>
      <c r="B1332" s="1" t="s">
        <v>24</v>
      </c>
      <c r="C1332" s="3" t="s">
        <v>28</v>
      </c>
      <c r="D1332">
        <v>1488000</v>
      </c>
    </row>
    <row r="1333" spans="1:4" x14ac:dyDescent="0.2">
      <c r="A1333">
        <v>1940</v>
      </c>
      <c r="B1333" s="1" t="s">
        <v>25</v>
      </c>
      <c r="C1333" s="3" t="s">
        <v>28</v>
      </c>
      <c r="D1333">
        <v>1506000</v>
      </c>
    </row>
    <row r="1334" spans="1:4" x14ac:dyDescent="0.2">
      <c r="A1334">
        <v>1940</v>
      </c>
      <c r="B1334" s="1" t="s">
        <v>24</v>
      </c>
      <c r="C1334" t="s">
        <v>4</v>
      </c>
      <c r="D1334">
        <v>1712000</v>
      </c>
    </row>
    <row r="1335" spans="1:4" x14ac:dyDescent="0.2">
      <c r="A1335">
        <v>1940</v>
      </c>
      <c r="B1335" s="1" t="s">
        <v>25</v>
      </c>
      <c r="C1335" t="s">
        <v>4</v>
      </c>
      <c r="D1335">
        <v>1588000</v>
      </c>
    </row>
    <row r="1336" spans="1:4" x14ac:dyDescent="0.2">
      <c r="A1336">
        <v>1940</v>
      </c>
      <c r="B1336" s="1" t="s">
        <v>24</v>
      </c>
      <c r="C1336" t="s">
        <v>5</v>
      </c>
      <c r="D1336">
        <v>1566000</v>
      </c>
    </row>
    <row r="1337" spans="1:4" x14ac:dyDescent="0.2">
      <c r="A1337">
        <v>1940</v>
      </c>
      <c r="B1337" s="1" t="s">
        <v>25</v>
      </c>
      <c r="C1337" t="s">
        <v>5</v>
      </c>
      <c r="D1337">
        <v>763000</v>
      </c>
    </row>
    <row r="1338" spans="1:4" x14ac:dyDescent="0.2">
      <c r="A1338">
        <v>1940</v>
      </c>
      <c r="B1338" s="1" t="s">
        <v>24</v>
      </c>
      <c r="C1338" t="s">
        <v>12</v>
      </c>
      <c r="D1338">
        <v>1762000</v>
      </c>
    </row>
    <row r="1339" spans="1:4" x14ac:dyDescent="0.2">
      <c r="A1339">
        <v>1940</v>
      </c>
      <c r="B1339" s="1" t="s">
        <v>25</v>
      </c>
      <c r="C1339" t="s">
        <v>12</v>
      </c>
      <c r="D1339">
        <v>1280000</v>
      </c>
    </row>
    <row r="1340" spans="1:4" x14ac:dyDescent="0.2">
      <c r="A1340">
        <v>1940</v>
      </c>
      <c r="B1340" s="1" t="s">
        <v>24</v>
      </c>
      <c r="C1340" t="s">
        <v>13</v>
      </c>
      <c r="D1340">
        <v>1773000</v>
      </c>
    </row>
    <row r="1341" spans="1:4" x14ac:dyDescent="0.2">
      <c r="A1341">
        <v>1940</v>
      </c>
      <c r="B1341" s="1" t="s">
        <v>25</v>
      </c>
      <c r="C1341" t="s">
        <v>13</v>
      </c>
      <c r="D1341">
        <v>1501000</v>
      </c>
    </row>
    <row r="1342" spans="1:4" x14ac:dyDescent="0.2">
      <c r="A1342">
        <v>1940</v>
      </c>
      <c r="B1342" s="1" t="s">
        <v>24</v>
      </c>
      <c r="C1342" t="s">
        <v>14</v>
      </c>
      <c r="D1342">
        <v>1684000</v>
      </c>
    </row>
    <row r="1343" spans="1:4" x14ac:dyDescent="0.2">
      <c r="A1343">
        <v>1940</v>
      </c>
      <c r="B1343" s="1" t="s">
        <v>25</v>
      </c>
      <c r="C1343" t="s">
        <v>14</v>
      </c>
      <c r="D1343">
        <v>1497000</v>
      </c>
    </row>
    <row r="1344" spans="1:4" x14ac:dyDescent="0.2">
      <c r="A1344">
        <v>1940</v>
      </c>
      <c r="B1344" s="1" t="s">
        <v>24</v>
      </c>
      <c r="C1344" t="s">
        <v>15</v>
      </c>
      <c r="D1344">
        <v>1558000</v>
      </c>
    </row>
    <row r="1345" spans="1:4" x14ac:dyDescent="0.2">
      <c r="A1345">
        <v>1940</v>
      </c>
      <c r="B1345" s="1" t="s">
        <v>25</v>
      </c>
      <c r="C1345" t="s">
        <v>15</v>
      </c>
      <c r="D1345">
        <v>1288000</v>
      </c>
    </row>
    <row r="1346" spans="1:4" x14ac:dyDescent="0.2">
      <c r="A1346">
        <v>1940</v>
      </c>
      <c r="B1346" s="1" t="s">
        <v>24</v>
      </c>
      <c r="C1346" t="s">
        <v>16</v>
      </c>
      <c r="D1346">
        <v>1455000</v>
      </c>
    </row>
    <row r="1347" spans="1:4" x14ac:dyDescent="0.2">
      <c r="A1347">
        <v>1940</v>
      </c>
      <c r="B1347" s="1" t="s">
        <v>25</v>
      </c>
      <c r="C1347" t="s">
        <v>16</v>
      </c>
      <c r="D1347">
        <v>1193000</v>
      </c>
    </row>
    <row r="1348" spans="1:4" x14ac:dyDescent="0.2">
      <c r="A1348">
        <v>1940</v>
      </c>
      <c r="B1348" s="1" t="s">
        <v>24</v>
      </c>
      <c r="C1348" t="s">
        <v>17</v>
      </c>
      <c r="D1348">
        <v>1356000</v>
      </c>
    </row>
    <row r="1349" spans="1:4" x14ac:dyDescent="0.2">
      <c r="A1349">
        <v>1940</v>
      </c>
      <c r="B1349" s="1" t="s">
        <v>25</v>
      </c>
      <c r="C1349" t="s">
        <v>17</v>
      </c>
      <c r="D1349">
        <v>1147000</v>
      </c>
    </row>
    <row r="1350" spans="1:4" x14ac:dyDescent="0.2">
      <c r="A1350">
        <v>1940</v>
      </c>
      <c r="B1350" s="1" t="s">
        <v>24</v>
      </c>
      <c r="C1350" t="s">
        <v>18</v>
      </c>
      <c r="D1350">
        <v>1244000</v>
      </c>
    </row>
    <row r="1351" spans="1:4" x14ac:dyDescent="0.2">
      <c r="A1351">
        <v>1940</v>
      </c>
      <c r="B1351" s="1" t="s">
        <v>25</v>
      </c>
      <c r="C1351" t="s">
        <v>18</v>
      </c>
      <c r="D1351">
        <v>1052000</v>
      </c>
    </row>
    <row r="1352" spans="1:4" x14ac:dyDescent="0.2">
      <c r="A1352">
        <v>1940</v>
      </c>
      <c r="B1352" s="1" t="s">
        <v>24</v>
      </c>
      <c r="C1352" t="s">
        <v>19</v>
      </c>
      <c r="D1352">
        <v>1085000</v>
      </c>
    </row>
    <row r="1353" spans="1:4" x14ac:dyDescent="0.2">
      <c r="A1353">
        <v>1940</v>
      </c>
      <c r="B1353" s="1" t="s">
        <v>25</v>
      </c>
      <c r="C1353" t="s">
        <v>19</v>
      </c>
      <c r="D1353">
        <v>922000</v>
      </c>
    </row>
    <row r="1354" spans="1:4" x14ac:dyDescent="0.2">
      <c r="A1354">
        <v>1940</v>
      </c>
      <c r="B1354" s="1" t="s">
        <v>24</v>
      </c>
      <c r="C1354" t="s">
        <v>20</v>
      </c>
      <c r="D1354">
        <v>869000</v>
      </c>
    </row>
    <row r="1355" spans="1:4" x14ac:dyDescent="0.2">
      <c r="A1355">
        <v>1940</v>
      </c>
      <c r="B1355" s="1" t="s">
        <v>25</v>
      </c>
      <c r="C1355" t="s">
        <v>20</v>
      </c>
      <c r="D1355">
        <v>724000</v>
      </c>
    </row>
    <row r="1356" spans="1:4" x14ac:dyDescent="0.2">
      <c r="A1356">
        <v>1940</v>
      </c>
      <c r="B1356" s="1" t="s">
        <v>24</v>
      </c>
      <c r="C1356" t="s">
        <v>21</v>
      </c>
      <c r="D1356">
        <v>631000</v>
      </c>
    </row>
    <row r="1357" spans="1:4" x14ac:dyDescent="0.2">
      <c r="A1357">
        <v>1940</v>
      </c>
      <c r="B1357" s="1" t="s">
        <v>25</v>
      </c>
      <c r="C1357" t="s">
        <v>21</v>
      </c>
      <c r="D1357">
        <v>487000</v>
      </c>
    </row>
    <row r="1358" spans="1:4" x14ac:dyDescent="0.2">
      <c r="A1358">
        <v>1940</v>
      </c>
      <c r="B1358" s="1" t="s">
        <v>24</v>
      </c>
      <c r="C1358" t="s">
        <v>22</v>
      </c>
      <c r="D1358">
        <v>390000</v>
      </c>
    </row>
    <row r="1359" spans="1:4" x14ac:dyDescent="0.2">
      <c r="A1359">
        <v>1940</v>
      </c>
      <c r="B1359" s="1" t="s">
        <v>25</v>
      </c>
      <c r="C1359" t="s">
        <v>22</v>
      </c>
      <c r="D1359">
        <v>259000</v>
      </c>
    </row>
    <row r="1360" spans="1:4" x14ac:dyDescent="0.2">
      <c r="A1360">
        <v>1940</v>
      </c>
      <c r="B1360" s="1" t="s">
        <v>24</v>
      </c>
      <c r="C1360" t="s">
        <v>23</v>
      </c>
      <c r="D1360">
        <v>194000</v>
      </c>
    </row>
    <row r="1361" spans="1:4" x14ac:dyDescent="0.2">
      <c r="A1361">
        <v>1940</v>
      </c>
      <c r="B1361" s="1" t="s">
        <v>25</v>
      </c>
      <c r="C1361" t="s">
        <v>23</v>
      </c>
      <c r="D1361">
        <v>110000</v>
      </c>
    </row>
    <row r="1362" spans="1:4" x14ac:dyDescent="0.2">
      <c r="A1362">
        <v>1940</v>
      </c>
      <c r="B1362" s="1" t="s">
        <v>24</v>
      </c>
      <c r="C1362" t="s">
        <v>31</v>
      </c>
      <c r="D1362">
        <v>87000</v>
      </c>
    </row>
    <row r="1363" spans="1:4" x14ac:dyDescent="0.2">
      <c r="A1363">
        <v>1940</v>
      </c>
      <c r="B1363" s="1" t="s">
        <v>25</v>
      </c>
      <c r="C1363" t="s">
        <v>31</v>
      </c>
      <c r="D1363">
        <v>40000</v>
      </c>
    </row>
    <row r="1364" spans="1:4" x14ac:dyDescent="0.2">
      <c r="A1364">
        <v>1941</v>
      </c>
      <c r="B1364" s="1" t="s">
        <v>24</v>
      </c>
      <c r="C1364" s="1" t="s">
        <v>29</v>
      </c>
      <c r="D1364">
        <v>268000</v>
      </c>
    </row>
    <row r="1365" spans="1:4" x14ac:dyDescent="0.2">
      <c r="A1365">
        <v>1941</v>
      </c>
      <c r="B1365" s="1" t="s">
        <v>25</v>
      </c>
      <c r="C1365" s="1" t="s">
        <v>29</v>
      </c>
      <c r="D1365">
        <v>280000</v>
      </c>
    </row>
    <row r="1366" spans="1:4" x14ac:dyDescent="0.2">
      <c r="A1366">
        <v>1941</v>
      </c>
      <c r="B1366" s="1" t="s">
        <v>24</v>
      </c>
      <c r="C1366" s="2" t="s">
        <v>26</v>
      </c>
      <c r="D1366">
        <v>1125000</v>
      </c>
    </row>
    <row r="1367" spans="1:4" x14ac:dyDescent="0.2">
      <c r="A1367">
        <v>1941</v>
      </c>
      <c r="B1367" s="1" t="s">
        <v>25</v>
      </c>
      <c r="C1367" s="2" t="s">
        <v>26</v>
      </c>
      <c r="D1367">
        <v>1169000</v>
      </c>
    </row>
    <row r="1368" spans="1:4" x14ac:dyDescent="0.2">
      <c r="A1368">
        <v>1941</v>
      </c>
      <c r="B1368" s="1" t="s">
        <v>24</v>
      </c>
      <c r="C1368" s="2" t="s">
        <v>27</v>
      </c>
      <c r="D1368">
        <v>1358000</v>
      </c>
    </row>
    <row r="1369" spans="1:4" x14ac:dyDescent="0.2">
      <c r="A1369">
        <v>1941</v>
      </c>
      <c r="B1369" s="1" t="s">
        <v>25</v>
      </c>
      <c r="C1369" s="2" t="s">
        <v>27</v>
      </c>
      <c r="D1369">
        <v>1399000</v>
      </c>
    </row>
    <row r="1370" spans="1:4" x14ac:dyDescent="0.2">
      <c r="A1370">
        <v>1941</v>
      </c>
      <c r="B1370" s="1" t="s">
        <v>24</v>
      </c>
      <c r="C1370" s="3" t="s">
        <v>28</v>
      </c>
      <c r="D1370">
        <v>1461000</v>
      </c>
    </row>
    <row r="1371" spans="1:4" x14ac:dyDescent="0.2">
      <c r="A1371">
        <v>1941</v>
      </c>
      <c r="B1371" s="1" t="s">
        <v>25</v>
      </c>
      <c r="C1371" s="3" t="s">
        <v>28</v>
      </c>
      <c r="D1371">
        <v>1482000</v>
      </c>
    </row>
    <row r="1372" spans="1:4" x14ac:dyDescent="0.2">
      <c r="A1372">
        <v>1941</v>
      </c>
      <c r="B1372" s="1" t="s">
        <v>24</v>
      </c>
      <c r="C1372" t="s">
        <v>4</v>
      </c>
      <c r="D1372">
        <v>1617000</v>
      </c>
    </row>
    <row r="1373" spans="1:4" x14ac:dyDescent="0.2">
      <c r="A1373">
        <v>1941</v>
      </c>
      <c r="B1373" s="1" t="s">
        <v>25</v>
      </c>
      <c r="C1373" t="s">
        <v>4</v>
      </c>
      <c r="D1373">
        <v>1444000</v>
      </c>
    </row>
    <row r="1374" spans="1:4" x14ac:dyDescent="0.2">
      <c r="A1374">
        <v>1941</v>
      </c>
      <c r="B1374" s="1" t="s">
        <v>24</v>
      </c>
      <c r="C1374" t="s">
        <v>5</v>
      </c>
      <c r="D1374">
        <v>1574000</v>
      </c>
    </row>
    <row r="1375" spans="1:4" x14ac:dyDescent="0.2">
      <c r="A1375">
        <v>1941</v>
      </c>
      <c r="B1375" s="1" t="s">
        <v>25</v>
      </c>
      <c r="C1375" t="s">
        <v>5</v>
      </c>
      <c r="D1375">
        <v>580000</v>
      </c>
    </row>
    <row r="1376" spans="1:4" x14ac:dyDescent="0.2">
      <c r="A1376">
        <v>1941</v>
      </c>
      <c r="B1376" s="1" t="s">
        <v>24</v>
      </c>
      <c r="C1376" t="s">
        <v>12</v>
      </c>
      <c r="D1376">
        <v>1704000</v>
      </c>
    </row>
    <row r="1377" spans="1:4" x14ac:dyDescent="0.2">
      <c r="A1377">
        <v>1941</v>
      </c>
      <c r="B1377" s="1" t="s">
        <v>25</v>
      </c>
      <c r="C1377" t="s">
        <v>12</v>
      </c>
      <c r="D1377">
        <v>879000</v>
      </c>
    </row>
    <row r="1378" spans="1:4" x14ac:dyDescent="0.2">
      <c r="A1378">
        <v>1941</v>
      </c>
      <c r="B1378" s="1" t="s">
        <v>24</v>
      </c>
      <c r="C1378" t="s">
        <v>13</v>
      </c>
      <c r="D1378">
        <v>1760000</v>
      </c>
    </row>
    <row r="1379" spans="1:4" x14ac:dyDescent="0.2">
      <c r="A1379">
        <v>1941</v>
      </c>
      <c r="B1379" s="1" t="s">
        <v>25</v>
      </c>
      <c r="C1379" t="s">
        <v>13</v>
      </c>
      <c r="D1379">
        <v>1241000</v>
      </c>
    </row>
    <row r="1380" spans="1:4" x14ac:dyDescent="0.2">
      <c r="A1380">
        <v>1941</v>
      </c>
      <c r="B1380" s="1" t="s">
        <v>24</v>
      </c>
      <c r="C1380" t="s">
        <v>14</v>
      </c>
      <c r="D1380">
        <v>1691000</v>
      </c>
    </row>
    <row r="1381" spans="1:4" x14ac:dyDescent="0.2">
      <c r="A1381">
        <v>1941</v>
      </c>
      <c r="B1381" s="1" t="s">
        <v>25</v>
      </c>
      <c r="C1381" t="s">
        <v>14</v>
      </c>
      <c r="D1381">
        <v>1431000</v>
      </c>
    </row>
    <row r="1382" spans="1:4" x14ac:dyDescent="0.2">
      <c r="A1382">
        <v>1941</v>
      </c>
      <c r="B1382" s="1" t="s">
        <v>24</v>
      </c>
      <c r="C1382" t="s">
        <v>15</v>
      </c>
      <c r="D1382">
        <v>1567000</v>
      </c>
    </row>
    <row r="1383" spans="1:4" x14ac:dyDescent="0.2">
      <c r="A1383">
        <v>1941</v>
      </c>
      <c r="B1383" s="1" t="s">
        <v>25</v>
      </c>
      <c r="C1383" t="s">
        <v>15</v>
      </c>
      <c r="D1383">
        <v>1333000</v>
      </c>
    </row>
    <row r="1384" spans="1:4" x14ac:dyDescent="0.2">
      <c r="A1384">
        <v>1941</v>
      </c>
      <c r="B1384" s="1" t="s">
        <v>24</v>
      </c>
      <c r="C1384" t="s">
        <v>16</v>
      </c>
      <c r="D1384">
        <v>1462000</v>
      </c>
    </row>
    <row r="1385" spans="1:4" x14ac:dyDescent="0.2">
      <c r="A1385">
        <v>1941</v>
      </c>
      <c r="B1385" s="1" t="s">
        <v>25</v>
      </c>
      <c r="C1385" t="s">
        <v>16</v>
      </c>
      <c r="D1385">
        <v>1202000</v>
      </c>
    </row>
    <row r="1386" spans="1:4" x14ac:dyDescent="0.2">
      <c r="A1386">
        <v>1941</v>
      </c>
      <c r="B1386" s="1" t="s">
        <v>24</v>
      </c>
      <c r="C1386" t="s">
        <v>17</v>
      </c>
      <c r="D1386">
        <v>1362000</v>
      </c>
    </row>
    <row r="1387" spans="1:4" x14ac:dyDescent="0.2">
      <c r="A1387">
        <v>1941</v>
      </c>
      <c r="B1387" s="1" t="s">
        <v>25</v>
      </c>
      <c r="C1387" t="s">
        <v>17</v>
      </c>
      <c r="D1387">
        <v>1161000</v>
      </c>
    </row>
    <row r="1388" spans="1:4" x14ac:dyDescent="0.2">
      <c r="A1388">
        <v>1941</v>
      </c>
      <c r="B1388" s="1" t="s">
        <v>24</v>
      </c>
      <c r="C1388" t="s">
        <v>18</v>
      </c>
      <c r="D1388">
        <v>1251000</v>
      </c>
    </row>
    <row r="1389" spans="1:4" x14ac:dyDescent="0.2">
      <c r="A1389">
        <v>1941</v>
      </c>
      <c r="B1389" s="1" t="s">
        <v>25</v>
      </c>
      <c r="C1389" t="s">
        <v>18</v>
      </c>
      <c r="D1389">
        <v>1052000</v>
      </c>
    </row>
    <row r="1390" spans="1:4" x14ac:dyDescent="0.2">
      <c r="A1390">
        <v>1941</v>
      </c>
      <c r="B1390" s="1" t="s">
        <v>24</v>
      </c>
      <c r="C1390" t="s">
        <v>19</v>
      </c>
      <c r="D1390">
        <v>1103000</v>
      </c>
    </row>
    <row r="1391" spans="1:4" x14ac:dyDescent="0.2">
      <c r="A1391">
        <v>1941</v>
      </c>
      <c r="B1391" s="1" t="s">
        <v>25</v>
      </c>
      <c r="C1391" t="s">
        <v>19</v>
      </c>
      <c r="D1391">
        <v>924000</v>
      </c>
    </row>
    <row r="1392" spans="1:4" x14ac:dyDescent="0.2">
      <c r="A1392">
        <v>1941</v>
      </c>
      <c r="B1392" s="1" t="s">
        <v>24</v>
      </c>
      <c r="C1392" t="s">
        <v>20</v>
      </c>
      <c r="D1392">
        <v>882000</v>
      </c>
    </row>
    <row r="1393" spans="1:4" x14ac:dyDescent="0.2">
      <c r="A1393">
        <v>1941</v>
      </c>
      <c r="B1393" s="1" t="s">
        <v>25</v>
      </c>
      <c r="C1393" t="s">
        <v>20</v>
      </c>
      <c r="D1393">
        <v>728000</v>
      </c>
    </row>
    <row r="1394" spans="1:4" x14ac:dyDescent="0.2">
      <c r="A1394">
        <v>1941</v>
      </c>
      <c r="B1394" s="1" t="s">
        <v>24</v>
      </c>
      <c r="C1394" t="s">
        <v>21</v>
      </c>
      <c r="D1394">
        <v>641000</v>
      </c>
    </row>
    <row r="1395" spans="1:4" x14ac:dyDescent="0.2">
      <c r="A1395">
        <v>1941</v>
      </c>
      <c r="B1395" s="1" t="s">
        <v>25</v>
      </c>
      <c r="C1395" t="s">
        <v>21</v>
      </c>
      <c r="D1395">
        <v>500000</v>
      </c>
    </row>
    <row r="1396" spans="1:4" x14ac:dyDescent="0.2">
      <c r="A1396">
        <v>1941</v>
      </c>
      <c r="B1396" s="1" t="s">
        <v>24</v>
      </c>
      <c r="C1396" t="s">
        <v>22</v>
      </c>
      <c r="D1396">
        <v>401000</v>
      </c>
    </row>
    <row r="1397" spans="1:4" x14ac:dyDescent="0.2">
      <c r="A1397">
        <v>1941</v>
      </c>
      <c r="B1397" s="1" t="s">
        <v>25</v>
      </c>
      <c r="C1397" t="s">
        <v>22</v>
      </c>
      <c r="D1397">
        <v>268000</v>
      </c>
    </row>
    <row r="1398" spans="1:4" x14ac:dyDescent="0.2">
      <c r="A1398">
        <v>1941</v>
      </c>
      <c r="B1398" s="1" t="s">
        <v>24</v>
      </c>
      <c r="C1398" t="s">
        <v>23</v>
      </c>
      <c r="D1398">
        <v>199000</v>
      </c>
    </row>
    <row r="1399" spans="1:4" x14ac:dyDescent="0.2">
      <c r="A1399">
        <v>1941</v>
      </c>
      <c r="B1399" s="1" t="s">
        <v>25</v>
      </c>
      <c r="C1399" t="s">
        <v>23</v>
      </c>
      <c r="D1399">
        <v>113000</v>
      </c>
    </row>
    <row r="1400" spans="1:4" x14ac:dyDescent="0.2">
      <c r="A1400">
        <v>1941</v>
      </c>
      <c r="B1400" s="1" t="s">
        <v>24</v>
      </c>
      <c r="C1400" t="s">
        <v>31</v>
      </c>
      <c r="D1400">
        <v>89000</v>
      </c>
    </row>
    <row r="1401" spans="1:4" x14ac:dyDescent="0.2">
      <c r="A1401">
        <v>1941</v>
      </c>
      <c r="B1401" s="1" t="s">
        <v>25</v>
      </c>
      <c r="C1401" t="s">
        <v>31</v>
      </c>
      <c r="D1401">
        <v>42000</v>
      </c>
    </row>
    <row r="1402" spans="1:4" x14ac:dyDescent="0.2">
      <c r="A1402">
        <v>1942</v>
      </c>
      <c r="B1402" s="1" t="s">
        <v>24</v>
      </c>
      <c r="C1402" s="1" t="s">
        <v>29</v>
      </c>
      <c r="D1402">
        <v>288000</v>
      </c>
    </row>
    <row r="1403" spans="1:4" x14ac:dyDescent="0.2">
      <c r="A1403">
        <v>1942</v>
      </c>
      <c r="B1403" s="1" t="s">
        <v>25</v>
      </c>
      <c r="C1403" s="1" t="s">
        <v>29</v>
      </c>
      <c r="D1403">
        <v>302000</v>
      </c>
    </row>
    <row r="1404" spans="1:4" x14ac:dyDescent="0.2">
      <c r="A1404">
        <v>1942</v>
      </c>
      <c r="B1404" s="1" t="s">
        <v>24</v>
      </c>
      <c r="C1404" s="2" t="s">
        <v>26</v>
      </c>
      <c r="D1404">
        <v>1112000</v>
      </c>
    </row>
    <row r="1405" spans="1:4" x14ac:dyDescent="0.2">
      <c r="A1405">
        <v>1942</v>
      </c>
      <c r="B1405" s="1" t="s">
        <v>25</v>
      </c>
      <c r="C1405" s="2" t="s">
        <v>26</v>
      </c>
      <c r="D1405">
        <v>1158000</v>
      </c>
    </row>
    <row r="1406" spans="1:4" x14ac:dyDescent="0.2">
      <c r="A1406">
        <v>1942</v>
      </c>
      <c r="B1406" s="1" t="s">
        <v>24</v>
      </c>
      <c r="C1406" s="2" t="s">
        <v>27</v>
      </c>
      <c r="D1406">
        <v>1355000</v>
      </c>
    </row>
    <row r="1407" spans="1:4" x14ac:dyDescent="0.2">
      <c r="A1407">
        <v>1942</v>
      </c>
      <c r="B1407" s="1" t="s">
        <v>25</v>
      </c>
      <c r="C1407" s="2" t="s">
        <v>27</v>
      </c>
      <c r="D1407">
        <v>1398000</v>
      </c>
    </row>
    <row r="1408" spans="1:4" x14ac:dyDescent="0.2">
      <c r="A1408">
        <v>1942</v>
      </c>
      <c r="B1408" s="1" t="s">
        <v>24</v>
      </c>
      <c r="C1408" s="3" t="s">
        <v>28</v>
      </c>
      <c r="D1408">
        <v>1446000</v>
      </c>
    </row>
    <row r="1409" spans="1:4" x14ac:dyDescent="0.2">
      <c r="A1409">
        <v>1942</v>
      </c>
      <c r="B1409" s="1" t="s">
        <v>25</v>
      </c>
      <c r="C1409" s="3" t="s">
        <v>28</v>
      </c>
      <c r="D1409">
        <v>1467000</v>
      </c>
    </row>
    <row r="1410" spans="1:4" x14ac:dyDescent="0.2">
      <c r="A1410">
        <v>1942</v>
      </c>
      <c r="B1410" s="1" t="s">
        <v>24</v>
      </c>
      <c r="C1410" t="s">
        <v>4</v>
      </c>
      <c r="D1410">
        <v>1517000</v>
      </c>
    </row>
    <row r="1411" spans="1:4" x14ac:dyDescent="0.2">
      <c r="A1411">
        <v>1942</v>
      </c>
      <c r="B1411" s="1" t="s">
        <v>25</v>
      </c>
      <c r="C1411" t="s">
        <v>4</v>
      </c>
      <c r="D1411">
        <v>1350000</v>
      </c>
    </row>
    <row r="1412" spans="1:4" x14ac:dyDescent="0.2">
      <c r="A1412">
        <v>1942</v>
      </c>
      <c r="B1412" s="1" t="s">
        <v>24</v>
      </c>
      <c r="C1412" t="s">
        <v>5</v>
      </c>
      <c r="D1412">
        <v>1531000</v>
      </c>
    </row>
    <row r="1413" spans="1:4" x14ac:dyDescent="0.2">
      <c r="A1413">
        <v>1942</v>
      </c>
      <c r="B1413" s="1" t="s">
        <v>25</v>
      </c>
      <c r="C1413" t="s">
        <v>5</v>
      </c>
      <c r="D1413">
        <v>542000</v>
      </c>
    </row>
    <row r="1414" spans="1:4" x14ac:dyDescent="0.2">
      <c r="A1414">
        <v>1942</v>
      </c>
      <c r="B1414" s="1" t="s">
        <v>24</v>
      </c>
      <c r="C1414" t="s">
        <v>12</v>
      </c>
      <c r="D1414">
        <v>1633000</v>
      </c>
    </row>
    <row r="1415" spans="1:4" x14ac:dyDescent="0.2">
      <c r="A1415">
        <v>1942</v>
      </c>
      <c r="B1415" s="1" t="s">
        <v>25</v>
      </c>
      <c r="C1415" t="s">
        <v>12</v>
      </c>
      <c r="D1415">
        <v>781000</v>
      </c>
    </row>
    <row r="1416" spans="1:4" x14ac:dyDescent="0.2">
      <c r="A1416">
        <v>1942</v>
      </c>
      <c r="B1416" s="1" t="s">
        <v>24</v>
      </c>
      <c r="C1416" t="s">
        <v>13</v>
      </c>
      <c r="D1416">
        <v>1747000</v>
      </c>
    </row>
    <row r="1417" spans="1:4" x14ac:dyDescent="0.2">
      <c r="A1417">
        <v>1942</v>
      </c>
      <c r="B1417" s="1" t="s">
        <v>25</v>
      </c>
      <c r="C1417" t="s">
        <v>13</v>
      </c>
      <c r="D1417">
        <v>1100000</v>
      </c>
    </row>
    <row r="1418" spans="1:4" x14ac:dyDescent="0.2">
      <c r="A1418">
        <v>1942</v>
      </c>
      <c r="B1418" s="1" t="s">
        <v>24</v>
      </c>
      <c r="C1418" t="s">
        <v>14</v>
      </c>
      <c r="D1418">
        <v>1709000</v>
      </c>
    </row>
    <row r="1419" spans="1:4" x14ac:dyDescent="0.2">
      <c r="A1419">
        <v>1942</v>
      </c>
      <c r="B1419" s="1" t="s">
        <v>25</v>
      </c>
      <c r="C1419" t="s">
        <v>14</v>
      </c>
      <c r="D1419">
        <v>1319000</v>
      </c>
    </row>
    <row r="1420" spans="1:4" x14ac:dyDescent="0.2">
      <c r="A1420">
        <v>1942</v>
      </c>
      <c r="B1420" s="1" t="s">
        <v>24</v>
      </c>
      <c r="C1420" t="s">
        <v>15</v>
      </c>
      <c r="D1420">
        <v>1585000</v>
      </c>
    </row>
    <row r="1421" spans="1:4" x14ac:dyDescent="0.2">
      <c r="A1421">
        <v>1942</v>
      </c>
      <c r="B1421" s="1" t="s">
        <v>25</v>
      </c>
      <c r="C1421" t="s">
        <v>15</v>
      </c>
      <c r="D1421">
        <v>1332000</v>
      </c>
    </row>
    <row r="1422" spans="1:4" x14ac:dyDescent="0.2">
      <c r="A1422">
        <v>1942</v>
      </c>
      <c r="B1422" s="1" t="s">
        <v>24</v>
      </c>
      <c r="C1422" t="s">
        <v>16</v>
      </c>
      <c r="D1422">
        <v>1475000</v>
      </c>
    </row>
    <row r="1423" spans="1:4" x14ac:dyDescent="0.2">
      <c r="A1423">
        <v>1942</v>
      </c>
      <c r="B1423" s="1" t="s">
        <v>25</v>
      </c>
      <c r="C1423" t="s">
        <v>16</v>
      </c>
      <c r="D1423">
        <v>1206000</v>
      </c>
    </row>
    <row r="1424" spans="1:4" x14ac:dyDescent="0.2">
      <c r="A1424">
        <v>1942</v>
      </c>
      <c r="B1424" s="1" t="s">
        <v>24</v>
      </c>
      <c r="C1424" t="s">
        <v>17</v>
      </c>
      <c r="D1424">
        <v>1373000</v>
      </c>
    </row>
    <row r="1425" spans="1:4" x14ac:dyDescent="0.2">
      <c r="A1425">
        <v>1942</v>
      </c>
      <c r="B1425" s="1" t="s">
        <v>25</v>
      </c>
      <c r="C1425" t="s">
        <v>17</v>
      </c>
      <c r="D1425">
        <v>1158000</v>
      </c>
    </row>
    <row r="1426" spans="1:4" x14ac:dyDescent="0.2">
      <c r="A1426">
        <v>1942</v>
      </c>
      <c r="B1426" s="1" t="s">
        <v>24</v>
      </c>
      <c r="C1426" t="s">
        <v>18</v>
      </c>
      <c r="D1426">
        <v>1262000</v>
      </c>
    </row>
    <row r="1427" spans="1:4" x14ac:dyDescent="0.2">
      <c r="A1427">
        <v>1942</v>
      </c>
      <c r="B1427" s="1" t="s">
        <v>25</v>
      </c>
      <c r="C1427" t="s">
        <v>18</v>
      </c>
      <c r="D1427">
        <v>1056000</v>
      </c>
    </row>
    <row r="1428" spans="1:4" x14ac:dyDescent="0.2">
      <c r="A1428">
        <v>1942</v>
      </c>
      <c r="B1428" s="1" t="s">
        <v>24</v>
      </c>
      <c r="C1428" t="s">
        <v>19</v>
      </c>
      <c r="D1428">
        <v>1124000</v>
      </c>
    </row>
    <row r="1429" spans="1:4" x14ac:dyDescent="0.2">
      <c r="A1429">
        <v>1942</v>
      </c>
      <c r="B1429" s="1" t="s">
        <v>25</v>
      </c>
      <c r="C1429" t="s">
        <v>19</v>
      </c>
      <c r="D1429">
        <v>932000</v>
      </c>
    </row>
    <row r="1430" spans="1:4" x14ac:dyDescent="0.2">
      <c r="A1430">
        <v>1942</v>
      </c>
      <c r="B1430" s="1" t="s">
        <v>24</v>
      </c>
      <c r="C1430" t="s">
        <v>20</v>
      </c>
      <c r="D1430">
        <v>903000</v>
      </c>
    </row>
    <row r="1431" spans="1:4" x14ac:dyDescent="0.2">
      <c r="A1431">
        <v>1942</v>
      </c>
      <c r="B1431" s="1" t="s">
        <v>25</v>
      </c>
      <c r="C1431" t="s">
        <v>20</v>
      </c>
      <c r="D1431">
        <v>741000</v>
      </c>
    </row>
    <row r="1432" spans="1:4" x14ac:dyDescent="0.2">
      <c r="A1432">
        <v>1942</v>
      </c>
      <c r="B1432" s="1" t="s">
        <v>24</v>
      </c>
      <c r="C1432" t="s">
        <v>21</v>
      </c>
      <c r="D1432">
        <v>662000</v>
      </c>
    </row>
    <row r="1433" spans="1:4" x14ac:dyDescent="0.2">
      <c r="A1433">
        <v>1942</v>
      </c>
      <c r="B1433" s="1" t="s">
        <v>25</v>
      </c>
      <c r="C1433" t="s">
        <v>21</v>
      </c>
      <c r="D1433">
        <v>517000</v>
      </c>
    </row>
    <row r="1434" spans="1:4" x14ac:dyDescent="0.2">
      <c r="A1434">
        <v>1942</v>
      </c>
      <c r="B1434" s="1" t="s">
        <v>24</v>
      </c>
      <c r="C1434" t="s">
        <v>22</v>
      </c>
      <c r="D1434">
        <v>416000</v>
      </c>
    </row>
    <row r="1435" spans="1:4" x14ac:dyDescent="0.2">
      <c r="A1435">
        <v>1942</v>
      </c>
      <c r="B1435" s="1" t="s">
        <v>25</v>
      </c>
      <c r="C1435" t="s">
        <v>22</v>
      </c>
      <c r="D1435">
        <v>279000</v>
      </c>
    </row>
    <row r="1436" spans="1:4" x14ac:dyDescent="0.2">
      <c r="A1436">
        <v>1942</v>
      </c>
      <c r="B1436" s="1" t="s">
        <v>24</v>
      </c>
      <c r="C1436" t="s">
        <v>23</v>
      </c>
      <c r="D1436">
        <v>208000</v>
      </c>
    </row>
    <row r="1437" spans="1:4" x14ac:dyDescent="0.2">
      <c r="A1437">
        <v>1942</v>
      </c>
      <c r="B1437" s="1" t="s">
        <v>25</v>
      </c>
      <c r="C1437" t="s">
        <v>23</v>
      </c>
      <c r="D1437">
        <v>119000</v>
      </c>
    </row>
    <row r="1438" spans="1:4" x14ac:dyDescent="0.2">
      <c r="A1438">
        <v>1942</v>
      </c>
      <c r="B1438" s="1" t="s">
        <v>24</v>
      </c>
      <c r="C1438" t="s">
        <v>31</v>
      </c>
      <c r="D1438">
        <v>95000</v>
      </c>
    </row>
    <row r="1439" spans="1:4" x14ac:dyDescent="0.2">
      <c r="A1439">
        <v>1942</v>
      </c>
      <c r="B1439" s="1" t="s">
        <v>25</v>
      </c>
      <c r="C1439" t="s">
        <v>31</v>
      </c>
      <c r="D1439">
        <v>45000</v>
      </c>
    </row>
    <row r="1440" spans="1:4" x14ac:dyDescent="0.2">
      <c r="A1440">
        <v>1943</v>
      </c>
      <c r="B1440" s="1" t="s">
        <v>24</v>
      </c>
      <c r="C1440" s="1" t="s">
        <v>29</v>
      </c>
      <c r="D1440">
        <v>318000</v>
      </c>
    </row>
    <row r="1441" spans="1:4" x14ac:dyDescent="0.2">
      <c r="A1441">
        <v>1943</v>
      </c>
      <c r="B1441" s="1" t="s">
        <v>25</v>
      </c>
      <c r="C1441" s="1" t="s">
        <v>29</v>
      </c>
      <c r="D1441">
        <v>334000</v>
      </c>
    </row>
    <row r="1442" spans="1:4" x14ac:dyDescent="0.2">
      <c r="A1442">
        <v>1943</v>
      </c>
      <c r="B1442" s="1" t="s">
        <v>24</v>
      </c>
      <c r="C1442" s="2" t="s">
        <v>26</v>
      </c>
      <c r="D1442">
        <v>1112000</v>
      </c>
    </row>
    <row r="1443" spans="1:4" x14ac:dyDescent="0.2">
      <c r="A1443">
        <v>1943</v>
      </c>
      <c r="B1443" s="1" t="s">
        <v>25</v>
      </c>
      <c r="C1443" s="2" t="s">
        <v>26</v>
      </c>
      <c r="D1443">
        <v>1157000</v>
      </c>
    </row>
    <row r="1444" spans="1:4" x14ac:dyDescent="0.2">
      <c r="A1444">
        <v>1943</v>
      </c>
      <c r="B1444" s="1" t="s">
        <v>24</v>
      </c>
      <c r="C1444" s="2" t="s">
        <v>27</v>
      </c>
      <c r="D1444">
        <v>1370000</v>
      </c>
    </row>
    <row r="1445" spans="1:4" x14ac:dyDescent="0.2">
      <c r="A1445">
        <v>1943</v>
      </c>
      <c r="B1445" s="1" t="s">
        <v>25</v>
      </c>
      <c r="C1445" s="2" t="s">
        <v>27</v>
      </c>
      <c r="D1445">
        <v>1417000</v>
      </c>
    </row>
    <row r="1446" spans="1:4" x14ac:dyDescent="0.2">
      <c r="A1446">
        <v>1943</v>
      </c>
      <c r="B1446" s="1" t="s">
        <v>24</v>
      </c>
      <c r="C1446" s="3" t="s">
        <v>28</v>
      </c>
      <c r="D1446">
        <v>1425000</v>
      </c>
    </row>
    <row r="1447" spans="1:4" x14ac:dyDescent="0.2">
      <c r="A1447">
        <v>1943</v>
      </c>
      <c r="B1447" s="1" t="s">
        <v>25</v>
      </c>
      <c r="C1447" s="3" t="s">
        <v>28</v>
      </c>
      <c r="D1447">
        <v>1450000</v>
      </c>
    </row>
    <row r="1448" spans="1:4" x14ac:dyDescent="0.2">
      <c r="A1448">
        <v>1943</v>
      </c>
      <c r="B1448" s="1" t="s">
        <v>24</v>
      </c>
      <c r="C1448" t="s">
        <v>4</v>
      </c>
      <c r="D1448">
        <v>1472000</v>
      </c>
    </row>
    <row r="1449" spans="1:4" x14ac:dyDescent="0.2">
      <c r="A1449">
        <v>1943</v>
      </c>
      <c r="B1449" s="1" t="s">
        <v>25</v>
      </c>
      <c r="C1449" t="s">
        <v>4</v>
      </c>
      <c r="D1449">
        <v>1195000</v>
      </c>
    </row>
    <row r="1450" spans="1:4" x14ac:dyDescent="0.2">
      <c r="A1450">
        <v>1943</v>
      </c>
      <c r="B1450" s="1" t="s">
        <v>24</v>
      </c>
      <c r="C1450" t="s">
        <v>5</v>
      </c>
      <c r="D1450">
        <v>1516000</v>
      </c>
    </row>
    <row r="1451" spans="1:4" x14ac:dyDescent="0.2">
      <c r="A1451">
        <v>1943</v>
      </c>
      <c r="B1451" s="1" t="s">
        <v>25</v>
      </c>
      <c r="C1451" t="s">
        <v>5</v>
      </c>
      <c r="D1451">
        <v>491000</v>
      </c>
    </row>
    <row r="1452" spans="1:4" x14ac:dyDescent="0.2">
      <c r="A1452">
        <v>1943</v>
      </c>
      <c r="B1452" s="1" t="s">
        <v>24</v>
      </c>
      <c r="C1452" t="s">
        <v>12</v>
      </c>
      <c r="D1452">
        <v>1540000</v>
      </c>
    </row>
    <row r="1453" spans="1:4" x14ac:dyDescent="0.2">
      <c r="A1453">
        <v>1943</v>
      </c>
      <c r="B1453" s="1" t="s">
        <v>25</v>
      </c>
      <c r="C1453" t="s">
        <v>12</v>
      </c>
      <c r="D1453">
        <v>645000</v>
      </c>
    </row>
    <row r="1454" spans="1:4" x14ac:dyDescent="0.2">
      <c r="A1454">
        <v>1943</v>
      </c>
      <c r="B1454" s="1" t="s">
        <v>24</v>
      </c>
      <c r="C1454" t="s">
        <v>13</v>
      </c>
      <c r="D1454">
        <v>1738000</v>
      </c>
    </row>
    <row r="1455" spans="1:4" x14ac:dyDescent="0.2">
      <c r="A1455">
        <v>1943</v>
      </c>
      <c r="B1455" s="1" t="s">
        <v>25</v>
      </c>
      <c r="C1455" t="s">
        <v>13</v>
      </c>
      <c r="D1455">
        <v>966000</v>
      </c>
    </row>
    <row r="1456" spans="1:4" x14ac:dyDescent="0.2">
      <c r="A1456">
        <v>1943</v>
      </c>
      <c r="B1456" s="1" t="s">
        <v>24</v>
      </c>
      <c r="C1456" t="s">
        <v>14</v>
      </c>
      <c r="D1456">
        <v>1726000</v>
      </c>
    </row>
    <row r="1457" spans="1:4" x14ac:dyDescent="0.2">
      <c r="A1457">
        <v>1943</v>
      </c>
      <c r="B1457" s="1" t="s">
        <v>25</v>
      </c>
      <c r="C1457" t="s">
        <v>14</v>
      </c>
      <c r="D1457">
        <v>1229000</v>
      </c>
    </row>
    <row r="1458" spans="1:4" x14ac:dyDescent="0.2">
      <c r="A1458">
        <v>1943</v>
      </c>
      <c r="B1458" s="1" t="s">
        <v>24</v>
      </c>
      <c r="C1458" t="s">
        <v>15</v>
      </c>
      <c r="D1458">
        <v>1605000</v>
      </c>
    </row>
    <row r="1459" spans="1:4" x14ac:dyDescent="0.2">
      <c r="A1459">
        <v>1943</v>
      </c>
      <c r="B1459" s="1" t="s">
        <v>25</v>
      </c>
      <c r="C1459" t="s">
        <v>15</v>
      </c>
      <c r="D1459">
        <v>1341000</v>
      </c>
    </row>
    <row r="1460" spans="1:4" x14ac:dyDescent="0.2">
      <c r="A1460">
        <v>1943</v>
      </c>
      <c r="B1460" s="1" t="s">
        <v>24</v>
      </c>
      <c r="C1460" t="s">
        <v>16</v>
      </c>
      <c r="D1460">
        <v>1490000</v>
      </c>
    </row>
    <row r="1461" spans="1:4" x14ac:dyDescent="0.2">
      <c r="A1461">
        <v>1943</v>
      </c>
      <c r="B1461" s="1" t="s">
        <v>25</v>
      </c>
      <c r="C1461" t="s">
        <v>16</v>
      </c>
      <c r="D1461">
        <v>1203000</v>
      </c>
    </row>
    <row r="1462" spans="1:4" x14ac:dyDescent="0.2">
      <c r="A1462">
        <v>1943</v>
      </c>
      <c r="B1462" s="1" t="s">
        <v>24</v>
      </c>
      <c r="C1462" t="s">
        <v>17</v>
      </c>
      <c r="D1462">
        <v>1386000</v>
      </c>
    </row>
    <row r="1463" spans="1:4" x14ac:dyDescent="0.2">
      <c r="A1463">
        <v>1943</v>
      </c>
      <c r="B1463" s="1" t="s">
        <v>25</v>
      </c>
      <c r="C1463" t="s">
        <v>17</v>
      </c>
      <c r="D1463">
        <v>1154000</v>
      </c>
    </row>
    <row r="1464" spans="1:4" x14ac:dyDescent="0.2">
      <c r="A1464">
        <v>1943</v>
      </c>
      <c r="B1464" s="1" t="s">
        <v>24</v>
      </c>
      <c r="C1464" t="s">
        <v>18</v>
      </c>
      <c r="D1464">
        <v>1276000</v>
      </c>
    </row>
    <row r="1465" spans="1:4" x14ac:dyDescent="0.2">
      <c r="A1465">
        <v>1943</v>
      </c>
      <c r="B1465" s="1" t="s">
        <v>25</v>
      </c>
      <c r="C1465" t="s">
        <v>18</v>
      </c>
      <c r="D1465">
        <v>1058000</v>
      </c>
    </row>
    <row r="1466" spans="1:4" x14ac:dyDescent="0.2">
      <c r="A1466">
        <v>1943</v>
      </c>
      <c r="B1466" s="1" t="s">
        <v>24</v>
      </c>
      <c r="C1466" t="s">
        <v>19</v>
      </c>
      <c r="D1466">
        <v>1140000</v>
      </c>
    </row>
    <row r="1467" spans="1:4" x14ac:dyDescent="0.2">
      <c r="A1467">
        <v>1943</v>
      </c>
      <c r="B1467" s="1" t="s">
        <v>25</v>
      </c>
      <c r="C1467" t="s">
        <v>19</v>
      </c>
      <c r="D1467">
        <v>933000</v>
      </c>
    </row>
    <row r="1468" spans="1:4" x14ac:dyDescent="0.2">
      <c r="A1468">
        <v>1943</v>
      </c>
      <c r="B1468" s="1" t="s">
        <v>24</v>
      </c>
      <c r="C1468" t="s">
        <v>20</v>
      </c>
      <c r="D1468">
        <v>928000</v>
      </c>
    </row>
    <row r="1469" spans="1:4" x14ac:dyDescent="0.2">
      <c r="A1469">
        <v>1943</v>
      </c>
      <c r="B1469" s="1" t="s">
        <v>25</v>
      </c>
      <c r="C1469" t="s">
        <v>20</v>
      </c>
      <c r="D1469">
        <v>755000</v>
      </c>
    </row>
    <row r="1470" spans="1:4" x14ac:dyDescent="0.2">
      <c r="A1470">
        <v>1943</v>
      </c>
      <c r="B1470" s="1" t="s">
        <v>24</v>
      </c>
      <c r="C1470" t="s">
        <v>21</v>
      </c>
      <c r="D1470">
        <v>684000</v>
      </c>
    </row>
    <row r="1471" spans="1:4" x14ac:dyDescent="0.2">
      <c r="A1471">
        <v>1943</v>
      </c>
      <c r="B1471" s="1" t="s">
        <v>25</v>
      </c>
      <c r="C1471" t="s">
        <v>21</v>
      </c>
      <c r="D1471">
        <v>534000</v>
      </c>
    </row>
    <row r="1472" spans="1:4" x14ac:dyDescent="0.2">
      <c r="A1472">
        <v>1943</v>
      </c>
      <c r="B1472" s="1" t="s">
        <v>24</v>
      </c>
      <c r="C1472" t="s">
        <v>22</v>
      </c>
      <c r="D1472">
        <v>434000</v>
      </c>
    </row>
    <row r="1473" spans="1:4" x14ac:dyDescent="0.2">
      <c r="A1473">
        <v>1943</v>
      </c>
      <c r="B1473" s="1" t="s">
        <v>25</v>
      </c>
      <c r="C1473" t="s">
        <v>22</v>
      </c>
      <c r="D1473">
        <v>295000</v>
      </c>
    </row>
    <row r="1474" spans="1:4" x14ac:dyDescent="0.2">
      <c r="A1474">
        <v>1943</v>
      </c>
      <c r="B1474" s="1" t="s">
        <v>24</v>
      </c>
      <c r="C1474" t="s">
        <v>23</v>
      </c>
      <c r="D1474">
        <v>219000</v>
      </c>
    </row>
    <row r="1475" spans="1:4" x14ac:dyDescent="0.2">
      <c r="A1475">
        <v>1943</v>
      </c>
      <c r="B1475" s="1" t="s">
        <v>25</v>
      </c>
      <c r="C1475" t="s">
        <v>23</v>
      </c>
      <c r="D1475">
        <v>126000</v>
      </c>
    </row>
    <row r="1476" spans="1:4" x14ac:dyDescent="0.2">
      <c r="A1476">
        <v>1943</v>
      </c>
      <c r="B1476" s="1" t="s">
        <v>24</v>
      </c>
      <c r="C1476" t="s">
        <v>31</v>
      </c>
      <c r="D1476">
        <v>105000</v>
      </c>
    </row>
    <row r="1477" spans="1:4" x14ac:dyDescent="0.2">
      <c r="A1477">
        <v>1943</v>
      </c>
      <c r="B1477" s="1" t="s">
        <v>25</v>
      </c>
      <c r="C1477" t="s">
        <v>31</v>
      </c>
      <c r="D1477">
        <v>51000</v>
      </c>
    </row>
    <row r="1478" spans="1:4" x14ac:dyDescent="0.2">
      <c r="A1478">
        <v>1944</v>
      </c>
      <c r="B1478" s="1" t="s">
        <v>24</v>
      </c>
      <c r="C1478" s="1" t="s">
        <v>29</v>
      </c>
      <c r="D1478">
        <v>336000</v>
      </c>
    </row>
    <row r="1479" spans="1:4" x14ac:dyDescent="0.2">
      <c r="A1479">
        <v>1944</v>
      </c>
      <c r="B1479" s="1" t="s">
        <v>25</v>
      </c>
      <c r="C1479" s="1" t="s">
        <v>29</v>
      </c>
      <c r="D1479">
        <v>353000</v>
      </c>
    </row>
    <row r="1480" spans="1:4" x14ac:dyDescent="0.2">
      <c r="A1480">
        <v>1944</v>
      </c>
      <c r="B1480" s="1" t="s">
        <v>24</v>
      </c>
      <c r="C1480" s="2" t="s">
        <v>26</v>
      </c>
      <c r="D1480">
        <v>1140000</v>
      </c>
    </row>
    <row r="1481" spans="1:4" x14ac:dyDescent="0.2">
      <c r="A1481">
        <v>1944</v>
      </c>
      <c r="B1481" s="1" t="s">
        <v>25</v>
      </c>
      <c r="C1481" s="2" t="s">
        <v>26</v>
      </c>
      <c r="D1481">
        <v>1189000</v>
      </c>
    </row>
    <row r="1482" spans="1:4" x14ac:dyDescent="0.2">
      <c r="A1482">
        <v>1944</v>
      </c>
      <c r="B1482" s="1" t="s">
        <v>24</v>
      </c>
      <c r="C1482" s="2" t="s">
        <v>27</v>
      </c>
      <c r="D1482">
        <v>1390000</v>
      </c>
    </row>
    <row r="1483" spans="1:4" x14ac:dyDescent="0.2">
      <c r="A1483">
        <v>1944</v>
      </c>
      <c r="B1483" s="1" t="s">
        <v>25</v>
      </c>
      <c r="C1483" s="2" t="s">
        <v>27</v>
      </c>
      <c r="D1483">
        <v>1438000</v>
      </c>
    </row>
    <row r="1484" spans="1:4" x14ac:dyDescent="0.2">
      <c r="A1484">
        <v>1944</v>
      </c>
      <c r="B1484" s="1" t="s">
        <v>24</v>
      </c>
      <c r="C1484" s="3" t="s">
        <v>28</v>
      </c>
      <c r="D1484">
        <v>1398000</v>
      </c>
    </row>
    <row r="1485" spans="1:4" x14ac:dyDescent="0.2">
      <c r="A1485">
        <v>1944</v>
      </c>
      <c r="B1485" s="1" t="s">
        <v>25</v>
      </c>
      <c r="C1485" s="3" t="s">
        <v>28</v>
      </c>
      <c r="D1485">
        <v>1427000</v>
      </c>
    </row>
    <row r="1486" spans="1:4" x14ac:dyDescent="0.2">
      <c r="A1486">
        <v>1944</v>
      </c>
      <c r="B1486" s="1" t="s">
        <v>24</v>
      </c>
      <c r="C1486" t="s">
        <v>4</v>
      </c>
      <c r="D1486">
        <v>1460000</v>
      </c>
    </row>
    <row r="1487" spans="1:4" x14ac:dyDescent="0.2">
      <c r="A1487">
        <v>1944</v>
      </c>
      <c r="B1487" s="1" t="s">
        <v>25</v>
      </c>
      <c r="C1487" t="s">
        <v>4</v>
      </c>
      <c r="D1487">
        <v>1157000</v>
      </c>
    </row>
    <row r="1488" spans="1:4" x14ac:dyDescent="0.2">
      <c r="A1488">
        <v>1944</v>
      </c>
      <c r="B1488" s="1" t="s">
        <v>24</v>
      </c>
      <c r="C1488" t="s">
        <v>5</v>
      </c>
      <c r="D1488">
        <v>1559000</v>
      </c>
    </row>
    <row r="1489" spans="1:4" x14ac:dyDescent="0.2">
      <c r="A1489">
        <v>1944</v>
      </c>
      <c r="B1489" s="1" t="s">
        <v>25</v>
      </c>
      <c r="C1489" t="s">
        <v>5</v>
      </c>
      <c r="D1489">
        <v>513000</v>
      </c>
    </row>
    <row r="1490" spans="1:4" x14ac:dyDescent="0.2">
      <c r="A1490">
        <v>1944</v>
      </c>
      <c r="B1490" s="1" t="s">
        <v>24</v>
      </c>
      <c r="C1490" t="s">
        <v>12</v>
      </c>
      <c r="D1490">
        <v>1439000</v>
      </c>
    </row>
    <row r="1491" spans="1:4" x14ac:dyDescent="0.2">
      <c r="A1491">
        <v>1944</v>
      </c>
      <c r="B1491" s="1" t="s">
        <v>25</v>
      </c>
      <c r="C1491" t="s">
        <v>12</v>
      </c>
      <c r="D1491">
        <v>518000</v>
      </c>
    </row>
    <row r="1492" spans="1:4" x14ac:dyDescent="0.2">
      <c r="A1492">
        <v>1944</v>
      </c>
      <c r="B1492" s="1" t="s">
        <v>24</v>
      </c>
      <c r="C1492" t="s">
        <v>13</v>
      </c>
      <c r="D1492">
        <v>1731000</v>
      </c>
    </row>
    <row r="1493" spans="1:4" x14ac:dyDescent="0.2">
      <c r="A1493">
        <v>1944</v>
      </c>
      <c r="B1493" s="1" t="s">
        <v>25</v>
      </c>
      <c r="C1493" t="s">
        <v>13</v>
      </c>
      <c r="D1493">
        <v>896000</v>
      </c>
    </row>
    <row r="1494" spans="1:4" x14ac:dyDescent="0.2">
      <c r="A1494">
        <v>1944</v>
      </c>
      <c r="B1494" s="1" t="s">
        <v>24</v>
      </c>
      <c r="C1494" t="s">
        <v>14</v>
      </c>
      <c r="D1494">
        <v>1738000</v>
      </c>
    </row>
    <row r="1495" spans="1:4" x14ac:dyDescent="0.2">
      <c r="A1495">
        <v>1944</v>
      </c>
      <c r="B1495" s="1" t="s">
        <v>25</v>
      </c>
      <c r="C1495" t="s">
        <v>14</v>
      </c>
      <c r="D1495">
        <v>1181000</v>
      </c>
    </row>
    <row r="1496" spans="1:4" x14ac:dyDescent="0.2">
      <c r="A1496">
        <v>1944</v>
      </c>
      <c r="B1496" s="1" t="s">
        <v>24</v>
      </c>
      <c r="C1496" t="s">
        <v>15</v>
      </c>
      <c r="D1496">
        <v>1628000</v>
      </c>
    </row>
    <row r="1497" spans="1:4" x14ac:dyDescent="0.2">
      <c r="A1497">
        <v>1944</v>
      </c>
      <c r="B1497" s="1" t="s">
        <v>25</v>
      </c>
      <c r="C1497" t="s">
        <v>15</v>
      </c>
      <c r="D1497">
        <v>1350000</v>
      </c>
    </row>
    <row r="1498" spans="1:4" x14ac:dyDescent="0.2">
      <c r="A1498">
        <v>1944</v>
      </c>
      <c r="B1498" s="1" t="s">
        <v>24</v>
      </c>
      <c r="C1498" t="s">
        <v>16</v>
      </c>
      <c r="D1498">
        <v>1505000</v>
      </c>
    </row>
    <row r="1499" spans="1:4" x14ac:dyDescent="0.2">
      <c r="A1499">
        <v>1944</v>
      </c>
      <c r="B1499" s="1" t="s">
        <v>25</v>
      </c>
      <c r="C1499" t="s">
        <v>16</v>
      </c>
      <c r="D1499">
        <v>1215000</v>
      </c>
    </row>
    <row r="1500" spans="1:4" x14ac:dyDescent="0.2">
      <c r="A1500">
        <v>1944</v>
      </c>
      <c r="B1500" s="1" t="s">
        <v>24</v>
      </c>
      <c r="C1500" t="s">
        <v>17</v>
      </c>
      <c r="D1500">
        <v>1397000</v>
      </c>
    </row>
    <row r="1501" spans="1:4" x14ac:dyDescent="0.2">
      <c r="A1501">
        <v>1944</v>
      </c>
      <c r="B1501" s="1" t="s">
        <v>25</v>
      </c>
      <c r="C1501" t="s">
        <v>17</v>
      </c>
      <c r="D1501">
        <v>1153000</v>
      </c>
    </row>
    <row r="1502" spans="1:4" x14ac:dyDescent="0.2">
      <c r="A1502">
        <v>1944</v>
      </c>
      <c r="B1502" s="1" t="s">
        <v>24</v>
      </c>
      <c r="C1502" t="s">
        <v>18</v>
      </c>
      <c r="D1502">
        <v>1286000</v>
      </c>
    </row>
    <row r="1503" spans="1:4" x14ac:dyDescent="0.2">
      <c r="A1503">
        <v>1944</v>
      </c>
      <c r="B1503" s="1" t="s">
        <v>25</v>
      </c>
      <c r="C1503" t="s">
        <v>18</v>
      </c>
      <c r="D1503">
        <v>1061000</v>
      </c>
    </row>
    <row r="1504" spans="1:4" x14ac:dyDescent="0.2">
      <c r="A1504">
        <v>1944</v>
      </c>
      <c r="B1504" s="1" t="s">
        <v>24</v>
      </c>
      <c r="C1504" t="s">
        <v>19</v>
      </c>
      <c r="D1504">
        <v>1152000</v>
      </c>
    </row>
    <row r="1505" spans="1:4" x14ac:dyDescent="0.2">
      <c r="A1505">
        <v>1944</v>
      </c>
      <c r="B1505" s="1" t="s">
        <v>25</v>
      </c>
      <c r="C1505" t="s">
        <v>19</v>
      </c>
      <c r="D1505">
        <v>932000</v>
      </c>
    </row>
    <row r="1506" spans="1:4" x14ac:dyDescent="0.2">
      <c r="A1506">
        <v>1944</v>
      </c>
      <c r="B1506" s="1" t="s">
        <v>24</v>
      </c>
      <c r="C1506" t="s">
        <v>20</v>
      </c>
      <c r="D1506">
        <v>947000</v>
      </c>
    </row>
    <row r="1507" spans="1:4" x14ac:dyDescent="0.2">
      <c r="A1507">
        <v>1944</v>
      </c>
      <c r="B1507" s="1" t="s">
        <v>25</v>
      </c>
      <c r="C1507" t="s">
        <v>20</v>
      </c>
      <c r="D1507">
        <v>763000</v>
      </c>
    </row>
    <row r="1508" spans="1:4" x14ac:dyDescent="0.2">
      <c r="A1508">
        <v>1944</v>
      </c>
      <c r="B1508" s="1" t="s">
        <v>24</v>
      </c>
      <c r="C1508" t="s">
        <v>21</v>
      </c>
      <c r="D1508">
        <v>702000</v>
      </c>
    </row>
    <row r="1509" spans="1:4" x14ac:dyDescent="0.2">
      <c r="A1509">
        <v>1944</v>
      </c>
      <c r="B1509" s="1" t="s">
        <v>25</v>
      </c>
      <c r="C1509" t="s">
        <v>21</v>
      </c>
      <c r="D1509">
        <v>546000</v>
      </c>
    </row>
    <row r="1510" spans="1:4" x14ac:dyDescent="0.2">
      <c r="A1510">
        <v>1944</v>
      </c>
      <c r="B1510" s="1" t="s">
        <v>24</v>
      </c>
      <c r="C1510" t="s">
        <v>22</v>
      </c>
      <c r="D1510">
        <v>449000</v>
      </c>
    </row>
    <row r="1511" spans="1:4" x14ac:dyDescent="0.2">
      <c r="A1511">
        <v>1944</v>
      </c>
      <c r="B1511" s="1" t="s">
        <v>25</v>
      </c>
      <c r="C1511" t="s">
        <v>22</v>
      </c>
      <c r="D1511">
        <v>308000</v>
      </c>
    </row>
    <row r="1512" spans="1:4" x14ac:dyDescent="0.2">
      <c r="A1512">
        <v>1944</v>
      </c>
      <c r="B1512" s="1" t="s">
        <v>24</v>
      </c>
      <c r="C1512" t="s">
        <v>23</v>
      </c>
      <c r="D1512">
        <v>226000</v>
      </c>
    </row>
    <row r="1513" spans="1:4" x14ac:dyDescent="0.2">
      <c r="A1513">
        <v>1944</v>
      </c>
      <c r="B1513" s="1" t="s">
        <v>25</v>
      </c>
      <c r="C1513" t="s">
        <v>23</v>
      </c>
      <c r="D1513">
        <v>132000</v>
      </c>
    </row>
    <row r="1514" spans="1:4" x14ac:dyDescent="0.2">
      <c r="A1514">
        <v>1944</v>
      </c>
      <c r="B1514" s="1" t="s">
        <v>24</v>
      </c>
      <c r="C1514" t="s">
        <v>31</v>
      </c>
      <c r="D1514">
        <v>114000</v>
      </c>
    </row>
    <row r="1515" spans="1:4" x14ac:dyDescent="0.2">
      <c r="A1515">
        <v>1944</v>
      </c>
      <c r="B1515" s="1" t="s">
        <v>25</v>
      </c>
      <c r="C1515" t="s">
        <v>31</v>
      </c>
      <c r="D1515">
        <v>56000</v>
      </c>
    </row>
    <row r="1516" spans="1:4" x14ac:dyDescent="0.2">
      <c r="A1516">
        <v>1945</v>
      </c>
      <c r="B1516" s="1" t="s">
        <v>24</v>
      </c>
      <c r="C1516" s="1" t="s">
        <v>29</v>
      </c>
      <c r="D1516">
        <v>334000</v>
      </c>
    </row>
    <row r="1517" spans="1:4" x14ac:dyDescent="0.2">
      <c r="A1517">
        <v>1945</v>
      </c>
      <c r="B1517" s="1" t="s">
        <v>25</v>
      </c>
      <c r="C1517" s="1" t="s">
        <v>29</v>
      </c>
      <c r="D1517">
        <v>354000</v>
      </c>
    </row>
    <row r="1518" spans="1:4" x14ac:dyDescent="0.2">
      <c r="A1518">
        <v>1945</v>
      </c>
      <c r="B1518" s="1" t="s">
        <v>24</v>
      </c>
      <c r="C1518" s="2" t="s">
        <v>26</v>
      </c>
      <c r="D1518">
        <v>1193000</v>
      </c>
    </row>
    <row r="1519" spans="1:4" x14ac:dyDescent="0.2">
      <c r="A1519">
        <v>1945</v>
      </c>
      <c r="B1519" s="1" t="s">
        <v>25</v>
      </c>
      <c r="C1519" s="2" t="s">
        <v>26</v>
      </c>
      <c r="D1519">
        <v>1246000</v>
      </c>
    </row>
    <row r="1520" spans="1:4" x14ac:dyDescent="0.2">
      <c r="A1520">
        <v>1945</v>
      </c>
      <c r="B1520" s="1" t="s">
        <v>24</v>
      </c>
      <c r="C1520" s="2" t="s">
        <v>27</v>
      </c>
      <c r="D1520">
        <v>1397000</v>
      </c>
    </row>
    <row r="1521" spans="1:4" x14ac:dyDescent="0.2">
      <c r="A1521">
        <v>1945</v>
      </c>
      <c r="B1521" s="1" t="s">
        <v>25</v>
      </c>
      <c r="C1521" s="2" t="s">
        <v>27</v>
      </c>
      <c r="D1521">
        <v>1446000</v>
      </c>
    </row>
    <row r="1522" spans="1:4" x14ac:dyDescent="0.2">
      <c r="A1522">
        <v>1945</v>
      </c>
      <c r="B1522" s="1" t="s">
        <v>24</v>
      </c>
      <c r="C1522" s="3" t="s">
        <v>28</v>
      </c>
      <c r="D1522">
        <v>1375000</v>
      </c>
    </row>
    <row r="1523" spans="1:4" x14ac:dyDescent="0.2">
      <c r="A1523">
        <v>1945</v>
      </c>
      <c r="B1523" s="1" t="s">
        <v>25</v>
      </c>
      <c r="C1523" s="3" t="s">
        <v>28</v>
      </c>
      <c r="D1523">
        <v>1410000</v>
      </c>
    </row>
    <row r="1524" spans="1:4" x14ac:dyDescent="0.2">
      <c r="A1524">
        <v>1945</v>
      </c>
      <c r="B1524" s="1" t="s">
        <v>24</v>
      </c>
      <c r="C1524" t="s">
        <v>4</v>
      </c>
      <c r="D1524">
        <v>1443000</v>
      </c>
    </row>
    <row r="1525" spans="1:4" x14ac:dyDescent="0.2">
      <c r="A1525">
        <v>1945</v>
      </c>
      <c r="B1525" s="1" t="s">
        <v>25</v>
      </c>
      <c r="C1525" t="s">
        <v>4</v>
      </c>
      <c r="D1525">
        <v>1145000</v>
      </c>
    </row>
    <row r="1526" spans="1:4" x14ac:dyDescent="0.2">
      <c r="A1526">
        <v>1945</v>
      </c>
      <c r="B1526" s="1" t="s">
        <v>24</v>
      </c>
      <c r="C1526" t="s">
        <v>5</v>
      </c>
      <c r="D1526">
        <v>1483000</v>
      </c>
    </row>
    <row r="1527" spans="1:4" x14ac:dyDescent="0.2">
      <c r="A1527">
        <v>1945</v>
      </c>
      <c r="B1527" s="1" t="s">
        <v>25</v>
      </c>
      <c r="C1527" t="s">
        <v>5</v>
      </c>
      <c r="D1527">
        <v>478000</v>
      </c>
    </row>
    <row r="1528" spans="1:4" x14ac:dyDescent="0.2">
      <c r="A1528">
        <v>1945</v>
      </c>
      <c r="B1528" s="1" t="s">
        <v>24</v>
      </c>
      <c r="C1528" t="s">
        <v>12</v>
      </c>
      <c r="D1528">
        <v>1474000</v>
      </c>
    </row>
    <row r="1529" spans="1:4" x14ac:dyDescent="0.2">
      <c r="A1529">
        <v>1945</v>
      </c>
      <c r="B1529" s="1" t="s">
        <v>25</v>
      </c>
      <c r="C1529" t="s">
        <v>12</v>
      </c>
      <c r="D1529">
        <v>535000</v>
      </c>
    </row>
    <row r="1530" spans="1:4" x14ac:dyDescent="0.2">
      <c r="A1530">
        <v>1945</v>
      </c>
      <c r="B1530" s="1" t="s">
        <v>24</v>
      </c>
      <c r="C1530" t="s">
        <v>13</v>
      </c>
      <c r="D1530">
        <v>1721000</v>
      </c>
    </row>
    <row r="1531" spans="1:4" x14ac:dyDescent="0.2">
      <c r="A1531">
        <v>1945</v>
      </c>
      <c r="B1531" s="1" t="s">
        <v>25</v>
      </c>
      <c r="C1531" t="s">
        <v>13</v>
      </c>
      <c r="D1531">
        <v>857000</v>
      </c>
    </row>
    <row r="1532" spans="1:4" x14ac:dyDescent="0.2">
      <c r="A1532">
        <v>1945</v>
      </c>
      <c r="B1532" s="1" t="s">
        <v>24</v>
      </c>
      <c r="C1532" t="s">
        <v>14</v>
      </c>
      <c r="D1532">
        <v>1742000</v>
      </c>
    </row>
    <row r="1533" spans="1:4" x14ac:dyDescent="0.2">
      <c r="A1533">
        <v>1945</v>
      </c>
      <c r="B1533" s="1" t="s">
        <v>25</v>
      </c>
      <c r="C1533" t="s">
        <v>14</v>
      </c>
      <c r="D1533">
        <v>1135000</v>
      </c>
    </row>
    <row r="1534" spans="1:4" x14ac:dyDescent="0.2">
      <c r="A1534">
        <v>1945</v>
      </c>
      <c r="B1534" s="1" t="s">
        <v>24</v>
      </c>
      <c r="C1534" t="s">
        <v>15</v>
      </c>
      <c r="D1534">
        <v>1650000</v>
      </c>
    </row>
    <row r="1535" spans="1:4" x14ac:dyDescent="0.2">
      <c r="A1535">
        <v>1945</v>
      </c>
      <c r="B1535" s="1" t="s">
        <v>25</v>
      </c>
      <c r="C1535" t="s">
        <v>15</v>
      </c>
      <c r="D1535">
        <v>1323000</v>
      </c>
    </row>
    <row r="1536" spans="1:4" x14ac:dyDescent="0.2">
      <c r="A1536">
        <v>1945</v>
      </c>
      <c r="B1536" s="1" t="s">
        <v>24</v>
      </c>
      <c r="C1536" t="s">
        <v>16</v>
      </c>
      <c r="D1536">
        <v>1521000</v>
      </c>
    </row>
    <row r="1537" spans="1:4" x14ac:dyDescent="0.2">
      <c r="A1537">
        <v>1945</v>
      </c>
      <c r="B1537" s="1" t="s">
        <v>25</v>
      </c>
      <c r="C1537" t="s">
        <v>16</v>
      </c>
      <c r="D1537">
        <v>1263000</v>
      </c>
    </row>
    <row r="1538" spans="1:4" x14ac:dyDescent="0.2">
      <c r="A1538">
        <v>1945</v>
      </c>
      <c r="B1538" s="1" t="s">
        <v>24</v>
      </c>
      <c r="C1538" t="s">
        <v>17</v>
      </c>
      <c r="D1538">
        <v>1409000</v>
      </c>
    </row>
    <row r="1539" spans="1:4" x14ac:dyDescent="0.2">
      <c r="A1539">
        <v>1945</v>
      </c>
      <c r="B1539" s="1" t="s">
        <v>25</v>
      </c>
      <c r="C1539" t="s">
        <v>17</v>
      </c>
      <c r="D1539">
        <v>1154000</v>
      </c>
    </row>
    <row r="1540" spans="1:4" x14ac:dyDescent="0.2">
      <c r="A1540">
        <v>1945</v>
      </c>
      <c r="B1540" s="1" t="s">
        <v>24</v>
      </c>
      <c r="C1540" t="s">
        <v>18</v>
      </c>
      <c r="D1540">
        <v>1298000</v>
      </c>
    </row>
    <row r="1541" spans="1:4" x14ac:dyDescent="0.2">
      <c r="A1541">
        <v>1945</v>
      </c>
      <c r="B1541" s="1" t="s">
        <v>25</v>
      </c>
      <c r="C1541" t="s">
        <v>18</v>
      </c>
      <c r="D1541">
        <v>1074000</v>
      </c>
    </row>
    <row r="1542" spans="1:4" x14ac:dyDescent="0.2">
      <c r="A1542">
        <v>1945</v>
      </c>
      <c r="B1542" s="1" t="s">
        <v>24</v>
      </c>
      <c r="C1542" t="s">
        <v>19</v>
      </c>
      <c r="D1542">
        <v>1163000</v>
      </c>
    </row>
    <row r="1543" spans="1:4" x14ac:dyDescent="0.2">
      <c r="A1543">
        <v>1945</v>
      </c>
      <c r="B1543" s="1" t="s">
        <v>25</v>
      </c>
      <c r="C1543" t="s">
        <v>19</v>
      </c>
      <c r="D1543">
        <v>934000</v>
      </c>
    </row>
    <row r="1544" spans="1:4" x14ac:dyDescent="0.2">
      <c r="A1544">
        <v>1945</v>
      </c>
      <c r="B1544" s="1" t="s">
        <v>24</v>
      </c>
      <c r="C1544" t="s">
        <v>20</v>
      </c>
      <c r="D1544">
        <v>972000</v>
      </c>
    </row>
    <row r="1545" spans="1:4" x14ac:dyDescent="0.2">
      <c r="A1545">
        <v>1945</v>
      </c>
      <c r="B1545" s="1" t="s">
        <v>25</v>
      </c>
      <c r="C1545" t="s">
        <v>20</v>
      </c>
      <c r="D1545">
        <v>771000</v>
      </c>
    </row>
    <row r="1546" spans="1:4" x14ac:dyDescent="0.2">
      <c r="A1546">
        <v>1945</v>
      </c>
      <c r="B1546" s="1" t="s">
        <v>24</v>
      </c>
      <c r="C1546" t="s">
        <v>21</v>
      </c>
      <c r="D1546">
        <v>720000</v>
      </c>
    </row>
    <row r="1547" spans="1:4" x14ac:dyDescent="0.2">
      <c r="A1547">
        <v>1945</v>
      </c>
      <c r="B1547" s="1" t="s">
        <v>25</v>
      </c>
      <c r="C1547" t="s">
        <v>21</v>
      </c>
      <c r="D1547">
        <v>557000</v>
      </c>
    </row>
    <row r="1548" spans="1:4" x14ac:dyDescent="0.2">
      <c r="A1548">
        <v>1945</v>
      </c>
      <c r="B1548" s="1" t="s">
        <v>24</v>
      </c>
      <c r="C1548" t="s">
        <v>22</v>
      </c>
      <c r="D1548">
        <v>462000</v>
      </c>
    </row>
    <row r="1549" spans="1:4" x14ac:dyDescent="0.2">
      <c r="A1549">
        <v>1945</v>
      </c>
      <c r="B1549" s="1" t="s">
        <v>25</v>
      </c>
      <c r="C1549" t="s">
        <v>22</v>
      </c>
      <c r="D1549">
        <v>321000</v>
      </c>
    </row>
    <row r="1550" spans="1:4" x14ac:dyDescent="0.2">
      <c r="A1550">
        <v>1945</v>
      </c>
      <c r="B1550" s="1" t="s">
        <v>24</v>
      </c>
      <c r="C1550" t="s">
        <v>23</v>
      </c>
      <c r="D1550">
        <v>238000</v>
      </c>
    </row>
    <row r="1551" spans="1:4" x14ac:dyDescent="0.2">
      <c r="A1551">
        <v>1945</v>
      </c>
      <c r="B1551" s="1" t="s">
        <v>25</v>
      </c>
      <c r="C1551" t="s">
        <v>23</v>
      </c>
      <c r="D1551">
        <v>138000</v>
      </c>
    </row>
    <row r="1552" spans="1:4" x14ac:dyDescent="0.2">
      <c r="A1552">
        <v>1945</v>
      </c>
      <c r="B1552" s="1" t="s">
        <v>24</v>
      </c>
      <c r="C1552" t="s">
        <v>31</v>
      </c>
      <c r="D1552">
        <v>121000</v>
      </c>
    </row>
    <row r="1553" spans="1:4" x14ac:dyDescent="0.2">
      <c r="A1553">
        <v>1945</v>
      </c>
      <c r="B1553" s="1" t="s">
        <v>25</v>
      </c>
      <c r="C1553" t="s">
        <v>31</v>
      </c>
      <c r="D1553">
        <v>59000</v>
      </c>
    </row>
    <row r="1554" spans="1:4" x14ac:dyDescent="0.2">
      <c r="A1554">
        <v>1946</v>
      </c>
      <c r="B1554" s="1" t="s">
        <v>24</v>
      </c>
      <c r="C1554" s="1" t="s">
        <v>29</v>
      </c>
      <c r="D1554">
        <v>341000</v>
      </c>
    </row>
    <row r="1555" spans="1:4" x14ac:dyDescent="0.2">
      <c r="A1555">
        <v>1946</v>
      </c>
      <c r="B1555" s="1" t="s">
        <v>25</v>
      </c>
      <c r="C1555" s="1" t="s">
        <v>29</v>
      </c>
      <c r="D1555">
        <v>360000</v>
      </c>
    </row>
    <row r="1556" spans="1:4" x14ac:dyDescent="0.2">
      <c r="A1556">
        <v>1946</v>
      </c>
      <c r="B1556" s="1" t="s">
        <v>24</v>
      </c>
      <c r="C1556" s="2" t="s">
        <v>26</v>
      </c>
      <c r="D1556">
        <v>1251000</v>
      </c>
    </row>
    <row r="1557" spans="1:4" x14ac:dyDescent="0.2">
      <c r="A1557">
        <v>1946</v>
      </c>
      <c r="B1557" s="1" t="s">
        <v>25</v>
      </c>
      <c r="C1557" s="2" t="s">
        <v>26</v>
      </c>
      <c r="D1557">
        <v>1311000</v>
      </c>
    </row>
    <row r="1558" spans="1:4" x14ac:dyDescent="0.2">
      <c r="A1558">
        <v>1946</v>
      </c>
      <c r="B1558" s="1" t="s">
        <v>24</v>
      </c>
      <c r="C1558" s="2" t="s">
        <v>27</v>
      </c>
      <c r="D1558">
        <v>1387000</v>
      </c>
    </row>
    <row r="1559" spans="1:4" x14ac:dyDescent="0.2">
      <c r="A1559">
        <v>1946</v>
      </c>
      <c r="B1559" s="1" t="s">
        <v>25</v>
      </c>
      <c r="C1559" s="2" t="s">
        <v>27</v>
      </c>
      <c r="D1559">
        <v>1435000</v>
      </c>
    </row>
    <row r="1560" spans="1:4" x14ac:dyDescent="0.2">
      <c r="A1560">
        <v>1946</v>
      </c>
      <c r="B1560" s="1" t="s">
        <v>24</v>
      </c>
      <c r="C1560" s="3" t="s">
        <v>28</v>
      </c>
      <c r="D1560">
        <v>1336000</v>
      </c>
    </row>
    <row r="1561" spans="1:4" x14ac:dyDescent="0.2">
      <c r="A1561">
        <v>1946</v>
      </c>
      <c r="B1561" s="1" t="s">
        <v>25</v>
      </c>
      <c r="C1561" s="3" t="s">
        <v>28</v>
      </c>
      <c r="D1561">
        <v>1371000</v>
      </c>
    </row>
    <row r="1562" spans="1:4" x14ac:dyDescent="0.2">
      <c r="A1562">
        <v>1946</v>
      </c>
      <c r="B1562" s="1" t="s">
        <v>24</v>
      </c>
      <c r="C1562" t="s">
        <v>4</v>
      </c>
      <c r="D1562">
        <v>1462000</v>
      </c>
    </row>
    <row r="1563" spans="1:4" x14ac:dyDescent="0.2">
      <c r="A1563">
        <v>1946</v>
      </c>
      <c r="B1563" s="1" t="s">
        <v>25</v>
      </c>
      <c r="C1563" t="s">
        <v>4</v>
      </c>
      <c r="D1563">
        <v>1184000</v>
      </c>
    </row>
    <row r="1564" spans="1:4" x14ac:dyDescent="0.2">
      <c r="A1564">
        <v>1946</v>
      </c>
      <c r="B1564" s="1" t="s">
        <v>24</v>
      </c>
      <c r="C1564" t="s">
        <v>5</v>
      </c>
      <c r="D1564">
        <v>1560000</v>
      </c>
    </row>
    <row r="1565" spans="1:4" x14ac:dyDescent="0.2">
      <c r="A1565">
        <v>1946</v>
      </c>
      <c r="B1565" s="1" t="s">
        <v>25</v>
      </c>
      <c r="C1565" t="s">
        <v>5</v>
      </c>
      <c r="D1565">
        <v>762000</v>
      </c>
    </row>
    <row r="1566" spans="1:4" x14ac:dyDescent="0.2">
      <c r="A1566">
        <v>1946</v>
      </c>
      <c r="B1566" s="1" t="s">
        <v>24</v>
      </c>
      <c r="C1566" t="s">
        <v>12</v>
      </c>
      <c r="D1566">
        <v>1593000</v>
      </c>
    </row>
    <row r="1567" spans="1:4" x14ac:dyDescent="0.2">
      <c r="A1567">
        <v>1946</v>
      </c>
      <c r="B1567" s="1" t="s">
        <v>25</v>
      </c>
      <c r="C1567" t="s">
        <v>12</v>
      </c>
      <c r="D1567">
        <v>1215000</v>
      </c>
    </row>
    <row r="1568" spans="1:4" x14ac:dyDescent="0.2">
      <c r="A1568">
        <v>1946</v>
      </c>
      <c r="B1568" s="1" t="s">
        <v>24</v>
      </c>
      <c r="C1568" t="s">
        <v>13</v>
      </c>
      <c r="D1568">
        <v>1712000</v>
      </c>
    </row>
    <row r="1569" spans="1:4" x14ac:dyDescent="0.2">
      <c r="A1569">
        <v>1946</v>
      </c>
      <c r="B1569" s="1" t="s">
        <v>25</v>
      </c>
      <c r="C1569" t="s">
        <v>13</v>
      </c>
      <c r="D1569">
        <v>1457000</v>
      </c>
    </row>
    <row r="1570" spans="1:4" x14ac:dyDescent="0.2">
      <c r="A1570">
        <v>1946</v>
      </c>
      <c r="B1570" s="1" t="s">
        <v>24</v>
      </c>
      <c r="C1570" t="s">
        <v>14</v>
      </c>
      <c r="D1570">
        <v>1750000</v>
      </c>
    </row>
    <row r="1571" spans="1:4" x14ac:dyDescent="0.2">
      <c r="A1571">
        <v>1946</v>
      </c>
      <c r="B1571" s="1" t="s">
        <v>25</v>
      </c>
      <c r="C1571" t="s">
        <v>14</v>
      </c>
      <c r="D1571">
        <v>1592000</v>
      </c>
    </row>
    <row r="1572" spans="1:4" x14ac:dyDescent="0.2">
      <c r="A1572">
        <v>1946</v>
      </c>
      <c r="B1572" s="1" t="s">
        <v>24</v>
      </c>
      <c r="C1572" t="s">
        <v>15</v>
      </c>
      <c r="D1572">
        <v>1653000</v>
      </c>
    </row>
    <row r="1573" spans="1:4" x14ac:dyDescent="0.2">
      <c r="A1573">
        <v>1946</v>
      </c>
      <c r="B1573" s="1" t="s">
        <v>25</v>
      </c>
      <c r="C1573" t="s">
        <v>15</v>
      </c>
      <c r="D1573">
        <v>1550000</v>
      </c>
    </row>
    <row r="1574" spans="1:4" x14ac:dyDescent="0.2">
      <c r="A1574">
        <v>1946</v>
      </c>
      <c r="B1574" s="1" t="s">
        <v>24</v>
      </c>
      <c r="C1574" t="s">
        <v>16</v>
      </c>
      <c r="D1574">
        <v>1544000</v>
      </c>
    </row>
    <row r="1575" spans="1:4" x14ac:dyDescent="0.2">
      <c r="A1575">
        <v>1946</v>
      </c>
      <c r="B1575" s="1" t="s">
        <v>25</v>
      </c>
      <c r="C1575" t="s">
        <v>16</v>
      </c>
      <c r="D1575">
        <v>1334000</v>
      </c>
    </row>
    <row r="1576" spans="1:4" x14ac:dyDescent="0.2">
      <c r="A1576">
        <v>1946</v>
      </c>
      <c r="B1576" s="1" t="s">
        <v>24</v>
      </c>
      <c r="C1576" t="s">
        <v>17</v>
      </c>
      <c r="D1576">
        <v>1403000</v>
      </c>
    </row>
    <row r="1577" spans="1:4" x14ac:dyDescent="0.2">
      <c r="A1577">
        <v>1946</v>
      </c>
      <c r="B1577" s="1" t="s">
        <v>25</v>
      </c>
      <c r="C1577" t="s">
        <v>17</v>
      </c>
      <c r="D1577">
        <v>1168000</v>
      </c>
    </row>
    <row r="1578" spans="1:4" x14ac:dyDescent="0.2">
      <c r="A1578">
        <v>1946</v>
      </c>
      <c r="B1578" s="1" t="s">
        <v>24</v>
      </c>
      <c r="C1578" t="s">
        <v>18</v>
      </c>
      <c r="D1578">
        <v>1276000</v>
      </c>
    </row>
    <row r="1579" spans="1:4" x14ac:dyDescent="0.2">
      <c r="A1579">
        <v>1946</v>
      </c>
      <c r="B1579" s="1" t="s">
        <v>25</v>
      </c>
      <c r="C1579" t="s">
        <v>18</v>
      </c>
      <c r="D1579">
        <v>1064000</v>
      </c>
    </row>
    <row r="1580" spans="1:4" x14ac:dyDescent="0.2">
      <c r="A1580">
        <v>1946</v>
      </c>
      <c r="B1580" s="1" t="s">
        <v>24</v>
      </c>
      <c r="C1580" t="s">
        <v>19</v>
      </c>
      <c r="D1580">
        <v>1151000</v>
      </c>
    </row>
    <row r="1581" spans="1:4" x14ac:dyDescent="0.2">
      <c r="A1581">
        <v>1946</v>
      </c>
      <c r="B1581" s="1" t="s">
        <v>25</v>
      </c>
      <c r="C1581" t="s">
        <v>19</v>
      </c>
      <c r="D1581">
        <v>928000</v>
      </c>
    </row>
    <row r="1582" spans="1:4" x14ac:dyDescent="0.2">
      <c r="A1582">
        <v>1946</v>
      </c>
      <c r="B1582" s="1" t="s">
        <v>24</v>
      </c>
      <c r="C1582" t="s">
        <v>20</v>
      </c>
      <c r="D1582">
        <v>977000</v>
      </c>
    </row>
    <row r="1583" spans="1:4" x14ac:dyDescent="0.2">
      <c r="A1583">
        <v>1946</v>
      </c>
      <c r="B1583" s="1" t="s">
        <v>25</v>
      </c>
      <c r="C1583" t="s">
        <v>20</v>
      </c>
      <c r="D1583">
        <v>774000</v>
      </c>
    </row>
    <row r="1584" spans="1:4" x14ac:dyDescent="0.2">
      <c r="A1584">
        <v>1946</v>
      </c>
      <c r="B1584" s="1" t="s">
        <v>24</v>
      </c>
      <c r="C1584" t="s">
        <v>21</v>
      </c>
      <c r="D1584">
        <v>742000</v>
      </c>
    </row>
    <row r="1585" spans="1:4" x14ac:dyDescent="0.2">
      <c r="A1585">
        <v>1946</v>
      </c>
      <c r="B1585" s="1" t="s">
        <v>25</v>
      </c>
      <c r="C1585" t="s">
        <v>21</v>
      </c>
      <c r="D1585">
        <v>575000</v>
      </c>
    </row>
    <row r="1586" spans="1:4" x14ac:dyDescent="0.2">
      <c r="A1586">
        <v>1946</v>
      </c>
      <c r="B1586" s="1" t="s">
        <v>24</v>
      </c>
      <c r="C1586" t="s">
        <v>22</v>
      </c>
      <c r="D1586">
        <v>472000</v>
      </c>
    </row>
    <row r="1587" spans="1:4" x14ac:dyDescent="0.2">
      <c r="A1587">
        <v>1946</v>
      </c>
      <c r="B1587" s="1" t="s">
        <v>25</v>
      </c>
      <c r="C1587" t="s">
        <v>22</v>
      </c>
      <c r="D1587">
        <v>331000</v>
      </c>
    </row>
    <row r="1588" spans="1:4" x14ac:dyDescent="0.2">
      <c r="A1588">
        <v>1946</v>
      </c>
      <c r="B1588" s="1" t="s">
        <v>24</v>
      </c>
      <c r="C1588" t="s">
        <v>23</v>
      </c>
      <c r="D1588">
        <v>246000</v>
      </c>
    </row>
    <row r="1589" spans="1:4" x14ac:dyDescent="0.2">
      <c r="A1589">
        <v>1946</v>
      </c>
      <c r="B1589" s="1" t="s">
        <v>25</v>
      </c>
      <c r="C1589" t="s">
        <v>23</v>
      </c>
      <c r="D1589">
        <v>147000</v>
      </c>
    </row>
    <row r="1590" spans="1:4" x14ac:dyDescent="0.2">
      <c r="A1590">
        <v>1946</v>
      </c>
      <c r="B1590" s="1" t="s">
        <v>24</v>
      </c>
      <c r="C1590" t="s">
        <v>31</v>
      </c>
      <c r="D1590">
        <v>123000</v>
      </c>
    </row>
    <row r="1591" spans="1:4" x14ac:dyDescent="0.2">
      <c r="A1591">
        <v>1946</v>
      </c>
      <c r="B1591" s="1" t="s">
        <v>25</v>
      </c>
      <c r="C1591" t="s">
        <v>31</v>
      </c>
      <c r="D1591">
        <v>58000</v>
      </c>
    </row>
    <row r="1592" spans="1:4" x14ac:dyDescent="0.2">
      <c r="A1592">
        <v>1947</v>
      </c>
      <c r="B1592" s="1" t="s">
        <v>24</v>
      </c>
      <c r="C1592" s="1" t="s">
        <v>29</v>
      </c>
      <c r="D1592">
        <v>425000</v>
      </c>
    </row>
    <row r="1593" spans="1:4" x14ac:dyDescent="0.2">
      <c r="A1593">
        <v>1947</v>
      </c>
      <c r="B1593" s="1" t="s">
        <v>25</v>
      </c>
      <c r="C1593" s="1" t="s">
        <v>29</v>
      </c>
      <c r="D1593">
        <v>447000</v>
      </c>
    </row>
    <row r="1594" spans="1:4" x14ac:dyDescent="0.2">
      <c r="A1594">
        <v>1947</v>
      </c>
      <c r="B1594" s="1" t="s">
        <v>24</v>
      </c>
      <c r="C1594" s="2" t="s">
        <v>26</v>
      </c>
      <c r="D1594">
        <v>1291000</v>
      </c>
    </row>
    <row r="1595" spans="1:4" x14ac:dyDescent="0.2">
      <c r="A1595">
        <v>1947</v>
      </c>
      <c r="B1595" s="1" t="s">
        <v>25</v>
      </c>
      <c r="C1595" s="2" t="s">
        <v>26</v>
      </c>
      <c r="D1595">
        <v>1359000</v>
      </c>
    </row>
    <row r="1596" spans="1:4" x14ac:dyDescent="0.2">
      <c r="A1596">
        <v>1947</v>
      </c>
      <c r="B1596" s="1" t="s">
        <v>24</v>
      </c>
      <c r="C1596" s="2" t="s">
        <v>27</v>
      </c>
      <c r="D1596">
        <v>1392000</v>
      </c>
    </row>
    <row r="1597" spans="1:4" x14ac:dyDescent="0.2">
      <c r="A1597">
        <v>1947</v>
      </c>
      <c r="B1597" s="1" t="s">
        <v>25</v>
      </c>
      <c r="C1597" s="2" t="s">
        <v>27</v>
      </c>
      <c r="D1597">
        <v>1444000</v>
      </c>
    </row>
    <row r="1598" spans="1:4" x14ac:dyDescent="0.2">
      <c r="A1598">
        <v>1947</v>
      </c>
      <c r="B1598" s="1" t="s">
        <v>24</v>
      </c>
      <c r="C1598" s="3" t="s">
        <v>28</v>
      </c>
      <c r="D1598">
        <v>1354000</v>
      </c>
    </row>
    <row r="1599" spans="1:4" x14ac:dyDescent="0.2">
      <c r="A1599">
        <v>1947</v>
      </c>
      <c r="B1599" s="1" t="s">
        <v>25</v>
      </c>
      <c r="C1599" s="3" t="s">
        <v>28</v>
      </c>
      <c r="D1599">
        <v>1399000</v>
      </c>
    </row>
    <row r="1600" spans="1:4" x14ac:dyDescent="0.2">
      <c r="A1600">
        <v>1947</v>
      </c>
      <c r="B1600" s="1" t="s">
        <v>24</v>
      </c>
      <c r="C1600" t="s">
        <v>4</v>
      </c>
      <c r="D1600">
        <v>1424000</v>
      </c>
    </row>
    <row r="1601" spans="1:4" x14ac:dyDescent="0.2">
      <c r="A1601">
        <v>1947</v>
      </c>
      <c r="B1601" s="1" t="s">
        <v>25</v>
      </c>
      <c r="C1601" t="s">
        <v>4</v>
      </c>
      <c r="D1601">
        <v>1098000</v>
      </c>
    </row>
    <row r="1602" spans="1:4" x14ac:dyDescent="0.2">
      <c r="A1602">
        <v>1947</v>
      </c>
      <c r="B1602" s="1" t="s">
        <v>24</v>
      </c>
      <c r="C1602" t="s">
        <v>5</v>
      </c>
      <c r="D1602">
        <v>1531000</v>
      </c>
    </row>
    <row r="1603" spans="1:4" x14ac:dyDescent="0.2">
      <c r="A1603">
        <v>1947</v>
      </c>
      <c r="B1603" s="1" t="s">
        <v>25</v>
      </c>
      <c r="C1603" t="s">
        <v>5</v>
      </c>
      <c r="D1603">
        <v>1075000</v>
      </c>
    </row>
    <row r="1604" spans="1:4" x14ac:dyDescent="0.2">
      <c r="A1604">
        <v>1947</v>
      </c>
      <c r="B1604" s="1" t="s">
        <v>24</v>
      </c>
      <c r="C1604" t="s">
        <v>12</v>
      </c>
      <c r="D1604">
        <v>1653000</v>
      </c>
    </row>
    <row r="1605" spans="1:4" x14ac:dyDescent="0.2">
      <c r="A1605">
        <v>1947</v>
      </c>
      <c r="B1605" s="1" t="s">
        <v>25</v>
      </c>
      <c r="C1605" t="s">
        <v>12</v>
      </c>
      <c r="D1605">
        <v>1488000</v>
      </c>
    </row>
    <row r="1606" spans="1:4" x14ac:dyDescent="0.2">
      <c r="A1606">
        <v>1947</v>
      </c>
      <c r="B1606" s="1" t="s">
        <v>24</v>
      </c>
      <c r="C1606" t="s">
        <v>13</v>
      </c>
      <c r="D1606">
        <v>1658000</v>
      </c>
    </row>
    <row r="1607" spans="1:4" x14ac:dyDescent="0.2">
      <c r="A1607">
        <v>1947</v>
      </c>
      <c r="B1607" s="1" t="s">
        <v>25</v>
      </c>
      <c r="C1607" t="s">
        <v>13</v>
      </c>
      <c r="D1607">
        <v>1557000</v>
      </c>
    </row>
    <row r="1608" spans="1:4" x14ac:dyDescent="0.2">
      <c r="A1608">
        <v>1947</v>
      </c>
      <c r="B1608" s="1" t="s">
        <v>24</v>
      </c>
      <c r="C1608" t="s">
        <v>14</v>
      </c>
      <c r="D1608">
        <v>1741000</v>
      </c>
    </row>
    <row r="1609" spans="1:4" x14ac:dyDescent="0.2">
      <c r="A1609">
        <v>1947</v>
      </c>
      <c r="B1609" s="1" t="s">
        <v>25</v>
      </c>
      <c r="C1609" t="s">
        <v>14</v>
      </c>
      <c r="D1609">
        <v>1661000</v>
      </c>
    </row>
    <row r="1610" spans="1:4" x14ac:dyDescent="0.2">
      <c r="A1610">
        <v>1947</v>
      </c>
      <c r="B1610" s="1" t="s">
        <v>24</v>
      </c>
      <c r="C1610" t="s">
        <v>15</v>
      </c>
      <c r="D1610">
        <v>1669000</v>
      </c>
    </row>
    <row r="1611" spans="1:4" x14ac:dyDescent="0.2">
      <c r="A1611">
        <v>1947</v>
      </c>
      <c r="B1611" s="1" t="s">
        <v>25</v>
      </c>
      <c r="C1611" t="s">
        <v>15</v>
      </c>
      <c r="D1611">
        <v>1598000</v>
      </c>
    </row>
    <row r="1612" spans="1:4" x14ac:dyDescent="0.2">
      <c r="A1612">
        <v>1947</v>
      </c>
      <c r="B1612" s="1" t="s">
        <v>24</v>
      </c>
      <c r="C1612" t="s">
        <v>16</v>
      </c>
      <c r="D1612">
        <v>1561000</v>
      </c>
    </row>
    <row r="1613" spans="1:4" x14ac:dyDescent="0.2">
      <c r="A1613">
        <v>1947</v>
      </c>
      <c r="B1613" s="1" t="s">
        <v>25</v>
      </c>
      <c r="C1613" t="s">
        <v>16</v>
      </c>
      <c r="D1613">
        <v>1401000</v>
      </c>
    </row>
    <row r="1614" spans="1:4" x14ac:dyDescent="0.2">
      <c r="A1614">
        <v>1947</v>
      </c>
      <c r="B1614" s="1" t="s">
        <v>24</v>
      </c>
      <c r="C1614" t="s">
        <v>17</v>
      </c>
      <c r="D1614">
        <v>1413000</v>
      </c>
    </row>
    <row r="1615" spans="1:4" x14ac:dyDescent="0.2">
      <c r="A1615">
        <v>1947</v>
      </c>
      <c r="B1615" s="1" t="s">
        <v>25</v>
      </c>
      <c r="C1615" t="s">
        <v>17</v>
      </c>
      <c r="D1615">
        <v>1179000</v>
      </c>
    </row>
    <row r="1616" spans="1:4" x14ac:dyDescent="0.2">
      <c r="A1616">
        <v>1947</v>
      </c>
      <c r="B1616" s="1" t="s">
        <v>24</v>
      </c>
      <c r="C1616" t="s">
        <v>18</v>
      </c>
      <c r="D1616">
        <v>1286000</v>
      </c>
    </row>
    <row r="1617" spans="1:4" x14ac:dyDescent="0.2">
      <c r="A1617">
        <v>1947</v>
      </c>
      <c r="B1617" s="1" t="s">
        <v>25</v>
      </c>
      <c r="C1617" t="s">
        <v>18</v>
      </c>
      <c r="D1617">
        <v>1071000</v>
      </c>
    </row>
    <row r="1618" spans="1:4" x14ac:dyDescent="0.2">
      <c r="A1618">
        <v>1947</v>
      </c>
      <c r="B1618" s="1" t="s">
        <v>24</v>
      </c>
      <c r="C1618" t="s">
        <v>19</v>
      </c>
      <c r="D1618">
        <v>1158000</v>
      </c>
    </row>
    <row r="1619" spans="1:4" x14ac:dyDescent="0.2">
      <c r="A1619">
        <v>1947</v>
      </c>
      <c r="B1619" s="1" t="s">
        <v>25</v>
      </c>
      <c r="C1619" t="s">
        <v>19</v>
      </c>
      <c r="D1619">
        <v>930000</v>
      </c>
    </row>
    <row r="1620" spans="1:4" x14ac:dyDescent="0.2">
      <c r="A1620">
        <v>1947</v>
      </c>
      <c r="B1620" s="1" t="s">
        <v>24</v>
      </c>
      <c r="C1620" t="s">
        <v>20</v>
      </c>
      <c r="D1620">
        <v>996000</v>
      </c>
    </row>
    <row r="1621" spans="1:4" x14ac:dyDescent="0.2">
      <c r="A1621">
        <v>1947</v>
      </c>
      <c r="B1621" s="1" t="s">
        <v>25</v>
      </c>
      <c r="C1621" t="s">
        <v>20</v>
      </c>
      <c r="D1621">
        <v>779000</v>
      </c>
    </row>
    <row r="1622" spans="1:4" x14ac:dyDescent="0.2">
      <c r="A1622">
        <v>1947</v>
      </c>
      <c r="B1622" s="1" t="s">
        <v>24</v>
      </c>
      <c r="C1622" t="s">
        <v>21</v>
      </c>
      <c r="D1622">
        <v>759000</v>
      </c>
    </row>
    <row r="1623" spans="1:4" x14ac:dyDescent="0.2">
      <c r="A1623">
        <v>1947</v>
      </c>
      <c r="B1623" s="1" t="s">
        <v>25</v>
      </c>
      <c r="C1623" t="s">
        <v>21</v>
      </c>
      <c r="D1623">
        <v>580000</v>
      </c>
    </row>
    <row r="1624" spans="1:4" x14ac:dyDescent="0.2">
      <c r="A1624">
        <v>1947</v>
      </c>
      <c r="B1624" s="1" t="s">
        <v>24</v>
      </c>
      <c r="C1624" t="s">
        <v>22</v>
      </c>
      <c r="D1624">
        <v>486000</v>
      </c>
    </row>
    <row r="1625" spans="1:4" x14ac:dyDescent="0.2">
      <c r="A1625">
        <v>1947</v>
      </c>
      <c r="B1625" s="1" t="s">
        <v>25</v>
      </c>
      <c r="C1625" t="s">
        <v>22</v>
      </c>
      <c r="D1625">
        <v>340000</v>
      </c>
    </row>
    <row r="1626" spans="1:4" x14ac:dyDescent="0.2">
      <c r="A1626">
        <v>1947</v>
      </c>
      <c r="B1626" s="1" t="s">
        <v>24</v>
      </c>
      <c r="C1626" t="s">
        <v>23</v>
      </c>
      <c r="D1626">
        <v>252000</v>
      </c>
    </row>
    <row r="1627" spans="1:4" x14ac:dyDescent="0.2">
      <c r="A1627">
        <v>1947</v>
      </c>
      <c r="B1627" s="1" t="s">
        <v>25</v>
      </c>
      <c r="C1627" t="s">
        <v>23</v>
      </c>
      <c r="D1627">
        <v>149000</v>
      </c>
    </row>
    <row r="1628" spans="1:4" x14ac:dyDescent="0.2">
      <c r="A1628">
        <v>1947</v>
      </c>
      <c r="B1628" s="1" t="s">
        <v>24</v>
      </c>
      <c r="C1628" t="s">
        <v>31</v>
      </c>
      <c r="D1628">
        <v>125000</v>
      </c>
    </row>
    <row r="1629" spans="1:4" x14ac:dyDescent="0.2">
      <c r="A1629">
        <v>1947</v>
      </c>
      <c r="B1629" s="1" t="s">
        <v>25</v>
      </c>
      <c r="C1629" t="s">
        <v>31</v>
      </c>
      <c r="D1629">
        <v>57000</v>
      </c>
    </row>
    <row r="1630" spans="1:4" x14ac:dyDescent="0.2">
      <c r="A1630">
        <v>1948</v>
      </c>
      <c r="B1630" s="1" t="s">
        <v>24</v>
      </c>
      <c r="C1630" s="1" t="s">
        <v>29</v>
      </c>
      <c r="D1630">
        <v>383000</v>
      </c>
    </row>
    <row r="1631" spans="1:4" x14ac:dyDescent="0.2">
      <c r="A1631">
        <v>1948</v>
      </c>
      <c r="B1631" s="1" t="s">
        <v>25</v>
      </c>
      <c r="C1631" s="1" t="s">
        <v>29</v>
      </c>
      <c r="D1631">
        <v>402000</v>
      </c>
    </row>
    <row r="1632" spans="1:4" x14ac:dyDescent="0.2">
      <c r="A1632">
        <v>1948</v>
      </c>
      <c r="B1632" s="1" t="s">
        <v>24</v>
      </c>
      <c r="C1632" s="2" t="s">
        <v>26</v>
      </c>
      <c r="D1632">
        <v>1397000</v>
      </c>
    </row>
    <row r="1633" spans="1:4" x14ac:dyDescent="0.2">
      <c r="A1633">
        <v>1948</v>
      </c>
      <c r="B1633" s="1" t="s">
        <v>25</v>
      </c>
      <c r="C1633" s="2" t="s">
        <v>26</v>
      </c>
      <c r="D1633">
        <v>1470000</v>
      </c>
    </row>
    <row r="1634" spans="1:4" x14ac:dyDescent="0.2">
      <c r="A1634">
        <v>1948</v>
      </c>
      <c r="B1634" s="1" t="s">
        <v>24</v>
      </c>
      <c r="C1634" s="2" t="s">
        <v>27</v>
      </c>
      <c r="D1634">
        <v>1416000</v>
      </c>
    </row>
    <row r="1635" spans="1:4" x14ac:dyDescent="0.2">
      <c r="A1635">
        <v>1948</v>
      </c>
      <c r="B1635" s="1" t="s">
        <v>25</v>
      </c>
      <c r="C1635" s="2" t="s">
        <v>27</v>
      </c>
      <c r="D1635">
        <v>1473000</v>
      </c>
    </row>
    <row r="1636" spans="1:4" x14ac:dyDescent="0.2">
      <c r="A1636">
        <v>1948</v>
      </c>
      <c r="B1636" s="1" t="s">
        <v>24</v>
      </c>
      <c r="C1636" s="3" t="s">
        <v>28</v>
      </c>
      <c r="D1636">
        <v>1368000</v>
      </c>
    </row>
    <row r="1637" spans="1:4" x14ac:dyDescent="0.2">
      <c r="A1637">
        <v>1948</v>
      </c>
      <c r="B1637" s="1" t="s">
        <v>25</v>
      </c>
      <c r="C1637" s="3" t="s">
        <v>28</v>
      </c>
      <c r="D1637">
        <v>1415000</v>
      </c>
    </row>
    <row r="1638" spans="1:4" x14ac:dyDescent="0.2">
      <c r="A1638">
        <v>1948</v>
      </c>
      <c r="B1638" s="1" t="s">
        <v>24</v>
      </c>
      <c r="C1638" t="s">
        <v>4</v>
      </c>
      <c r="D1638">
        <v>1410000</v>
      </c>
    </row>
    <row r="1639" spans="1:4" x14ac:dyDescent="0.2">
      <c r="A1639">
        <v>1948</v>
      </c>
      <c r="B1639" s="1" t="s">
        <v>25</v>
      </c>
      <c r="C1639" t="s">
        <v>4</v>
      </c>
      <c r="D1639">
        <v>1143000</v>
      </c>
    </row>
    <row r="1640" spans="1:4" x14ac:dyDescent="0.2">
      <c r="A1640">
        <v>1948</v>
      </c>
      <c r="B1640" s="1" t="s">
        <v>24</v>
      </c>
      <c r="C1640" t="s">
        <v>5</v>
      </c>
      <c r="D1640">
        <v>1522000</v>
      </c>
    </row>
    <row r="1641" spans="1:4" x14ac:dyDescent="0.2">
      <c r="A1641">
        <v>1948</v>
      </c>
      <c r="B1641" s="1" t="s">
        <v>25</v>
      </c>
      <c r="C1641" t="s">
        <v>5</v>
      </c>
      <c r="D1641">
        <v>1374000</v>
      </c>
    </row>
    <row r="1642" spans="1:4" x14ac:dyDescent="0.2">
      <c r="A1642">
        <v>1948</v>
      </c>
      <c r="B1642" s="1" t="s">
        <v>24</v>
      </c>
      <c r="C1642" t="s">
        <v>12</v>
      </c>
      <c r="D1642">
        <v>1717000</v>
      </c>
    </row>
    <row r="1643" spans="1:4" x14ac:dyDescent="0.2">
      <c r="A1643">
        <v>1948</v>
      </c>
      <c r="B1643" s="1" t="s">
        <v>25</v>
      </c>
      <c r="C1643" t="s">
        <v>12</v>
      </c>
      <c r="D1643">
        <v>1636000</v>
      </c>
    </row>
    <row r="1644" spans="1:4" x14ac:dyDescent="0.2">
      <c r="A1644">
        <v>1948</v>
      </c>
      <c r="B1644" s="1" t="s">
        <v>24</v>
      </c>
      <c r="C1644" t="s">
        <v>13</v>
      </c>
      <c r="D1644">
        <v>1572000</v>
      </c>
    </row>
    <row r="1645" spans="1:4" x14ac:dyDescent="0.2">
      <c r="A1645">
        <v>1948</v>
      </c>
      <c r="B1645" s="1" t="s">
        <v>25</v>
      </c>
      <c r="C1645" t="s">
        <v>13</v>
      </c>
      <c r="D1645">
        <v>1512000</v>
      </c>
    </row>
    <row r="1646" spans="1:4" x14ac:dyDescent="0.2">
      <c r="A1646">
        <v>1948</v>
      </c>
      <c r="B1646" s="1" t="s">
        <v>24</v>
      </c>
      <c r="C1646" t="s">
        <v>14</v>
      </c>
      <c r="D1646">
        <v>1733000</v>
      </c>
    </row>
    <row r="1647" spans="1:4" x14ac:dyDescent="0.2">
      <c r="A1647">
        <v>1948</v>
      </c>
      <c r="B1647" s="1" t="s">
        <v>25</v>
      </c>
      <c r="C1647" t="s">
        <v>14</v>
      </c>
      <c r="D1647">
        <v>1676000</v>
      </c>
    </row>
    <row r="1648" spans="1:4" x14ac:dyDescent="0.2">
      <c r="A1648">
        <v>1948</v>
      </c>
      <c r="B1648" s="1" t="s">
        <v>24</v>
      </c>
      <c r="C1648" t="s">
        <v>15</v>
      </c>
      <c r="D1648">
        <v>1686000</v>
      </c>
    </row>
    <row r="1649" spans="1:4" x14ac:dyDescent="0.2">
      <c r="A1649">
        <v>1948</v>
      </c>
      <c r="B1649" s="1" t="s">
        <v>25</v>
      </c>
      <c r="C1649" t="s">
        <v>15</v>
      </c>
      <c r="D1649">
        <v>1637000</v>
      </c>
    </row>
    <row r="1650" spans="1:4" x14ac:dyDescent="0.2">
      <c r="A1650">
        <v>1948</v>
      </c>
      <c r="B1650" s="1" t="s">
        <v>24</v>
      </c>
      <c r="C1650" t="s">
        <v>16</v>
      </c>
      <c r="D1650">
        <v>1581000</v>
      </c>
    </row>
    <row r="1651" spans="1:4" x14ac:dyDescent="0.2">
      <c r="A1651">
        <v>1948</v>
      </c>
      <c r="B1651" s="1" t="s">
        <v>25</v>
      </c>
      <c r="C1651" t="s">
        <v>16</v>
      </c>
      <c r="D1651">
        <v>1452000</v>
      </c>
    </row>
    <row r="1652" spans="1:4" x14ac:dyDescent="0.2">
      <c r="A1652">
        <v>1948</v>
      </c>
      <c r="B1652" s="1" t="s">
        <v>24</v>
      </c>
      <c r="C1652" t="s">
        <v>17</v>
      </c>
      <c r="D1652">
        <v>1429000</v>
      </c>
    </row>
    <row r="1653" spans="1:4" x14ac:dyDescent="0.2">
      <c r="A1653">
        <v>1948</v>
      </c>
      <c r="B1653" s="1" t="s">
        <v>25</v>
      </c>
      <c r="C1653" t="s">
        <v>17</v>
      </c>
      <c r="D1653">
        <v>1213000</v>
      </c>
    </row>
    <row r="1654" spans="1:4" x14ac:dyDescent="0.2">
      <c r="A1654">
        <v>1948</v>
      </c>
      <c r="B1654" s="1" t="s">
        <v>24</v>
      </c>
      <c r="C1654" t="s">
        <v>18</v>
      </c>
      <c r="D1654">
        <v>1302000</v>
      </c>
    </row>
    <row r="1655" spans="1:4" x14ac:dyDescent="0.2">
      <c r="A1655">
        <v>1948</v>
      </c>
      <c r="B1655" s="1" t="s">
        <v>25</v>
      </c>
      <c r="C1655" t="s">
        <v>18</v>
      </c>
      <c r="D1655">
        <v>1081000</v>
      </c>
    </row>
    <row r="1656" spans="1:4" x14ac:dyDescent="0.2">
      <c r="A1656">
        <v>1948</v>
      </c>
      <c r="B1656" s="1" t="s">
        <v>24</v>
      </c>
      <c r="C1656" t="s">
        <v>19</v>
      </c>
      <c r="D1656">
        <v>1168000</v>
      </c>
    </row>
    <row r="1657" spans="1:4" x14ac:dyDescent="0.2">
      <c r="A1657">
        <v>1948</v>
      </c>
      <c r="B1657" s="1" t="s">
        <v>25</v>
      </c>
      <c r="C1657" t="s">
        <v>19</v>
      </c>
      <c r="D1657">
        <v>939000</v>
      </c>
    </row>
    <row r="1658" spans="1:4" x14ac:dyDescent="0.2">
      <c r="A1658">
        <v>1948</v>
      </c>
      <c r="B1658" s="1" t="s">
        <v>24</v>
      </c>
      <c r="C1658" t="s">
        <v>20</v>
      </c>
      <c r="D1658">
        <v>1009000</v>
      </c>
    </row>
    <row r="1659" spans="1:4" x14ac:dyDescent="0.2">
      <c r="A1659">
        <v>1948</v>
      </c>
      <c r="B1659" s="1" t="s">
        <v>25</v>
      </c>
      <c r="C1659" t="s">
        <v>20</v>
      </c>
      <c r="D1659">
        <v>783000</v>
      </c>
    </row>
    <row r="1660" spans="1:4" x14ac:dyDescent="0.2">
      <c r="A1660">
        <v>1948</v>
      </c>
      <c r="B1660" s="1" t="s">
        <v>24</v>
      </c>
      <c r="C1660" t="s">
        <v>21</v>
      </c>
      <c r="D1660">
        <v>781000</v>
      </c>
    </row>
    <row r="1661" spans="1:4" x14ac:dyDescent="0.2">
      <c r="A1661">
        <v>1948</v>
      </c>
      <c r="B1661" s="1" t="s">
        <v>25</v>
      </c>
      <c r="C1661" t="s">
        <v>21</v>
      </c>
      <c r="D1661">
        <v>589000</v>
      </c>
    </row>
    <row r="1662" spans="1:4" x14ac:dyDescent="0.2">
      <c r="A1662">
        <v>1948</v>
      </c>
      <c r="B1662" s="1" t="s">
        <v>24</v>
      </c>
      <c r="C1662" t="s">
        <v>22</v>
      </c>
      <c r="D1662">
        <v>506000</v>
      </c>
    </row>
    <row r="1663" spans="1:4" x14ac:dyDescent="0.2">
      <c r="A1663">
        <v>1948</v>
      </c>
      <c r="B1663" s="1" t="s">
        <v>25</v>
      </c>
      <c r="C1663" t="s">
        <v>22</v>
      </c>
      <c r="D1663">
        <v>355000</v>
      </c>
    </row>
    <row r="1664" spans="1:4" x14ac:dyDescent="0.2">
      <c r="A1664">
        <v>1948</v>
      </c>
      <c r="B1664" s="1" t="s">
        <v>24</v>
      </c>
      <c r="C1664" t="s">
        <v>23</v>
      </c>
      <c r="D1664">
        <v>265000</v>
      </c>
    </row>
    <row r="1665" spans="1:4" x14ac:dyDescent="0.2">
      <c r="A1665">
        <v>1948</v>
      </c>
      <c r="B1665" s="1" t="s">
        <v>25</v>
      </c>
      <c r="C1665" t="s">
        <v>23</v>
      </c>
      <c r="D1665">
        <v>158000</v>
      </c>
    </row>
    <row r="1666" spans="1:4" x14ac:dyDescent="0.2">
      <c r="A1666">
        <v>1948</v>
      </c>
      <c r="B1666" s="1" t="s">
        <v>24</v>
      </c>
      <c r="C1666" t="s">
        <v>31</v>
      </c>
      <c r="D1666">
        <v>135000</v>
      </c>
    </row>
    <row r="1667" spans="1:4" x14ac:dyDescent="0.2">
      <c r="A1667">
        <v>1948</v>
      </c>
      <c r="B1667" s="1" t="s">
        <v>25</v>
      </c>
      <c r="C1667" t="s">
        <v>31</v>
      </c>
      <c r="D1667">
        <v>62000</v>
      </c>
    </row>
    <row r="1668" spans="1:4" x14ac:dyDescent="0.2">
      <c r="A1668">
        <v>1949</v>
      </c>
      <c r="B1668" s="1" t="s">
        <v>24</v>
      </c>
      <c r="C1668" s="1" t="s">
        <v>29</v>
      </c>
      <c r="D1668">
        <v>356000</v>
      </c>
    </row>
    <row r="1669" spans="1:4" x14ac:dyDescent="0.2">
      <c r="A1669">
        <v>1949</v>
      </c>
      <c r="B1669" s="1" t="s">
        <v>25</v>
      </c>
      <c r="C1669" s="1" t="s">
        <v>29</v>
      </c>
      <c r="D1669">
        <v>375000</v>
      </c>
    </row>
    <row r="1670" spans="1:4" x14ac:dyDescent="0.2">
      <c r="A1670">
        <v>1949</v>
      </c>
      <c r="B1670" s="1" t="s">
        <v>24</v>
      </c>
      <c r="C1670" s="2" t="s">
        <v>26</v>
      </c>
      <c r="D1670">
        <v>1447000</v>
      </c>
    </row>
    <row r="1671" spans="1:4" x14ac:dyDescent="0.2">
      <c r="A1671">
        <v>1949</v>
      </c>
      <c r="B1671" s="1" t="s">
        <v>25</v>
      </c>
      <c r="C1671" s="2" t="s">
        <v>26</v>
      </c>
      <c r="D1671">
        <v>1523000</v>
      </c>
    </row>
    <row r="1672" spans="1:4" x14ac:dyDescent="0.2">
      <c r="A1672">
        <v>1949</v>
      </c>
      <c r="B1672" s="1" t="s">
        <v>24</v>
      </c>
      <c r="C1672" s="2" t="s">
        <v>27</v>
      </c>
      <c r="D1672">
        <v>1457000</v>
      </c>
    </row>
    <row r="1673" spans="1:4" x14ac:dyDescent="0.2">
      <c r="A1673">
        <v>1949</v>
      </c>
      <c r="B1673" s="1" t="s">
        <v>25</v>
      </c>
      <c r="C1673" s="2" t="s">
        <v>27</v>
      </c>
      <c r="D1673">
        <v>1519000</v>
      </c>
    </row>
    <row r="1674" spans="1:4" x14ac:dyDescent="0.2">
      <c r="A1674">
        <v>1949</v>
      </c>
      <c r="B1674" s="1" t="s">
        <v>24</v>
      </c>
      <c r="C1674" s="3" t="s">
        <v>28</v>
      </c>
      <c r="D1674">
        <v>1387000</v>
      </c>
    </row>
    <row r="1675" spans="1:4" x14ac:dyDescent="0.2">
      <c r="A1675">
        <v>1949</v>
      </c>
      <c r="B1675" s="1" t="s">
        <v>25</v>
      </c>
      <c r="C1675" s="3" t="s">
        <v>28</v>
      </c>
      <c r="D1675">
        <v>1433000</v>
      </c>
    </row>
    <row r="1676" spans="1:4" x14ac:dyDescent="0.2">
      <c r="A1676">
        <v>1949</v>
      </c>
      <c r="B1676" s="1" t="s">
        <v>24</v>
      </c>
      <c r="C1676" t="s">
        <v>4</v>
      </c>
      <c r="D1676">
        <v>1397000</v>
      </c>
    </row>
    <row r="1677" spans="1:4" x14ac:dyDescent="0.2">
      <c r="A1677">
        <v>1949</v>
      </c>
      <c r="B1677" s="1" t="s">
        <v>25</v>
      </c>
      <c r="C1677" t="s">
        <v>4</v>
      </c>
      <c r="D1677">
        <v>1137000</v>
      </c>
    </row>
    <row r="1678" spans="1:4" x14ac:dyDescent="0.2">
      <c r="A1678">
        <v>1949</v>
      </c>
      <c r="B1678" s="1" t="s">
        <v>24</v>
      </c>
      <c r="C1678" t="s">
        <v>5</v>
      </c>
      <c r="D1678">
        <v>1507000</v>
      </c>
    </row>
    <row r="1679" spans="1:4" x14ac:dyDescent="0.2">
      <c r="A1679">
        <v>1949</v>
      </c>
      <c r="B1679" s="1" t="s">
        <v>25</v>
      </c>
      <c r="C1679" t="s">
        <v>5</v>
      </c>
      <c r="D1679">
        <v>1389000</v>
      </c>
    </row>
    <row r="1680" spans="1:4" x14ac:dyDescent="0.2">
      <c r="A1680">
        <v>1949</v>
      </c>
      <c r="B1680" s="1" t="s">
        <v>24</v>
      </c>
      <c r="C1680" t="s">
        <v>12</v>
      </c>
      <c r="D1680">
        <v>1770000</v>
      </c>
    </row>
    <row r="1681" spans="1:4" x14ac:dyDescent="0.2">
      <c r="A1681">
        <v>1949</v>
      </c>
      <c r="B1681" s="1" t="s">
        <v>25</v>
      </c>
      <c r="C1681" t="s">
        <v>12</v>
      </c>
      <c r="D1681">
        <v>1702000</v>
      </c>
    </row>
    <row r="1682" spans="1:4" x14ac:dyDescent="0.2">
      <c r="A1682">
        <v>1949</v>
      </c>
      <c r="B1682" s="1" t="s">
        <v>24</v>
      </c>
      <c r="C1682" t="s">
        <v>13</v>
      </c>
      <c r="D1682">
        <v>1483000</v>
      </c>
    </row>
    <row r="1683" spans="1:4" x14ac:dyDescent="0.2">
      <c r="A1683">
        <v>1949</v>
      </c>
      <c r="B1683" s="1" t="s">
        <v>25</v>
      </c>
      <c r="C1683" t="s">
        <v>13</v>
      </c>
      <c r="D1683">
        <v>1433000</v>
      </c>
    </row>
    <row r="1684" spans="1:4" x14ac:dyDescent="0.2">
      <c r="A1684">
        <v>1949</v>
      </c>
      <c r="B1684" s="1" t="s">
        <v>24</v>
      </c>
      <c r="C1684" t="s">
        <v>14</v>
      </c>
      <c r="D1684">
        <v>1727000</v>
      </c>
    </row>
    <row r="1685" spans="1:4" x14ac:dyDescent="0.2">
      <c r="A1685">
        <v>1949</v>
      </c>
      <c r="B1685" s="1" t="s">
        <v>25</v>
      </c>
      <c r="C1685" t="s">
        <v>14</v>
      </c>
      <c r="D1685">
        <v>1675000</v>
      </c>
    </row>
    <row r="1686" spans="1:4" x14ac:dyDescent="0.2">
      <c r="A1686">
        <v>1949</v>
      </c>
      <c r="B1686" s="1" t="s">
        <v>24</v>
      </c>
      <c r="C1686" t="s">
        <v>15</v>
      </c>
      <c r="D1686">
        <v>1700000</v>
      </c>
    </row>
    <row r="1687" spans="1:4" x14ac:dyDescent="0.2">
      <c r="A1687">
        <v>1949</v>
      </c>
      <c r="B1687" s="1" t="s">
        <v>25</v>
      </c>
      <c r="C1687" t="s">
        <v>15</v>
      </c>
      <c r="D1687">
        <v>1661000</v>
      </c>
    </row>
    <row r="1688" spans="1:4" x14ac:dyDescent="0.2">
      <c r="A1688">
        <v>1949</v>
      </c>
      <c r="B1688" s="1" t="s">
        <v>24</v>
      </c>
      <c r="C1688" t="s">
        <v>16</v>
      </c>
      <c r="D1688">
        <v>1596000</v>
      </c>
    </row>
    <row r="1689" spans="1:4" x14ac:dyDescent="0.2">
      <c r="A1689">
        <v>1949</v>
      </c>
      <c r="B1689" s="1" t="s">
        <v>25</v>
      </c>
      <c r="C1689" t="s">
        <v>16</v>
      </c>
      <c r="D1689">
        <v>1488000</v>
      </c>
    </row>
    <row r="1690" spans="1:4" x14ac:dyDescent="0.2">
      <c r="A1690">
        <v>1949</v>
      </c>
      <c r="B1690" s="1" t="s">
        <v>24</v>
      </c>
      <c r="C1690" t="s">
        <v>17</v>
      </c>
      <c r="D1690">
        <v>1455000</v>
      </c>
    </row>
    <row r="1691" spans="1:4" x14ac:dyDescent="0.2">
      <c r="A1691">
        <v>1949</v>
      </c>
      <c r="B1691" s="1" t="s">
        <v>25</v>
      </c>
      <c r="C1691" t="s">
        <v>17</v>
      </c>
      <c r="D1691">
        <v>1251000</v>
      </c>
    </row>
    <row r="1692" spans="1:4" x14ac:dyDescent="0.2">
      <c r="A1692">
        <v>1949</v>
      </c>
      <c r="B1692" s="1" t="s">
        <v>24</v>
      </c>
      <c r="C1692" t="s">
        <v>18</v>
      </c>
      <c r="D1692">
        <v>1311000</v>
      </c>
    </row>
    <row r="1693" spans="1:4" x14ac:dyDescent="0.2">
      <c r="A1693">
        <v>1949</v>
      </c>
      <c r="B1693" s="1" t="s">
        <v>25</v>
      </c>
      <c r="C1693" t="s">
        <v>18</v>
      </c>
      <c r="D1693">
        <v>1082000</v>
      </c>
    </row>
    <row r="1694" spans="1:4" x14ac:dyDescent="0.2">
      <c r="A1694">
        <v>1949</v>
      </c>
      <c r="B1694" s="1" t="s">
        <v>24</v>
      </c>
      <c r="C1694" t="s">
        <v>19</v>
      </c>
      <c r="D1694">
        <v>1179000</v>
      </c>
    </row>
    <row r="1695" spans="1:4" x14ac:dyDescent="0.2">
      <c r="A1695">
        <v>1949</v>
      </c>
      <c r="B1695" s="1" t="s">
        <v>25</v>
      </c>
      <c r="C1695" t="s">
        <v>19</v>
      </c>
      <c r="D1695">
        <v>944000</v>
      </c>
    </row>
    <row r="1696" spans="1:4" x14ac:dyDescent="0.2">
      <c r="A1696">
        <v>1949</v>
      </c>
      <c r="B1696" s="1" t="s">
        <v>24</v>
      </c>
      <c r="C1696" t="s">
        <v>20</v>
      </c>
      <c r="D1696">
        <v>1020000</v>
      </c>
    </row>
    <row r="1697" spans="1:4" x14ac:dyDescent="0.2">
      <c r="A1697">
        <v>1949</v>
      </c>
      <c r="B1697" s="1" t="s">
        <v>25</v>
      </c>
      <c r="C1697" t="s">
        <v>20</v>
      </c>
      <c r="D1697">
        <v>783000</v>
      </c>
    </row>
    <row r="1698" spans="1:4" x14ac:dyDescent="0.2">
      <c r="A1698">
        <v>1949</v>
      </c>
      <c r="B1698" s="1" t="s">
        <v>24</v>
      </c>
      <c r="C1698" t="s">
        <v>21</v>
      </c>
      <c r="D1698">
        <v>796000</v>
      </c>
    </row>
    <row r="1699" spans="1:4" x14ac:dyDescent="0.2">
      <c r="A1699">
        <v>1949</v>
      </c>
      <c r="B1699" s="1" t="s">
        <v>25</v>
      </c>
      <c r="C1699" t="s">
        <v>21</v>
      </c>
      <c r="D1699">
        <v>593000</v>
      </c>
    </row>
    <row r="1700" spans="1:4" x14ac:dyDescent="0.2">
      <c r="A1700">
        <v>1949</v>
      </c>
      <c r="B1700" s="1" t="s">
        <v>24</v>
      </c>
      <c r="C1700" t="s">
        <v>22</v>
      </c>
      <c r="D1700">
        <v>520000</v>
      </c>
    </row>
    <row r="1701" spans="1:4" x14ac:dyDescent="0.2">
      <c r="A1701">
        <v>1949</v>
      </c>
      <c r="B1701" s="1" t="s">
        <v>25</v>
      </c>
      <c r="C1701" t="s">
        <v>22</v>
      </c>
      <c r="D1701">
        <v>364000</v>
      </c>
    </row>
    <row r="1702" spans="1:4" x14ac:dyDescent="0.2">
      <c r="A1702">
        <v>1949</v>
      </c>
      <c r="B1702" s="1" t="s">
        <v>24</v>
      </c>
      <c r="C1702" t="s">
        <v>23</v>
      </c>
      <c r="D1702">
        <v>272000</v>
      </c>
    </row>
    <row r="1703" spans="1:4" x14ac:dyDescent="0.2">
      <c r="A1703">
        <v>1949</v>
      </c>
      <c r="B1703" s="1" t="s">
        <v>25</v>
      </c>
      <c r="C1703" t="s">
        <v>23</v>
      </c>
      <c r="D1703">
        <v>163000</v>
      </c>
    </row>
    <row r="1704" spans="1:4" x14ac:dyDescent="0.2">
      <c r="A1704">
        <v>1949</v>
      </c>
      <c r="B1704" s="1" t="s">
        <v>24</v>
      </c>
      <c r="C1704" t="s">
        <v>31</v>
      </c>
      <c r="D1704">
        <v>140000</v>
      </c>
    </row>
    <row r="1705" spans="1:4" x14ac:dyDescent="0.2">
      <c r="A1705">
        <v>1949</v>
      </c>
      <c r="B1705" s="1" t="s">
        <v>25</v>
      </c>
      <c r="C1705" t="s">
        <v>31</v>
      </c>
      <c r="D1705">
        <v>65000</v>
      </c>
    </row>
    <row r="1706" spans="1:4" x14ac:dyDescent="0.2">
      <c r="A1706">
        <v>1950</v>
      </c>
      <c r="B1706" s="1" t="s">
        <v>24</v>
      </c>
      <c r="C1706" s="1" t="s">
        <v>29</v>
      </c>
      <c r="D1706">
        <v>341000</v>
      </c>
    </row>
    <row r="1707" spans="1:4" x14ac:dyDescent="0.2">
      <c r="A1707">
        <v>1950</v>
      </c>
      <c r="B1707" s="1" t="s">
        <v>25</v>
      </c>
      <c r="C1707" s="1" t="s">
        <v>29</v>
      </c>
      <c r="D1707">
        <v>357000</v>
      </c>
    </row>
    <row r="1708" spans="1:4" x14ac:dyDescent="0.2">
      <c r="A1708">
        <v>1950</v>
      </c>
      <c r="B1708" s="1" t="s">
        <v>24</v>
      </c>
      <c r="C1708" s="2" t="s">
        <v>26</v>
      </c>
      <c r="D1708">
        <v>1477000</v>
      </c>
    </row>
    <row r="1709" spans="1:4" x14ac:dyDescent="0.2">
      <c r="A1709">
        <v>1950</v>
      </c>
      <c r="B1709" s="1" t="s">
        <v>25</v>
      </c>
      <c r="C1709" s="2" t="s">
        <v>26</v>
      </c>
      <c r="D1709">
        <v>1550000</v>
      </c>
    </row>
    <row r="1710" spans="1:4" x14ac:dyDescent="0.2">
      <c r="A1710">
        <v>1950</v>
      </c>
      <c r="B1710" s="1" t="s">
        <v>24</v>
      </c>
      <c r="C1710" s="2" t="s">
        <v>27</v>
      </c>
      <c r="D1710">
        <v>1501000</v>
      </c>
    </row>
    <row r="1711" spans="1:4" x14ac:dyDescent="0.2">
      <c r="A1711">
        <v>1950</v>
      </c>
      <c r="B1711" s="1" t="s">
        <v>25</v>
      </c>
      <c r="C1711" s="2" t="s">
        <v>27</v>
      </c>
      <c r="D1711">
        <v>1569000</v>
      </c>
    </row>
    <row r="1712" spans="1:4" x14ac:dyDescent="0.2">
      <c r="A1712">
        <v>1950</v>
      </c>
      <c r="B1712" s="1" t="s">
        <v>24</v>
      </c>
      <c r="C1712" s="3" t="s">
        <v>28</v>
      </c>
      <c r="D1712">
        <v>1393000</v>
      </c>
    </row>
    <row r="1713" spans="1:4" x14ac:dyDescent="0.2">
      <c r="A1713">
        <v>1950</v>
      </c>
      <c r="B1713" s="1" t="s">
        <v>25</v>
      </c>
      <c r="C1713" s="3" t="s">
        <v>28</v>
      </c>
      <c r="D1713">
        <v>1442000</v>
      </c>
    </row>
    <row r="1714" spans="1:4" x14ac:dyDescent="0.2">
      <c r="A1714">
        <v>1950</v>
      </c>
      <c r="B1714" s="1" t="s">
        <v>24</v>
      </c>
      <c r="C1714" t="s">
        <v>4</v>
      </c>
      <c r="D1714">
        <v>1390000</v>
      </c>
    </row>
    <row r="1715" spans="1:4" x14ac:dyDescent="0.2">
      <c r="A1715">
        <v>1950</v>
      </c>
      <c r="B1715" s="1" t="s">
        <v>25</v>
      </c>
      <c r="C1715" t="s">
        <v>4</v>
      </c>
      <c r="D1715">
        <v>1346000</v>
      </c>
    </row>
    <row r="1716" spans="1:4" x14ac:dyDescent="0.2">
      <c r="A1716">
        <v>1950</v>
      </c>
      <c r="B1716" s="1" t="s">
        <v>24</v>
      </c>
      <c r="C1716" t="s">
        <v>5</v>
      </c>
      <c r="D1716">
        <v>1509000</v>
      </c>
    </row>
    <row r="1717" spans="1:4" x14ac:dyDescent="0.2">
      <c r="A1717">
        <v>1950</v>
      </c>
      <c r="B1717" s="1" t="s">
        <v>25</v>
      </c>
      <c r="C1717" t="s">
        <v>5</v>
      </c>
      <c r="D1717">
        <v>1486000</v>
      </c>
    </row>
    <row r="1718" spans="1:4" x14ac:dyDescent="0.2">
      <c r="A1718">
        <v>1950</v>
      </c>
      <c r="B1718" s="1" t="s">
        <v>24</v>
      </c>
      <c r="C1718" t="s">
        <v>12</v>
      </c>
      <c r="D1718">
        <v>1681000</v>
      </c>
    </row>
    <row r="1719" spans="1:4" x14ac:dyDescent="0.2">
      <c r="A1719">
        <v>1950</v>
      </c>
      <c r="B1719" s="1" t="s">
        <v>25</v>
      </c>
      <c r="C1719" t="s">
        <v>12</v>
      </c>
      <c r="D1719">
        <v>1673000</v>
      </c>
    </row>
    <row r="1720" spans="1:4" x14ac:dyDescent="0.2">
      <c r="A1720">
        <v>1950</v>
      </c>
      <c r="B1720" s="1" t="s">
        <v>24</v>
      </c>
      <c r="C1720" t="s">
        <v>13</v>
      </c>
      <c r="D1720">
        <v>1539000</v>
      </c>
    </row>
    <row r="1721" spans="1:4" x14ac:dyDescent="0.2">
      <c r="A1721">
        <v>1950</v>
      </c>
      <c r="B1721" s="1" t="s">
        <v>25</v>
      </c>
      <c r="C1721" t="s">
        <v>13</v>
      </c>
      <c r="D1721">
        <v>1515000</v>
      </c>
    </row>
    <row r="1722" spans="1:4" x14ac:dyDescent="0.2">
      <c r="A1722">
        <v>1950</v>
      </c>
      <c r="B1722" s="1" t="s">
        <v>24</v>
      </c>
      <c r="C1722" t="s">
        <v>14</v>
      </c>
      <c r="D1722">
        <v>1721000</v>
      </c>
    </row>
    <row r="1723" spans="1:4" x14ac:dyDescent="0.2">
      <c r="A1723">
        <v>1950</v>
      </c>
      <c r="B1723" s="1" t="s">
        <v>25</v>
      </c>
      <c r="C1723" t="s">
        <v>14</v>
      </c>
      <c r="D1723">
        <v>1693000</v>
      </c>
    </row>
    <row r="1724" spans="1:4" x14ac:dyDescent="0.2">
      <c r="A1724">
        <v>1950</v>
      </c>
      <c r="B1724" s="1" t="s">
        <v>24</v>
      </c>
      <c r="C1724" t="s">
        <v>15</v>
      </c>
      <c r="D1724">
        <v>1710000</v>
      </c>
    </row>
    <row r="1725" spans="1:4" x14ac:dyDescent="0.2">
      <c r="A1725">
        <v>1950</v>
      </c>
      <c r="B1725" s="1" t="s">
        <v>25</v>
      </c>
      <c r="C1725" t="s">
        <v>15</v>
      </c>
      <c r="D1725">
        <v>1688000</v>
      </c>
    </row>
    <row r="1726" spans="1:4" x14ac:dyDescent="0.2">
      <c r="A1726">
        <v>1950</v>
      </c>
      <c r="B1726" s="1" t="s">
        <v>24</v>
      </c>
      <c r="C1726" t="s">
        <v>16</v>
      </c>
      <c r="D1726">
        <v>1607000</v>
      </c>
    </row>
    <row r="1727" spans="1:4" x14ac:dyDescent="0.2">
      <c r="A1727">
        <v>1950</v>
      </c>
      <c r="B1727" s="1" t="s">
        <v>25</v>
      </c>
      <c r="C1727" t="s">
        <v>16</v>
      </c>
      <c r="D1727">
        <v>1529000</v>
      </c>
    </row>
    <row r="1728" spans="1:4" x14ac:dyDescent="0.2">
      <c r="A1728">
        <v>1950</v>
      </c>
      <c r="B1728" s="1" t="s">
        <v>24</v>
      </c>
      <c r="C1728" t="s">
        <v>17</v>
      </c>
      <c r="D1728">
        <v>1481000</v>
      </c>
    </row>
    <row r="1729" spans="1:4" x14ac:dyDescent="0.2">
      <c r="A1729">
        <v>1950</v>
      </c>
      <c r="B1729" s="1" t="s">
        <v>25</v>
      </c>
      <c r="C1729" t="s">
        <v>17</v>
      </c>
      <c r="D1729">
        <v>1293000</v>
      </c>
    </row>
    <row r="1730" spans="1:4" x14ac:dyDescent="0.2">
      <c r="A1730">
        <v>1950</v>
      </c>
      <c r="B1730" s="1" t="s">
        <v>24</v>
      </c>
      <c r="C1730" t="s">
        <v>18</v>
      </c>
      <c r="D1730">
        <v>1324000</v>
      </c>
    </row>
    <row r="1731" spans="1:4" x14ac:dyDescent="0.2">
      <c r="A1731">
        <v>1950</v>
      </c>
      <c r="B1731" s="1" t="s">
        <v>25</v>
      </c>
      <c r="C1731" t="s">
        <v>18</v>
      </c>
      <c r="D1731">
        <v>1088000</v>
      </c>
    </row>
    <row r="1732" spans="1:4" x14ac:dyDescent="0.2">
      <c r="A1732">
        <v>1950</v>
      </c>
      <c r="B1732" s="1" t="s">
        <v>24</v>
      </c>
      <c r="C1732" t="s">
        <v>19</v>
      </c>
      <c r="D1732">
        <v>1189000</v>
      </c>
    </row>
    <row r="1733" spans="1:4" x14ac:dyDescent="0.2">
      <c r="A1733">
        <v>1950</v>
      </c>
      <c r="B1733" s="1" t="s">
        <v>25</v>
      </c>
      <c r="C1733" t="s">
        <v>19</v>
      </c>
      <c r="D1733">
        <v>950000</v>
      </c>
    </row>
    <row r="1734" spans="1:4" x14ac:dyDescent="0.2">
      <c r="A1734">
        <v>1950</v>
      </c>
      <c r="B1734" s="1" t="s">
        <v>24</v>
      </c>
      <c r="C1734" t="s">
        <v>20</v>
      </c>
      <c r="D1734">
        <v>1029000</v>
      </c>
    </row>
    <row r="1735" spans="1:4" x14ac:dyDescent="0.2">
      <c r="A1735">
        <v>1950</v>
      </c>
      <c r="B1735" s="1" t="s">
        <v>25</v>
      </c>
      <c r="C1735" t="s">
        <v>20</v>
      </c>
      <c r="D1735">
        <v>784000</v>
      </c>
    </row>
    <row r="1736" spans="1:4" x14ac:dyDescent="0.2">
      <c r="A1736">
        <v>1950</v>
      </c>
      <c r="B1736" s="1" t="s">
        <v>24</v>
      </c>
      <c r="C1736" t="s">
        <v>21</v>
      </c>
      <c r="D1736">
        <v>812000</v>
      </c>
    </row>
    <row r="1737" spans="1:4" x14ac:dyDescent="0.2">
      <c r="A1737">
        <v>1950</v>
      </c>
      <c r="B1737" s="1" t="s">
        <v>25</v>
      </c>
      <c r="C1737" t="s">
        <v>21</v>
      </c>
      <c r="D1737">
        <v>596000</v>
      </c>
    </row>
    <row r="1738" spans="1:4" x14ac:dyDescent="0.2">
      <c r="A1738">
        <v>1950</v>
      </c>
      <c r="B1738" s="1" t="s">
        <v>24</v>
      </c>
      <c r="C1738" t="s">
        <v>22</v>
      </c>
      <c r="D1738">
        <v>534000</v>
      </c>
    </row>
    <row r="1739" spans="1:4" x14ac:dyDescent="0.2">
      <c r="A1739">
        <v>1950</v>
      </c>
      <c r="B1739" s="1" t="s">
        <v>25</v>
      </c>
      <c r="C1739" t="s">
        <v>22</v>
      </c>
      <c r="D1739">
        <v>373000</v>
      </c>
    </row>
    <row r="1740" spans="1:4" x14ac:dyDescent="0.2">
      <c r="A1740">
        <v>1950</v>
      </c>
      <c r="B1740" s="1" t="s">
        <v>24</v>
      </c>
      <c r="C1740" t="s">
        <v>23</v>
      </c>
      <c r="D1740">
        <v>278000</v>
      </c>
    </row>
    <row r="1741" spans="1:4" x14ac:dyDescent="0.2">
      <c r="A1741">
        <v>1950</v>
      </c>
      <c r="B1741" s="1" t="s">
        <v>25</v>
      </c>
      <c r="C1741" t="s">
        <v>23</v>
      </c>
      <c r="D1741">
        <v>169000</v>
      </c>
    </row>
    <row r="1742" spans="1:4" x14ac:dyDescent="0.2">
      <c r="A1742">
        <v>1950</v>
      </c>
      <c r="B1742" s="1" t="s">
        <v>24</v>
      </c>
      <c r="C1742" t="s">
        <v>31</v>
      </c>
      <c r="D1742">
        <v>145000</v>
      </c>
    </row>
    <row r="1743" spans="1:4" x14ac:dyDescent="0.2">
      <c r="A1743">
        <v>1950</v>
      </c>
      <c r="B1743" s="1" t="s">
        <v>25</v>
      </c>
      <c r="C1743" t="s">
        <v>31</v>
      </c>
      <c r="D1743">
        <v>68000</v>
      </c>
    </row>
    <row r="1744" spans="1:4" x14ac:dyDescent="0.2">
      <c r="A1744">
        <v>1951</v>
      </c>
      <c r="B1744" s="1" t="s">
        <v>24</v>
      </c>
      <c r="C1744" s="1" t="s">
        <v>29</v>
      </c>
      <c r="D1744">
        <v>327000</v>
      </c>
    </row>
    <row r="1745" spans="1:4" x14ac:dyDescent="0.2">
      <c r="A1745">
        <v>1951</v>
      </c>
      <c r="B1745" s="1" t="s">
        <v>25</v>
      </c>
      <c r="C1745" s="1" t="s">
        <v>29</v>
      </c>
      <c r="D1745">
        <v>345000</v>
      </c>
    </row>
    <row r="1746" spans="1:4" x14ac:dyDescent="0.2">
      <c r="A1746">
        <v>1951</v>
      </c>
      <c r="B1746" s="1" t="s">
        <v>24</v>
      </c>
      <c r="C1746" s="2" t="s">
        <v>26</v>
      </c>
      <c r="D1746">
        <v>1492000</v>
      </c>
    </row>
    <row r="1747" spans="1:4" x14ac:dyDescent="0.2">
      <c r="A1747">
        <v>1951</v>
      </c>
      <c r="B1747" s="1" t="s">
        <v>25</v>
      </c>
      <c r="C1747" s="2" t="s">
        <v>26</v>
      </c>
      <c r="D1747">
        <v>1565000</v>
      </c>
    </row>
    <row r="1748" spans="1:4" x14ac:dyDescent="0.2">
      <c r="A1748">
        <v>1951</v>
      </c>
      <c r="B1748" s="1" t="s">
        <v>24</v>
      </c>
      <c r="C1748" s="2" t="s">
        <v>27</v>
      </c>
      <c r="D1748">
        <v>1568000</v>
      </c>
    </row>
    <row r="1749" spans="1:4" x14ac:dyDescent="0.2">
      <c r="A1749">
        <v>1951</v>
      </c>
      <c r="B1749" s="1" t="s">
        <v>25</v>
      </c>
      <c r="C1749" s="2" t="s">
        <v>27</v>
      </c>
      <c r="D1749">
        <v>1642000</v>
      </c>
    </row>
    <row r="1750" spans="1:4" x14ac:dyDescent="0.2">
      <c r="A1750">
        <v>1951</v>
      </c>
      <c r="B1750" s="1" t="s">
        <v>24</v>
      </c>
      <c r="C1750" s="3" t="s">
        <v>28</v>
      </c>
      <c r="D1750">
        <v>1377000</v>
      </c>
    </row>
    <row r="1751" spans="1:4" x14ac:dyDescent="0.2">
      <c r="A1751">
        <v>1951</v>
      </c>
      <c r="B1751" s="1" t="s">
        <v>25</v>
      </c>
      <c r="C1751" s="3" t="s">
        <v>28</v>
      </c>
      <c r="D1751">
        <v>1422000</v>
      </c>
    </row>
    <row r="1752" spans="1:4" x14ac:dyDescent="0.2">
      <c r="A1752">
        <v>1951</v>
      </c>
      <c r="B1752" s="1" t="s">
        <v>24</v>
      </c>
      <c r="C1752" t="s">
        <v>4</v>
      </c>
      <c r="D1752">
        <v>1370000</v>
      </c>
    </row>
    <row r="1753" spans="1:4" x14ac:dyDescent="0.2">
      <c r="A1753">
        <v>1951</v>
      </c>
      <c r="B1753" s="1" t="s">
        <v>25</v>
      </c>
      <c r="C1753" t="s">
        <v>4</v>
      </c>
      <c r="D1753">
        <v>1333000</v>
      </c>
    </row>
    <row r="1754" spans="1:4" x14ac:dyDescent="0.2">
      <c r="A1754">
        <v>1951</v>
      </c>
      <c r="B1754" s="1" t="s">
        <v>24</v>
      </c>
      <c r="C1754" t="s">
        <v>5</v>
      </c>
      <c r="D1754">
        <v>1487000</v>
      </c>
    </row>
    <row r="1755" spans="1:4" x14ac:dyDescent="0.2">
      <c r="A1755">
        <v>1951</v>
      </c>
      <c r="B1755" s="1" t="s">
        <v>25</v>
      </c>
      <c r="C1755" t="s">
        <v>5</v>
      </c>
      <c r="D1755">
        <v>1417000</v>
      </c>
    </row>
    <row r="1756" spans="1:4" x14ac:dyDescent="0.2">
      <c r="A1756">
        <v>1951</v>
      </c>
      <c r="B1756" s="1" t="s">
        <v>24</v>
      </c>
      <c r="C1756" t="s">
        <v>12</v>
      </c>
      <c r="D1756">
        <v>1640000</v>
      </c>
    </row>
    <row r="1757" spans="1:4" x14ac:dyDescent="0.2">
      <c r="A1757">
        <v>1951</v>
      </c>
      <c r="B1757" s="1" t="s">
        <v>25</v>
      </c>
      <c r="C1757" t="s">
        <v>12</v>
      </c>
      <c r="D1757">
        <v>1615000</v>
      </c>
    </row>
    <row r="1758" spans="1:4" x14ac:dyDescent="0.2">
      <c r="A1758">
        <v>1951</v>
      </c>
      <c r="B1758" s="1" t="s">
        <v>24</v>
      </c>
      <c r="C1758" t="s">
        <v>13</v>
      </c>
      <c r="D1758">
        <v>1579000</v>
      </c>
    </row>
    <row r="1759" spans="1:4" x14ac:dyDescent="0.2">
      <c r="A1759">
        <v>1951</v>
      </c>
      <c r="B1759" s="1" t="s">
        <v>25</v>
      </c>
      <c r="C1759" t="s">
        <v>13</v>
      </c>
      <c r="D1759">
        <v>1533000</v>
      </c>
    </row>
    <row r="1760" spans="1:4" x14ac:dyDescent="0.2">
      <c r="A1760">
        <v>1951</v>
      </c>
      <c r="B1760" s="1" t="s">
        <v>24</v>
      </c>
      <c r="C1760" t="s">
        <v>14</v>
      </c>
      <c r="D1760">
        <v>1681000</v>
      </c>
    </row>
    <row r="1761" spans="1:4" x14ac:dyDescent="0.2">
      <c r="A1761">
        <v>1951</v>
      </c>
      <c r="B1761" s="1" t="s">
        <v>25</v>
      </c>
      <c r="C1761" t="s">
        <v>14</v>
      </c>
      <c r="D1761">
        <v>1623000</v>
      </c>
    </row>
    <row r="1762" spans="1:4" x14ac:dyDescent="0.2">
      <c r="A1762">
        <v>1951</v>
      </c>
      <c r="B1762" s="1" t="s">
        <v>24</v>
      </c>
      <c r="C1762" t="s">
        <v>15</v>
      </c>
      <c r="D1762">
        <v>1704000</v>
      </c>
    </row>
    <row r="1763" spans="1:4" x14ac:dyDescent="0.2">
      <c r="A1763">
        <v>1951</v>
      </c>
      <c r="B1763" s="1" t="s">
        <v>25</v>
      </c>
      <c r="C1763" t="s">
        <v>15</v>
      </c>
      <c r="D1763">
        <v>1662000</v>
      </c>
    </row>
    <row r="1764" spans="1:4" x14ac:dyDescent="0.2">
      <c r="A1764">
        <v>1951</v>
      </c>
      <c r="B1764" s="1" t="s">
        <v>24</v>
      </c>
      <c r="C1764" t="s">
        <v>16</v>
      </c>
      <c r="D1764">
        <v>1637000</v>
      </c>
    </row>
    <row r="1765" spans="1:4" x14ac:dyDescent="0.2">
      <c r="A1765">
        <v>1951</v>
      </c>
      <c r="B1765" s="1" t="s">
        <v>25</v>
      </c>
      <c r="C1765" t="s">
        <v>16</v>
      </c>
      <c r="D1765">
        <v>1565000</v>
      </c>
    </row>
    <row r="1766" spans="1:4" x14ac:dyDescent="0.2">
      <c r="A1766">
        <v>1951</v>
      </c>
      <c r="B1766" s="1" t="s">
        <v>24</v>
      </c>
      <c r="C1766" t="s">
        <v>17</v>
      </c>
      <c r="D1766">
        <v>1492000</v>
      </c>
    </row>
    <row r="1767" spans="1:4" x14ac:dyDescent="0.2">
      <c r="A1767">
        <v>1951</v>
      </c>
      <c r="B1767" s="1" t="s">
        <v>25</v>
      </c>
      <c r="C1767" t="s">
        <v>17</v>
      </c>
      <c r="D1767">
        <v>1313000</v>
      </c>
    </row>
    <row r="1768" spans="1:4" x14ac:dyDescent="0.2">
      <c r="A1768">
        <v>1951</v>
      </c>
      <c r="B1768" s="1" t="s">
        <v>24</v>
      </c>
      <c r="C1768" t="s">
        <v>18</v>
      </c>
      <c r="D1768">
        <v>1344000</v>
      </c>
    </row>
    <row r="1769" spans="1:4" x14ac:dyDescent="0.2">
      <c r="A1769">
        <v>1951</v>
      </c>
      <c r="B1769" s="1" t="s">
        <v>25</v>
      </c>
      <c r="C1769" t="s">
        <v>18</v>
      </c>
      <c r="D1769">
        <v>1089000</v>
      </c>
    </row>
    <row r="1770" spans="1:4" x14ac:dyDescent="0.2">
      <c r="A1770">
        <v>1951</v>
      </c>
      <c r="B1770" s="1" t="s">
        <v>24</v>
      </c>
      <c r="C1770" t="s">
        <v>19</v>
      </c>
      <c r="D1770">
        <v>1209000</v>
      </c>
    </row>
    <row r="1771" spans="1:4" x14ac:dyDescent="0.2">
      <c r="A1771">
        <v>1951</v>
      </c>
      <c r="B1771" s="1" t="s">
        <v>25</v>
      </c>
      <c r="C1771" t="s">
        <v>19</v>
      </c>
      <c r="D1771">
        <v>944000</v>
      </c>
    </row>
    <row r="1772" spans="1:4" x14ac:dyDescent="0.2">
      <c r="A1772">
        <v>1951</v>
      </c>
      <c r="B1772" s="1" t="s">
        <v>24</v>
      </c>
      <c r="C1772" t="s">
        <v>20</v>
      </c>
      <c r="D1772">
        <v>1051000</v>
      </c>
    </row>
    <row r="1773" spans="1:4" x14ac:dyDescent="0.2">
      <c r="A1773">
        <v>1951</v>
      </c>
      <c r="B1773" s="1" t="s">
        <v>25</v>
      </c>
      <c r="C1773" t="s">
        <v>20</v>
      </c>
      <c r="D1773">
        <v>780000</v>
      </c>
    </row>
    <row r="1774" spans="1:4" x14ac:dyDescent="0.2">
      <c r="A1774">
        <v>1951</v>
      </c>
      <c r="B1774" s="1" t="s">
        <v>24</v>
      </c>
      <c r="C1774" t="s">
        <v>21</v>
      </c>
      <c r="D1774">
        <v>836000</v>
      </c>
    </row>
    <row r="1775" spans="1:4" x14ac:dyDescent="0.2">
      <c r="A1775">
        <v>1951</v>
      </c>
      <c r="B1775" s="1" t="s">
        <v>25</v>
      </c>
      <c r="C1775" t="s">
        <v>21</v>
      </c>
      <c r="D1775">
        <v>592000</v>
      </c>
    </row>
    <row r="1776" spans="1:4" x14ac:dyDescent="0.2">
      <c r="A1776">
        <v>1951</v>
      </c>
      <c r="B1776" s="1" t="s">
        <v>24</v>
      </c>
      <c r="C1776" t="s">
        <v>22</v>
      </c>
      <c r="D1776">
        <v>554000</v>
      </c>
    </row>
    <row r="1777" spans="1:4" x14ac:dyDescent="0.2">
      <c r="A1777">
        <v>1951</v>
      </c>
      <c r="B1777" s="1" t="s">
        <v>25</v>
      </c>
      <c r="C1777" t="s">
        <v>22</v>
      </c>
      <c r="D1777">
        <v>374000</v>
      </c>
    </row>
    <row r="1778" spans="1:4" x14ac:dyDescent="0.2">
      <c r="A1778">
        <v>1951</v>
      </c>
      <c r="B1778" s="1" t="s">
        <v>24</v>
      </c>
      <c r="C1778" t="s">
        <v>23</v>
      </c>
      <c r="D1778">
        <v>283000</v>
      </c>
    </row>
    <row r="1779" spans="1:4" x14ac:dyDescent="0.2">
      <c r="A1779">
        <v>1951</v>
      </c>
      <c r="B1779" s="1" t="s">
        <v>25</v>
      </c>
      <c r="C1779" t="s">
        <v>23</v>
      </c>
      <c r="D1779">
        <v>169000</v>
      </c>
    </row>
    <row r="1780" spans="1:4" x14ac:dyDescent="0.2">
      <c r="A1780">
        <v>1951</v>
      </c>
      <c r="B1780" s="1" t="s">
        <v>24</v>
      </c>
      <c r="C1780" t="s">
        <v>31</v>
      </c>
      <c r="D1780">
        <v>140000</v>
      </c>
    </row>
    <row r="1781" spans="1:4" x14ac:dyDescent="0.2">
      <c r="A1781">
        <v>1951</v>
      </c>
      <c r="B1781" s="1" t="s">
        <v>25</v>
      </c>
      <c r="C1781" t="s">
        <v>31</v>
      </c>
      <c r="D1781">
        <v>61000</v>
      </c>
    </row>
    <row r="1782" spans="1:4" x14ac:dyDescent="0.2">
      <c r="A1782">
        <v>1952</v>
      </c>
      <c r="B1782" s="1" t="s">
        <v>24</v>
      </c>
      <c r="C1782" s="1" t="s">
        <v>29</v>
      </c>
      <c r="D1782">
        <v>320000</v>
      </c>
    </row>
    <row r="1783" spans="1:4" x14ac:dyDescent="0.2">
      <c r="A1783">
        <v>1952</v>
      </c>
      <c r="B1783" s="1" t="s">
        <v>25</v>
      </c>
      <c r="C1783" s="1" t="s">
        <v>29</v>
      </c>
      <c r="D1783">
        <v>335000</v>
      </c>
    </row>
    <row r="1784" spans="1:4" x14ac:dyDescent="0.2">
      <c r="A1784">
        <v>1952</v>
      </c>
      <c r="B1784" s="1" t="s">
        <v>24</v>
      </c>
      <c r="C1784" s="2" t="s">
        <v>26</v>
      </c>
      <c r="D1784">
        <v>1391000</v>
      </c>
    </row>
    <row r="1785" spans="1:4" x14ac:dyDescent="0.2">
      <c r="A1785">
        <v>1952</v>
      </c>
      <c r="B1785" s="1" t="s">
        <v>25</v>
      </c>
      <c r="C1785" s="2" t="s">
        <v>26</v>
      </c>
      <c r="D1785">
        <v>1459000</v>
      </c>
    </row>
    <row r="1786" spans="1:4" x14ac:dyDescent="0.2">
      <c r="A1786">
        <v>1952</v>
      </c>
      <c r="B1786" s="1" t="s">
        <v>24</v>
      </c>
      <c r="C1786" s="2" t="s">
        <v>27</v>
      </c>
      <c r="D1786">
        <v>1705000</v>
      </c>
    </row>
    <row r="1787" spans="1:4" x14ac:dyDescent="0.2">
      <c r="A1787">
        <v>1952</v>
      </c>
      <c r="B1787" s="1" t="s">
        <v>25</v>
      </c>
      <c r="C1787" s="2" t="s">
        <v>27</v>
      </c>
      <c r="D1787">
        <v>1787000</v>
      </c>
    </row>
    <row r="1788" spans="1:4" x14ac:dyDescent="0.2">
      <c r="A1788">
        <v>1952</v>
      </c>
      <c r="B1788" s="1" t="s">
        <v>24</v>
      </c>
      <c r="C1788" s="3" t="s">
        <v>28</v>
      </c>
      <c r="D1788">
        <v>1380000</v>
      </c>
    </row>
    <row r="1789" spans="1:4" x14ac:dyDescent="0.2">
      <c r="A1789">
        <v>1952</v>
      </c>
      <c r="B1789" s="1" t="s">
        <v>25</v>
      </c>
      <c r="C1789" s="3" t="s">
        <v>28</v>
      </c>
      <c r="D1789">
        <v>1429000</v>
      </c>
    </row>
    <row r="1790" spans="1:4" x14ac:dyDescent="0.2">
      <c r="A1790">
        <v>1952</v>
      </c>
      <c r="B1790" s="1" t="s">
        <v>24</v>
      </c>
      <c r="C1790" t="s">
        <v>4</v>
      </c>
      <c r="D1790">
        <v>1368000</v>
      </c>
    </row>
    <row r="1791" spans="1:4" x14ac:dyDescent="0.2">
      <c r="A1791">
        <v>1952</v>
      </c>
      <c r="B1791" s="1" t="s">
        <v>25</v>
      </c>
      <c r="C1791" t="s">
        <v>4</v>
      </c>
      <c r="D1791">
        <v>1331000</v>
      </c>
    </row>
    <row r="1792" spans="1:4" x14ac:dyDescent="0.2">
      <c r="A1792">
        <v>1952</v>
      </c>
      <c r="B1792" s="1" t="s">
        <v>24</v>
      </c>
      <c r="C1792" t="s">
        <v>5</v>
      </c>
      <c r="D1792">
        <v>1470000</v>
      </c>
    </row>
    <row r="1793" spans="1:4" x14ac:dyDescent="0.2">
      <c r="A1793">
        <v>1952</v>
      </c>
      <c r="B1793" s="1" t="s">
        <v>25</v>
      </c>
      <c r="C1793" t="s">
        <v>5</v>
      </c>
      <c r="D1793">
        <v>1388000</v>
      </c>
    </row>
    <row r="1794" spans="1:4" x14ac:dyDescent="0.2">
      <c r="A1794">
        <v>1952</v>
      </c>
      <c r="B1794" s="1" t="s">
        <v>24</v>
      </c>
      <c r="C1794" t="s">
        <v>12</v>
      </c>
      <c r="D1794">
        <v>1590000</v>
      </c>
    </row>
    <row r="1795" spans="1:4" x14ac:dyDescent="0.2">
      <c r="A1795">
        <v>1952</v>
      </c>
      <c r="B1795" s="1" t="s">
        <v>25</v>
      </c>
      <c r="C1795" t="s">
        <v>12</v>
      </c>
      <c r="D1795">
        <v>1570000</v>
      </c>
    </row>
    <row r="1796" spans="1:4" x14ac:dyDescent="0.2">
      <c r="A1796">
        <v>1952</v>
      </c>
      <c r="B1796" s="1" t="s">
        <v>24</v>
      </c>
      <c r="C1796" t="s">
        <v>13</v>
      </c>
      <c r="D1796">
        <v>1630000</v>
      </c>
    </row>
    <row r="1797" spans="1:4" x14ac:dyDescent="0.2">
      <c r="A1797">
        <v>1952</v>
      </c>
      <c r="B1797" s="1" t="s">
        <v>25</v>
      </c>
      <c r="C1797" t="s">
        <v>13</v>
      </c>
      <c r="D1797">
        <v>1588000</v>
      </c>
    </row>
    <row r="1798" spans="1:4" x14ac:dyDescent="0.2">
      <c r="A1798">
        <v>1952</v>
      </c>
      <c r="B1798" s="1" t="s">
        <v>24</v>
      </c>
      <c r="C1798" t="s">
        <v>14</v>
      </c>
      <c r="D1798">
        <v>1632000</v>
      </c>
    </row>
    <row r="1799" spans="1:4" x14ac:dyDescent="0.2">
      <c r="A1799">
        <v>1952</v>
      </c>
      <c r="B1799" s="1" t="s">
        <v>25</v>
      </c>
      <c r="C1799" t="s">
        <v>14</v>
      </c>
      <c r="D1799">
        <v>1574000</v>
      </c>
    </row>
    <row r="1800" spans="1:4" x14ac:dyDescent="0.2">
      <c r="A1800">
        <v>1952</v>
      </c>
      <c r="B1800" s="1" t="s">
        <v>24</v>
      </c>
      <c r="C1800" t="s">
        <v>15</v>
      </c>
      <c r="D1800">
        <v>1697000</v>
      </c>
    </row>
    <row r="1801" spans="1:4" x14ac:dyDescent="0.2">
      <c r="A1801">
        <v>1952</v>
      </c>
      <c r="B1801" s="1" t="s">
        <v>25</v>
      </c>
      <c r="C1801" t="s">
        <v>15</v>
      </c>
      <c r="D1801">
        <v>1654000</v>
      </c>
    </row>
    <row r="1802" spans="1:4" x14ac:dyDescent="0.2">
      <c r="A1802">
        <v>1952</v>
      </c>
      <c r="B1802" s="1" t="s">
        <v>24</v>
      </c>
      <c r="C1802" t="s">
        <v>16</v>
      </c>
      <c r="D1802">
        <v>1648000</v>
      </c>
    </row>
    <row r="1803" spans="1:4" x14ac:dyDescent="0.2">
      <c r="A1803">
        <v>1952</v>
      </c>
      <c r="B1803" s="1" t="s">
        <v>25</v>
      </c>
      <c r="C1803" t="s">
        <v>16</v>
      </c>
      <c r="D1803">
        <v>1587000</v>
      </c>
    </row>
    <row r="1804" spans="1:4" x14ac:dyDescent="0.2">
      <c r="A1804">
        <v>1952</v>
      </c>
      <c r="B1804" s="1" t="s">
        <v>24</v>
      </c>
      <c r="C1804" t="s">
        <v>17</v>
      </c>
      <c r="D1804">
        <v>1512000</v>
      </c>
    </row>
    <row r="1805" spans="1:4" x14ac:dyDescent="0.2">
      <c r="A1805">
        <v>1952</v>
      </c>
      <c r="B1805" s="1" t="s">
        <v>25</v>
      </c>
      <c r="C1805" t="s">
        <v>17</v>
      </c>
      <c r="D1805">
        <v>1361000</v>
      </c>
    </row>
    <row r="1806" spans="1:4" x14ac:dyDescent="0.2">
      <c r="A1806">
        <v>1952</v>
      </c>
      <c r="B1806" s="1" t="s">
        <v>24</v>
      </c>
      <c r="C1806" t="s">
        <v>18</v>
      </c>
      <c r="D1806">
        <v>1358000</v>
      </c>
    </row>
    <row r="1807" spans="1:4" x14ac:dyDescent="0.2">
      <c r="A1807">
        <v>1952</v>
      </c>
      <c r="B1807" s="1" t="s">
        <v>25</v>
      </c>
      <c r="C1807" t="s">
        <v>18</v>
      </c>
      <c r="D1807">
        <v>1101000</v>
      </c>
    </row>
    <row r="1808" spans="1:4" x14ac:dyDescent="0.2">
      <c r="A1808">
        <v>1952</v>
      </c>
      <c r="B1808" s="1" t="s">
        <v>24</v>
      </c>
      <c r="C1808" t="s">
        <v>19</v>
      </c>
      <c r="D1808">
        <v>1219000</v>
      </c>
    </row>
    <row r="1809" spans="1:4" x14ac:dyDescent="0.2">
      <c r="A1809">
        <v>1952</v>
      </c>
      <c r="B1809" s="1" t="s">
        <v>25</v>
      </c>
      <c r="C1809" t="s">
        <v>19</v>
      </c>
      <c r="D1809">
        <v>949000</v>
      </c>
    </row>
    <row r="1810" spans="1:4" x14ac:dyDescent="0.2">
      <c r="A1810">
        <v>1952</v>
      </c>
      <c r="B1810" s="1" t="s">
        <v>24</v>
      </c>
      <c r="C1810" t="s">
        <v>20</v>
      </c>
      <c r="D1810">
        <v>1060000</v>
      </c>
    </row>
    <row r="1811" spans="1:4" x14ac:dyDescent="0.2">
      <c r="A1811">
        <v>1952</v>
      </c>
      <c r="B1811" s="1" t="s">
        <v>25</v>
      </c>
      <c r="C1811" t="s">
        <v>20</v>
      </c>
      <c r="D1811">
        <v>782000</v>
      </c>
    </row>
    <row r="1812" spans="1:4" x14ac:dyDescent="0.2">
      <c r="A1812">
        <v>1952</v>
      </c>
      <c r="B1812" s="1" t="s">
        <v>24</v>
      </c>
      <c r="C1812" t="s">
        <v>21</v>
      </c>
      <c r="D1812">
        <v>850000</v>
      </c>
    </row>
    <row r="1813" spans="1:4" x14ac:dyDescent="0.2">
      <c r="A1813">
        <v>1952</v>
      </c>
      <c r="B1813" s="1" t="s">
        <v>25</v>
      </c>
      <c r="C1813" t="s">
        <v>21</v>
      </c>
      <c r="D1813">
        <v>595000</v>
      </c>
    </row>
    <row r="1814" spans="1:4" x14ac:dyDescent="0.2">
      <c r="A1814">
        <v>1952</v>
      </c>
      <c r="B1814" s="1" t="s">
        <v>24</v>
      </c>
      <c r="C1814" t="s">
        <v>22</v>
      </c>
      <c r="D1814">
        <v>573000</v>
      </c>
    </row>
    <row r="1815" spans="1:4" x14ac:dyDescent="0.2">
      <c r="A1815">
        <v>1952</v>
      </c>
      <c r="B1815" s="1" t="s">
        <v>25</v>
      </c>
      <c r="C1815" t="s">
        <v>22</v>
      </c>
      <c r="D1815">
        <v>380000</v>
      </c>
    </row>
    <row r="1816" spans="1:4" x14ac:dyDescent="0.2">
      <c r="A1816">
        <v>1952</v>
      </c>
      <c r="B1816" s="1" t="s">
        <v>24</v>
      </c>
      <c r="C1816" t="s">
        <v>23</v>
      </c>
      <c r="D1816">
        <v>294000</v>
      </c>
    </row>
    <row r="1817" spans="1:4" x14ac:dyDescent="0.2">
      <c r="A1817">
        <v>1952</v>
      </c>
      <c r="B1817" s="1" t="s">
        <v>25</v>
      </c>
      <c r="C1817" t="s">
        <v>23</v>
      </c>
      <c r="D1817">
        <v>175000</v>
      </c>
    </row>
    <row r="1818" spans="1:4" x14ac:dyDescent="0.2">
      <c r="A1818">
        <v>1952</v>
      </c>
      <c r="B1818" s="1" t="s">
        <v>24</v>
      </c>
      <c r="C1818" t="s">
        <v>31</v>
      </c>
      <c r="D1818">
        <v>148000</v>
      </c>
    </row>
    <row r="1819" spans="1:4" x14ac:dyDescent="0.2">
      <c r="A1819">
        <v>1952</v>
      </c>
      <c r="B1819" s="1" t="s">
        <v>25</v>
      </c>
      <c r="C1819" t="s">
        <v>31</v>
      </c>
      <c r="D1819">
        <v>65000</v>
      </c>
    </row>
    <row r="1820" spans="1:4" x14ac:dyDescent="0.2">
      <c r="A1820">
        <v>1953</v>
      </c>
      <c r="B1820" s="1" t="s">
        <v>24</v>
      </c>
      <c r="C1820" s="1" t="s">
        <v>29</v>
      </c>
      <c r="D1820">
        <v>324000</v>
      </c>
    </row>
    <row r="1821" spans="1:4" x14ac:dyDescent="0.2">
      <c r="A1821">
        <v>1953</v>
      </c>
      <c r="B1821" s="1" t="s">
        <v>25</v>
      </c>
      <c r="C1821" s="1" t="s">
        <v>29</v>
      </c>
      <c r="D1821">
        <v>342000</v>
      </c>
    </row>
    <row r="1822" spans="1:4" x14ac:dyDescent="0.2">
      <c r="A1822">
        <v>1953</v>
      </c>
      <c r="B1822" s="1" t="s">
        <v>24</v>
      </c>
      <c r="C1822" s="2" t="s">
        <v>26</v>
      </c>
      <c r="D1822">
        <v>1327000</v>
      </c>
    </row>
    <row r="1823" spans="1:4" x14ac:dyDescent="0.2">
      <c r="A1823">
        <v>1953</v>
      </c>
      <c r="B1823" s="1" t="s">
        <v>25</v>
      </c>
      <c r="C1823" s="2" t="s">
        <v>26</v>
      </c>
      <c r="D1823">
        <v>1392000</v>
      </c>
    </row>
    <row r="1824" spans="1:4" x14ac:dyDescent="0.2">
      <c r="A1824">
        <v>1953</v>
      </c>
      <c r="B1824" s="1" t="s">
        <v>24</v>
      </c>
      <c r="C1824" s="2" t="s">
        <v>27</v>
      </c>
      <c r="D1824">
        <v>1772000</v>
      </c>
    </row>
    <row r="1825" spans="1:4" x14ac:dyDescent="0.2">
      <c r="A1825">
        <v>1953</v>
      </c>
      <c r="B1825" s="1" t="s">
        <v>25</v>
      </c>
      <c r="C1825" s="2" t="s">
        <v>27</v>
      </c>
      <c r="D1825">
        <v>1856000</v>
      </c>
    </row>
    <row r="1826" spans="1:4" x14ac:dyDescent="0.2">
      <c r="A1826">
        <v>1953</v>
      </c>
      <c r="B1826" s="1" t="s">
        <v>24</v>
      </c>
      <c r="C1826" s="3" t="s">
        <v>28</v>
      </c>
      <c r="D1826">
        <v>1404000</v>
      </c>
    </row>
    <row r="1827" spans="1:4" x14ac:dyDescent="0.2">
      <c r="A1827">
        <v>1953</v>
      </c>
      <c r="B1827" s="1" t="s">
        <v>25</v>
      </c>
      <c r="C1827" s="3" t="s">
        <v>28</v>
      </c>
      <c r="D1827">
        <v>1459000</v>
      </c>
    </row>
    <row r="1828" spans="1:4" x14ac:dyDescent="0.2">
      <c r="A1828">
        <v>1953</v>
      </c>
      <c r="B1828" s="1" t="s">
        <v>24</v>
      </c>
      <c r="C1828" t="s">
        <v>4</v>
      </c>
      <c r="D1828">
        <v>1381000</v>
      </c>
    </row>
    <row r="1829" spans="1:4" x14ac:dyDescent="0.2">
      <c r="A1829">
        <v>1953</v>
      </c>
      <c r="B1829" s="1" t="s">
        <v>25</v>
      </c>
      <c r="C1829" t="s">
        <v>4</v>
      </c>
      <c r="D1829">
        <v>1339000</v>
      </c>
    </row>
    <row r="1830" spans="1:4" x14ac:dyDescent="0.2">
      <c r="A1830">
        <v>1953</v>
      </c>
      <c r="B1830" s="1" t="s">
        <v>24</v>
      </c>
      <c r="C1830" t="s">
        <v>5</v>
      </c>
      <c r="D1830">
        <v>1446000</v>
      </c>
    </row>
    <row r="1831" spans="1:4" x14ac:dyDescent="0.2">
      <c r="A1831">
        <v>1953</v>
      </c>
      <c r="B1831" s="1" t="s">
        <v>25</v>
      </c>
      <c r="C1831" t="s">
        <v>5</v>
      </c>
      <c r="D1831">
        <v>1394000</v>
      </c>
    </row>
    <row r="1832" spans="1:4" x14ac:dyDescent="0.2">
      <c r="A1832">
        <v>1953</v>
      </c>
      <c r="B1832" s="1" t="s">
        <v>24</v>
      </c>
      <c r="C1832" t="s">
        <v>12</v>
      </c>
      <c r="D1832">
        <v>1553000</v>
      </c>
    </row>
    <row r="1833" spans="1:4" x14ac:dyDescent="0.2">
      <c r="A1833">
        <v>1953</v>
      </c>
      <c r="B1833" s="1" t="s">
        <v>25</v>
      </c>
      <c r="C1833" t="s">
        <v>12</v>
      </c>
      <c r="D1833">
        <v>1544000</v>
      </c>
    </row>
    <row r="1834" spans="1:4" x14ac:dyDescent="0.2">
      <c r="A1834">
        <v>1953</v>
      </c>
      <c r="B1834" s="1" t="s">
        <v>24</v>
      </c>
      <c r="C1834" t="s">
        <v>13</v>
      </c>
      <c r="D1834">
        <v>1692000</v>
      </c>
    </row>
    <row r="1835" spans="1:4" x14ac:dyDescent="0.2">
      <c r="A1835">
        <v>1953</v>
      </c>
      <c r="B1835" s="1" t="s">
        <v>25</v>
      </c>
      <c r="C1835" t="s">
        <v>13</v>
      </c>
      <c r="D1835">
        <v>1657000</v>
      </c>
    </row>
    <row r="1836" spans="1:4" x14ac:dyDescent="0.2">
      <c r="A1836">
        <v>1953</v>
      </c>
      <c r="B1836" s="1" t="s">
        <v>24</v>
      </c>
      <c r="C1836" t="s">
        <v>14</v>
      </c>
      <c r="D1836">
        <v>1548000</v>
      </c>
    </row>
    <row r="1837" spans="1:4" x14ac:dyDescent="0.2">
      <c r="A1837">
        <v>1953</v>
      </c>
      <c r="B1837" s="1" t="s">
        <v>25</v>
      </c>
      <c r="C1837" t="s">
        <v>14</v>
      </c>
      <c r="D1837">
        <v>1490000</v>
      </c>
    </row>
    <row r="1838" spans="1:4" x14ac:dyDescent="0.2">
      <c r="A1838">
        <v>1953</v>
      </c>
      <c r="B1838" s="1" t="s">
        <v>24</v>
      </c>
      <c r="C1838" t="s">
        <v>15</v>
      </c>
      <c r="D1838">
        <v>1689000</v>
      </c>
    </row>
    <row r="1839" spans="1:4" x14ac:dyDescent="0.2">
      <c r="A1839">
        <v>1953</v>
      </c>
      <c r="B1839" s="1" t="s">
        <v>25</v>
      </c>
      <c r="C1839" t="s">
        <v>15</v>
      </c>
      <c r="D1839">
        <v>1645000</v>
      </c>
    </row>
    <row r="1840" spans="1:4" x14ac:dyDescent="0.2">
      <c r="A1840">
        <v>1953</v>
      </c>
      <c r="B1840" s="1" t="s">
        <v>24</v>
      </c>
      <c r="C1840" t="s">
        <v>16</v>
      </c>
      <c r="D1840">
        <v>1661000</v>
      </c>
    </row>
    <row r="1841" spans="1:4" x14ac:dyDescent="0.2">
      <c r="A1841">
        <v>1953</v>
      </c>
      <c r="B1841" s="1" t="s">
        <v>25</v>
      </c>
      <c r="C1841" t="s">
        <v>16</v>
      </c>
      <c r="D1841">
        <v>1604000</v>
      </c>
    </row>
    <row r="1842" spans="1:4" x14ac:dyDescent="0.2">
      <c r="A1842">
        <v>1953</v>
      </c>
      <c r="B1842" s="1" t="s">
        <v>24</v>
      </c>
      <c r="C1842" t="s">
        <v>17</v>
      </c>
      <c r="D1842">
        <v>1533000</v>
      </c>
    </row>
    <row r="1843" spans="1:4" x14ac:dyDescent="0.2">
      <c r="A1843">
        <v>1953</v>
      </c>
      <c r="B1843" s="1" t="s">
        <v>25</v>
      </c>
      <c r="C1843" t="s">
        <v>17</v>
      </c>
      <c r="D1843">
        <v>1408000</v>
      </c>
    </row>
    <row r="1844" spans="1:4" x14ac:dyDescent="0.2">
      <c r="A1844">
        <v>1953</v>
      </c>
      <c r="B1844" s="1" t="s">
        <v>24</v>
      </c>
      <c r="C1844" t="s">
        <v>18</v>
      </c>
      <c r="D1844">
        <v>1375000</v>
      </c>
    </row>
    <row r="1845" spans="1:4" x14ac:dyDescent="0.2">
      <c r="A1845">
        <v>1953</v>
      </c>
      <c r="B1845" s="1" t="s">
        <v>25</v>
      </c>
      <c r="C1845" t="s">
        <v>18</v>
      </c>
      <c r="D1845">
        <v>1118000</v>
      </c>
    </row>
    <row r="1846" spans="1:4" x14ac:dyDescent="0.2">
      <c r="A1846">
        <v>1953</v>
      </c>
      <c r="B1846" s="1" t="s">
        <v>24</v>
      </c>
      <c r="C1846" t="s">
        <v>19</v>
      </c>
      <c r="D1846">
        <v>1228000</v>
      </c>
    </row>
    <row r="1847" spans="1:4" x14ac:dyDescent="0.2">
      <c r="A1847">
        <v>1953</v>
      </c>
      <c r="B1847" s="1" t="s">
        <v>25</v>
      </c>
      <c r="C1847" t="s">
        <v>19</v>
      </c>
      <c r="D1847">
        <v>953000</v>
      </c>
    </row>
    <row r="1848" spans="1:4" x14ac:dyDescent="0.2">
      <c r="A1848">
        <v>1953</v>
      </c>
      <c r="B1848" s="1" t="s">
        <v>24</v>
      </c>
      <c r="C1848" t="s">
        <v>20</v>
      </c>
      <c r="D1848">
        <v>1068000</v>
      </c>
    </row>
    <row r="1849" spans="1:4" x14ac:dyDescent="0.2">
      <c r="A1849">
        <v>1953</v>
      </c>
      <c r="B1849" s="1" t="s">
        <v>25</v>
      </c>
      <c r="C1849" t="s">
        <v>20</v>
      </c>
      <c r="D1849">
        <v>782000</v>
      </c>
    </row>
    <row r="1850" spans="1:4" x14ac:dyDescent="0.2">
      <c r="A1850">
        <v>1953</v>
      </c>
      <c r="B1850" s="1" t="s">
        <v>24</v>
      </c>
      <c r="C1850" t="s">
        <v>21</v>
      </c>
      <c r="D1850">
        <v>859000</v>
      </c>
    </row>
    <row r="1851" spans="1:4" x14ac:dyDescent="0.2">
      <c r="A1851">
        <v>1953</v>
      </c>
      <c r="B1851" s="1" t="s">
        <v>25</v>
      </c>
      <c r="C1851" t="s">
        <v>21</v>
      </c>
      <c r="D1851">
        <v>594000</v>
      </c>
    </row>
    <row r="1852" spans="1:4" x14ac:dyDescent="0.2">
      <c r="A1852">
        <v>1953</v>
      </c>
      <c r="B1852" s="1" t="s">
        <v>24</v>
      </c>
      <c r="C1852" t="s">
        <v>22</v>
      </c>
      <c r="D1852">
        <v>587000</v>
      </c>
    </row>
    <row r="1853" spans="1:4" x14ac:dyDescent="0.2">
      <c r="A1853">
        <v>1953</v>
      </c>
      <c r="B1853" s="1" t="s">
        <v>25</v>
      </c>
      <c r="C1853" t="s">
        <v>22</v>
      </c>
      <c r="D1853">
        <v>382000</v>
      </c>
    </row>
    <row r="1854" spans="1:4" x14ac:dyDescent="0.2">
      <c r="A1854">
        <v>1953</v>
      </c>
      <c r="B1854" s="1" t="s">
        <v>24</v>
      </c>
      <c r="C1854" t="s">
        <v>23</v>
      </c>
      <c r="D1854">
        <v>304000</v>
      </c>
    </row>
    <row r="1855" spans="1:4" x14ac:dyDescent="0.2">
      <c r="A1855">
        <v>1953</v>
      </c>
      <c r="B1855" s="1" t="s">
        <v>25</v>
      </c>
      <c r="C1855" t="s">
        <v>23</v>
      </c>
      <c r="D1855">
        <v>179000</v>
      </c>
    </row>
    <row r="1856" spans="1:4" x14ac:dyDescent="0.2">
      <c r="A1856">
        <v>1953</v>
      </c>
      <c r="B1856" s="1" t="s">
        <v>24</v>
      </c>
      <c r="C1856" t="s">
        <v>31</v>
      </c>
      <c r="D1856">
        <v>152000</v>
      </c>
    </row>
    <row r="1857" spans="1:4" x14ac:dyDescent="0.2">
      <c r="A1857">
        <v>1953</v>
      </c>
      <c r="B1857" s="1" t="s">
        <v>25</v>
      </c>
      <c r="C1857" t="s">
        <v>31</v>
      </c>
      <c r="D1857">
        <v>68000</v>
      </c>
    </row>
    <row r="1858" spans="1:4" x14ac:dyDescent="0.2">
      <c r="A1858">
        <v>1954</v>
      </c>
      <c r="B1858" s="1" t="s">
        <v>24</v>
      </c>
      <c r="C1858" s="1" t="s">
        <v>29</v>
      </c>
      <c r="D1858">
        <v>327000</v>
      </c>
    </row>
    <row r="1859" spans="1:4" x14ac:dyDescent="0.2">
      <c r="A1859">
        <v>1954</v>
      </c>
      <c r="B1859" s="1" t="s">
        <v>25</v>
      </c>
      <c r="C1859" s="1" t="s">
        <v>29</v>
      </c>
      <c r="D1859">
        <v>343000</v>
      </c>
    </row>
    <row r="1860" spans="1:4" x14ac:dyDescent="0.2">
      <c r="A1860">
        <v>1954</v>
      </c>
      <c r="B1860" s="1" t="s">
        <v>24</v>
      </c>
      <c r="C1860" s="2" t="s">
        <v>26</v>
      </c>
      <c r="D1860">
        <v>1296000</v>
      </c>
    </row>
    <row r="1861" spans="1:4" x14ac:dyDescent="0.2">
      <c r="A1861">
        <v>1954</v>
      </c>
      <c r="B1861" s="1" t="s">
        <v>25</v>
      </c>
      <c r="C1861" s="2" t="s">
        <v>26</v>
      </c>
      <c r="D1861">
        <v>1360000</v>
      </c>
    </row>
    <row r="1862" spans="1:4" x14ac:dyDescent="0.2">
      <c r="A1862">
        <v>1954</v>
      </c>
      <c r="B1862" s="1" t="s">
        <v>24</v>
      </c>
      <c r="C1862" s="2" t="s">
        <v>27</v>
      </c>
      <c r="D1862">
        <v>1793000</v>
      </c>
    </row>
    <row r="1863" spans="1:4" x14ac:dyDescent="0.2">
      <c r="A1863">
        <v>1954</v>
      </c>
      <c r="B1863" s="1" t="s">
        <v>25</v>
      </c>
      <c r="C1863" s="2" t="s">
        <v>27</v>
      </c>
      <c r="D1863">
        <v>1880000</v>
      </c>
    </row>
    <row r="1864" spans="1:4" x14ac:dyDescent="0.2">
      <c r="A1864">
        <v>1954</v>
      </c>
      <c r="B1864" s="1" t="s">
        <v>24</v>
      </c>
      <c r="C1864" s="3" t="s">
        <v>28</v>
      </c>
      <c r="D1864">
        <v>1447000</v>
      </c>
    </row>
    <row r="1865" spans="1:4" x14ac:dyDescent="0.2">
      <c r="A1865">
        <v>1954</v>
      </c>
      <c r="B1865" s="1" t="s">
        <v>25</v>
      </c>
      <c r="C1865" s="3" t="s">
        <v>28</v>
      </c>
      <c r="D1865">
        <v>1509000</v>
      </c>
    </row>
    <row r="1866" spans="1:4" x14ac:dyDescent="0.2">
      <c r="A1866">
        <v>1954</v>
      </c>
      <c r="B1866" s="1" t="s">
        <v>24</v>
      </c>
      <c r="C1866" t="s">
        <v>4</v>
      </c>
      <c r="D1866">
        <v>1399000</v>
      </c>
    </row>
    <row r="1867" spans="1:4" x14ac:dyDescent="0.2">
      <c r="A1867">
        <v>1954</v>
      </c>
      <c r="B1867" s="1" t="s">
        <v>25</v>
      </c>
      <c r="C1867" t="s">
        <v>4</v>
      </c>
      <c r="D1867">
        <v>1346000</v>
      </c>
    </row>
    <row r="1868" spans="1:4" x14ac:dyDescent="0.2">
      <c r="A1868">
        <v>1954</v>
      </c>
      <c r="B1868" s="1" t="s">
        <v>24</v>
      </c>
      <c r="C1868" t="s">
        <v>5</v>
      </c>
      <c r="D1868">
        <v>1421000</v>
      </c>
    </row>
    <row r="1869" spans="1:4" x14ac:dyDescent="0.2">
      <c r="A1869">
        <v>1954</v>
      </c>
      <c r="B1869" s="1" t="s">
        <v>25</v>
      </c>
      <c r="C1869" t="s">
        <v>5</v>
      </c>
      <c r="D1869">
        <v>1370000</v>
      </c>
    </row>
    <row r="1870" spans="1:4" x14ac:dyDescent="0.2">
      <c r="A1870">
        <v>1954</v>
      </c>
      <c r="B1870" s="1" t="s">
        <v>24</v>
      </c>
      <c r="C1870" t="s">
        <v>12</v>
      </c>
      <c r="D1870">
        <v>1520000</v>
      </c>
    </row>
    <row r="1871" spans="1:4" x14ac:dyDescent="0.2">
      <c r="A1871">
        <v>1954</v>
      </c>
      <c r="B1871" s="1" t="s">
        <v>25</v>
      </c>
      <c r="C1871" t="s">
        <v>12</v>
      </c>
      <c r="D1871">
        <v>1516000</v>
      </c>
    </row>
    <row r="1872" spans="1:4" x14ac:dyDescent="0.2">
      <c r="A1872">
        <v>1954</v>
      </c>
      <c r="B1872" s="1" t="s">
        <v>24</v>
      </c>
      <c r="C1872" t="s">
        <v>13</v>
      </c>
      <c r="D1872">
        <v>1756000</v>
      </c>
    </row>
    <row r="1873" spans="1:4" x14ac:dyDescent="0.2">
      <c r="A1873">
        <v>1954</v>
      </c>
      <c r="B1873" s="1" t="s">
        <v>25</v>
      </c>
      <c r="C1873" t="s">
        <v>13</v>
      </c>
      <c r="D1873">
        <v>1728000</v>
      </c>
    </row>
    <row r="1874" spans="1:4" x14ac:dyDescent="0.2">
      <c r="A1874">
        <v>1954</v>
      </c>
      <c r="B1874" s="1" t="s">
        <v>24</v>
      </c>
      <c r="C1874" t="s">
        <v>14</v>
      </c>
      <c r="D1874">
        <v>1451000</v>
      </c>
    </row>
    <row r="1875" spans="1:4" x14ac:dyDescent="0.2">
      <c r="A1875">
        <v>1954</v>
      </c>
      <c r="B1875" s="1" t="s">
        <v>25</v>
      </c>
      <c r="C1875" t="s">
        <v>14</v>
      </c>
      <c r="D1875">
        <v>1403000</v>
      </c>
    </row>
    <row r="1876" spans="1:4" x14ac:dyDescent="0.2">
      <c r="A1876">
        <v>1954</v>
      </c>
      <c r="B1876" s="1" t="s">
        <v>24</v>
      </c>
      <c r="C1876" t="s">
        <v>15</v>
      </c>
      <c r="D1876">
        <v>1689000</v>
      </c>
    </row>
    <row r="1877" spans="1:4" x14ac:dyDescent="0.2">
      <c r="A1877">
        <v>1954</v>
      </c>
      <c r="B1877" s="1" t="s">
        <v>25</v>
      </c>
      <c r="C1877" t="s">
        <v>15</v>
      </c>
      <c r="D1877">
        <v>1639000</v>
      </c>
    </row>
    <row r="1878" spans="1:4" x14ac:dyDescent="0.2">
      <c r="A1878">
        <v>1954</v>
      </c>
      <c r="B1878" s="1" t="s">
        <v>24</v>
      </c>
      <c r="C1878" t="s">
        <v>16</v>
      </c>
      <c r="D1878">
        <v>1667000</v>
      </c>
    </row>
    <row r="1879" spans="1:4" x14ac:dyDescent="0.2">
      <c r="A1879">
        <v>1954</v>
      </c>
      <c r="B1879" s="1" t="s">
        <v>25</v>
      </c>
      <c r="C1879" t="s">
        <v>16</v>
      </c>
      <c r="D1879">
        <v>1616000</v>
      </c>
    </row>
    <row r="1880" spans="1:4" x14ac:dyDescent="0.2">
      <c r="A1880">
        <v>1954</v>
      </c>
      <c r="B1880" s="1" t="s">
        <v>24</v>
      </c>
      <c r="C1880" t="s">
        <v>17</v>
      </c>
      <c r="D1880">
        <v>1555000</v>
      </c>
    </row>
    <row r="1881" spans="1:4" x14ac:dyDescent="0.2">
      <c r="A1881">
        <v>1954</v>
      </c>
      <c r="B1881" s="1" t="s">
        <v>25</v>
      </c>
      <c r="C1881" t="s">
        <v>17</v>
      </c>
      <c r="D1881">
        <v>1447000</v>
      </c>
    </row>
    <row r="1882" spans="1:4" x14ac:dyDescent="0.2">
      <c r="A1882">
        <v>1954</v>
      </c>
      <c r="B1882" s="1" t="s">
        <v>24</v>
      </c>
      <c r="C1882" t="s">
        <v>18</v>
      </c>
      <c r="D1882">
        <v>1393000</v>
      </c>
    </row>
    <row r="1883" spans="1:4" x14ac:dyDescent="0.2">
      <c r="A1883">
        <v>1954</v>
      </c>
      <c r="B1883" s="1" t="s">
        <v>25</v>
      </c>
      <c r="C1883" t="s">
        <v>18</v>
      </c>
      <c r="D1883">
        <v>1146000</v>
      </c>
    </row>
    <row r="1884" spans="1:4" x14ac:dyDescent="0.2">
      <c r="A1884">
        <v>1954</v>
      </c>
      <c r="B1884" s="1" t="s">
        <v>24</v>
      </c>
      <c r="C1884" t="s">
        <v>19</v>
      </c>
      <c r="D1884">
        <v>1240000</v>
      </c>
    </row>
    <row r="1885" spans="1:4" x14ac:dyDescent="0.2">
      <c r="A1885">
        <v>1954</v>
      </c>
      <c r="B1885" s="1" t="s">
        <v>25</v>
      </c>
      <c r="C1885" t="s">
        <v>19</v>
      </c>
      <c r="D1885">
        <v>960000</v>
      </c>
    </row>
    <row r="1886" spans="1:4" x14ac:dyDescent="0.2">
      <c r="A1886">
        <v>1954</v>
      </c>
      <c r="B1886" s="1" t="s">
        <v>24</v>
      </c>
      <c r="C1886" t="s">
        <v>20</v>
      </c>
      <c r="D1886">
        <v>1076000</v>
      </c>
    </row>
    <row r="1887" spans="1:4" x14ac:dyDescent="0.2">
      <c r="A1887">
        <v>1954</v>
      </c>
      <c r="B1887" s="1" t="s">
        <v>25</v>
      </c>
      <c r="C1887" t="s">
        <v>20</v>
      </c>
      <c r="D1887">
        <v>784000</v>
      </c>
    </row>
    <row r="1888" spans="1:4" x14ac:dyDescent="0.2">
      <c r="A1888">
        <v>1954</v>
      </c>
      <c r="B1888" s="1" t="s">
        <v>24</v>
      </c>
      <c r="C1888" t="s">
        <v>21</v>
      </c>
      <c r="D1888">
        <v>872000</v>
      </c>
    </row>
    <row r="1889" spans="1:4" x14ac:dyDescent="0.2">
      <c r="A1889">
        <v>1954</v>
      </c>
      <c r="B1889" s="1" t="s">
        <v>25</v>
      </c>
      <c r="C1889" t="s">
        <v>21</v>
      </c>
      <c r="D1889">
        <v>596000</v>
      </c>
    </row>
    <row r="1890" spans="1:4" x14ac:dyDescent="0.2">
      <c r="A1890">
        <v>1954</v>
      </c>
      <c r="B1890" s="1" t="s">
        <v>24</v>
      </c>
      <c r="C1890" t="s">
        <v>22</v>
      </c>
      <c r="D1890">
        <v>605000</v>
      </c>
    </row>
    <row r="1891" spans="1:4" x14ac:dyDescent="0.2">
      <c r="A1891">
        <v>1954</v>
      </c>
      <c r="B1891" s="1" t="s">
        <v>25</v>
      </c>
      <c r="C1891" t="s">
        <v>22</v>
      </c>
      <c r="D1891">
        <v>386000</v>
      </c>
    </row>
    <row r="1892" spans="1:4" x14ac:dyDescent="0.2">
      <c r="A1892">
        <v>1954</v>
      </c>
      <c r="B1892" s="1" t="s">
        <v>24</v>
      </c>
      <c r="C1892" t="s">
        <v>23</v>
      </c>
      <c r="D1892">
        <v>318000</v>
      </c>
    </row>
    <row r="1893" spans="1:4" x14ac:dyDescent="0.2">
      <c r="A1893">
        <v>1954</v>
      </c>
      <c r="B1893" s="1" t="s">
        <v>25</v>
      </c>
      <c r="C1893" t="s">
        <v>23</v>
      </c>
      <c r="D1893">
        <v>185000</v>
      </c>
    </row>
    <row r="1894" spans="1:4" x14ac:dyDescent="0.2">
      <c r="A1894">
        <v>1954</v>
      </c>
      <c r="B1894" s="1" t="s">
        <v>24</v>
      </c>
      <c r="C1894" t="s">
        <v>31</v>
      </c>
      <c r="D1894">
        <v>161000</v>
      </c>
    </row>
    <row r="1895" spans="1:4" x14ac:dyDescent="0.2">
      <c r="A1895">
        <v>1954</v>
      </c>
      <c r="B1895" s="1" t="s">
        <v>25</v>
      </c>
      <c r="C1895" t="s">
        <v>31</v>
      </c>
      <c r="D1895">
        <v>74000</v>
      </c>
    </row>
    <row r="1896" spans="1:4" x14ac:dyDescent="0.2">
      <c r="A1896">
        <v>1955</v>
      </c>
      <c r="B1896" s="1" t="s">
        <v>24</v>
      </c>
      <c r="C1896" s="1" t="s">
        <v>29</v>
      </c>
      <c r="D1896">
        <v>318000</v>
      </c>
    </row>
    <row r="1897" spans="1:4" x14ac:dyDescent="0.2">
      <c r="A1897">
        <v>1955</v>
      </c>
      <c r="B1897" s="1" t="s">
        <v>25</v>
      </c>
      <c r="C1897" s="1" t="s">
        <v>29</v>
      </c>
      <c r="D1897">
        <v>335000</v>
      </c>
    </row>
    <row r="1898" spans="1:4" x14ac:dyDescent="0.2">
      <c r="A1898">
        <v>1955</v>
      </c>
      <c r="B1898" s="1" t="s">
        <v>24</v>
      </c>
      <c r="C1898" s="2" t="s">
        <v>26</v>
      </c>
      <c r="D1898">
        <v>1283000</v>
      </c>
    </row>
    <row r="1899" spans="1:4" x14ac:dyDescent="0.2">
      <c r="A1899">
        <v>1955</v>
      </c>
      <c r="B1899" s="1" t="s">
        <v>25</v>
      </c>
      <c r="C1899" s="2" t="s">
        <v>26</v>
      </c>
      <c r="D1899">
        <v>1347000</v>
      </c>
    </row>
    <row r="1900" spans="1:4" x14ac:dyDescent="0.2">
      <c r="A1900">
        <v>1955</v>
      </c>
      <c r="B1900" s="1" t="s">
        <v>24</v>
      </c>
      <c r="C1900" s="2" t="s">
        <v>27</v>
      </c>
      <c r="D1900">
        <v>1803000</v>
      </c>
    </row>
    <row r="1901" spans="1:4" x14ac:dyDescent="0.2">
      <c r="A1901">
        <v>1955</v>
      </c>
      <c r="B1901" s="1" t="s">
        <v>25</v>
      </c>
      <c r="C1901" s="2" t="s">
        <v>27</v>
      </c>
      <c r="D1901">
        <v>1887000</v>
      </c>
    </row>
    <row r="1902" spans="1:4" x14ac:dyDescent="0.2">
      <c r="A1902">
        <v>1955</v>
      </c>
      <c r="B1902" s="1" t="s">
        <v>24</v>
      </c>
      <c r="C1902" s="3" t="s">
        <v>28</v>
      </c>
      <c r="D1902">
        <v>1493000</v>
      </c>
    </row>
    <row r="1903" spans="1:4" x14ac:dyDescent="0.2">
      <c r="A1903">
        <v>1955</v>
      </c>
      <c r="B1903" s="1" t="s">
        <v>25</v>
      </c>
      <c r="C1903" s="3" t="s">
        <v>28</v>
      </c>
      <c r="D1903">
        <v>1560000</v>
      </c>
    </row>
    <row r="1904" spans="1:4" x14ac:dyDescent="0.2">
      <c r="A1904">
        <v>1955</v>
      </c>
      <c r="B1904" s="1" t="s">
        <v>24</v>
      </c>
      <c r="C1904" t="s">
        <v>4</v>
      </c>
      <c r="D1904">
        <v>1399000</v>
      </c>
    </row>
    <row r="1905" spans="1:4" x14ac:dyDescent="0.2">
      <c r="A1905">
        <v>1955</v>
      </c>
      <c r="B1905" s="1" t="s">
        <v>25</v>
      </c>
      <c r="C1905" t="s">
        <v>4</v>
      </c>
      <c r="D1905">
        <v>1375000</v>
      </c>
    </row>
    <row r="1906" spans="1:4" x14ac:dyDescent="0.2">
      <c r="A1906">
        <v>1955</v>
      </c>
      <c r="B1906" s="1" t="s">
        <v>24</v>
      </c>
      <c r="C1906" t="s">
        <v>5</v>
      </c>
      <c r="D1906">
        <v>1405000</v>
      </c>
    </row>
    <row r="1907" spans="1:4" x14ac:dyDescent="0.2">
      <c r="A1907">
        <v>1955</v>
      </c>
      <c r="B1907" s="1" t="s">
        <v>25</v>
      </c>
      <c r="C1907" t="s">
        <v>5</v>
      </c>
      <c r="D1907">
        <v>1362000</v>
      </c>
    </row>
    <row r="1908" spans="1:4" x14ac:dyDescent="0.2">
      <c r="A1908">
        <v>1955</v>
      </c>
      <c r="B1908" s="1" t="s">
        <v>24</v>
      </c>
      <c r="C1908" t="s">
        <v>12</v>
      </c>
      <c r="D1908">
        <v>1497000</v>
      </c>
    </row>
    <row r="1909" spans="1:4" x14ac:dyDescent="0.2">
      <c r="A1909">
        <v>1955</v>
      </c>
      <c r="B1909" s="1" t="s">
        <v>25</v>
      </c>
      <c r="C1909" t="s">
        <v>12</v>
      </c>
      <c r="D1909">
        <v>1490000</v>
      </c>
    </row>
    <row r="1910" spans="1:4" x14ac:dyDescent="0.2">
      <c r="A1910">
        <v>1955</v>
      </c>
      <c r="B1910" s="1" t="s">
        <v>24</v>
      </c>
      <c r="C1910" t="s">
        <v>13</v>
      </c>
      <c r="D1910">
        <v>1679000</v>
      </c>
    </row>
    <row r="1911" spans="1:4" x14ac:dyDescent="0.2">
      <c r="A1911">
        <v>1955</v>
      </c>
      <c r="B1911" s="1" t="s">
        <v>25</v>
      </c>
      <c r="C1911" t="s">
        <v>13</v>
      </c>
      <c r="D1911">
        <v>1657000</v>
      </c>
    </row>
    <row r="1912" spans="1:4" x14ac:dyDescent="0.2">
      <c r="A1912">
        <v>1955</v>
      </c>
      <c r="B1912" s="1" t="s">
        <v>24</v>
      </c>
      <c r="C1912" t="s">
        <v>14</v>
      </c>
      <c r="D1912">
        <v>1503000</v>
      </c>
    </row>
    <row r="1913" spans="1:4" x14ac:dyDescent="0.2">
      <c r="A1913">
        <v>1955</v>
      </c>
      <c r="B1913" s="1" t="s">
        <v>25</v>
      </c>
      <c r="C1913" t="s">
        <v>14</v>
      </c>
      <c r="D1913">
        <v>1460000</v>
      </c>
    </row>
    <row r="1914" spans="1:4" x14ac:dyDescent="0.2">
      <c r="A1914">
        <v>1955</v>
      </c>
      <c r="B1914" s="1" t="s">
        <v>24</v>
      </c>
      <c r="C1914" t="s">
        <v>15</v>
      </c>
      <c r="D1914">
        <v>1685000</v>
      </c>
    </row>
    <row r="1915" spans="1:4" x14ac:dyDescent="0.2">
      <c r="A1915">
        <v>1955</v>
      </c>
      <c r="B1915" s="1" t="s">
        <v>25</v>
      </c>
      <c r="C1915" t="s">
        <v>15</v>
      </c>
      <c r="D1915">
        <v>1632000</v>
      </c>
    </row>
    <row r="1916" spans="1:4" x14ac:dyDescent="0.2">
      <c r="A1916">
        <v>1955</v>
      </c>
      <c r="B1916" s="1" t="s">
        <v>24</v>
      </c>
      <c r="C1916" t="s">
        <v>16</v>
      </c>
      <c r="D1916">
        <v>1668000</v>
      </c>
    </row>
    <row r="1917" spans="1:4" x14ac:dyDescent="0.2">
      <c r="A1917">
        <v>1955</v>
      </c>
      <c r="B1917" s="1" t="s">
        <v>25</v>
      </c>
      <c r="C1917" t="s">
        <v>16</v>
      </c>
      <c r="D1917">
        <v>1625000</v>
      </c>
    </row>
    <row r="1918" spans="1:4" x14ac:dyDescent="0.2">
      <c r="A1918">
        <v>1955</v>
      </c>
      <c r="B1918" s="1" t="s">
        <v>24</v>
      </c>
      <c r="C1918" t="s">
        <v>17</v>
      </c>
      <c r="D1918">
        <v>1575000</v>
      </c>
    </row>
    <row r="1919" spans="1:4" x14ac:dyDescent="0.2">
      <c r="A1919">
        <v>1955</v>
      </c>
      <c r="B1919" s="1" t="s">
        <v>25</v>
      </c>
      <c r="C1919" t="s">
        <v>17</v>
      </c>
      <c r="D1919">
        <v>1477000</v>
      </c>
    </row>
    <row r="1920" spans="1:4" x14ac:dyDescent="0.2">
      <c r="A1920">
        <v>1955</v>
      </c>
      <c r="B1920" s="1" t="s">
        <v>24</v>
      </c>
      <c r="C1920" t="s">
        <v>18</v>
      </c>
      <c r="D1920">
        <v>1416000</v>
      </c>
    </row>
    <row r="1921" spans="1:4" x14ac:dyDescent="0.2">
      <c r="A1921">
        <v>1955</v>
      </c>
      <c r="B1921" s="1" t="s">
        <v>25</v>
      </c>
      <c r="C1921" t="s">
        <v>18</v>
      </c>
      <c r="D1921">
        <v>1183000</v>
      </c>
    </row>
    <row r="1922" spans="1:4" x14ac:dyDescent="0.2">
      <c r="A1922">
        <v>1955</v>
      </c>
      <c r="B1922" s="1" t="s">
        <v>24</v>
      </c>
      <c r="C1922" t="s">
        <v>19</v>
      </c>
      <c r="D1922">
        <v>1253000</v>
      </c>
    </row>
    <row r="1923" spans="1:4" x14ac:dyDescent="0.2">
      <c r="A1923">
        <v>1955</v>
      </c>
      <c r="B1923" s="1" t="s">
        <v>25</v>
      </c>
      <c r="C1923" t="s">
        <v>19</v>
      </c>
      <c r="D1923">
        <v>966000</v>
      </c>
    </row>
    <row r="1924" spans="1:4" x14ac:dyDescent="0.2">
      <c r="A1924">
        <v>1955</v>
      </c>
      <c r="B1924" s="1" t="s">
        <v>24</v>
      </c>
      <c r="C1924" t="s">
        <v>20</v>
      </c>
      <c r="D1924">
        <v>1082000</v>
      </c>
    </row>
    <row r="1925" spans="1:4" x14ac:dyDescent="0.2">
      <c r="A1925">
        <v>1955</v>
      </c>
      <c r="B1925" s="1" t="s">
        <v>25</v>
      </c>
      <c r="C1925" t="s">
        <v>20</v>
      </c>
      <c r="D1925">
        <v>785000</v>
      </c>
    </row>
    <row r="1926" spans="1:4" x14ac:dyDescent="0.2">
      <c r="A1926">
        <v>1955</v>
      </c>
      <c r="B1926" s="1" t="s">
        <v>24</v>
      </c>
      <c r="C1926" t="s">
        <v>21</v>
      </c>
      <c r="D1926">
        <v>880000</v>
      </c>
    </row>
    <row r="1927" spans="1:4" x14ac:dyDescent="0.2">
      <c r="A1927">
        <v>1955</v>
      </c>
      <c r="B1927" s="1" t="s">
        <v>25</v>
      </c>
      <c r="C1927" t="s">
        <v>21</v>
      </c>
      <c r="D1927">
        <v>596000</v>
      </c>
    </row>
    <row r="1928" spans="1:4" x14ac:dyDescent="0.2">
      <c r="A1928">
        <v>1955</v>
      </c>
      <c r="B1928" s="1" t="s">
        <v>24</v>
      </c>
      <c r="C1928" t="s">
        <v>22</v>
      </c>
      <c r="D1928">
        <v>617000</v>
      </c>
    </row>
    <row r="1929" spans="1:4" x14ac:dyDescent="0.2">
      <c r="A1929">
        <v>1955</v>
      </c>
      <c r="B1929" s="1" t="s">
        <v>25</v>
      </c>
      <c r="C1929" t="s">
        <v>22</v>
      </c>
      <c r="D1929">
        <v>385000</v>
      </c>
    </row>
    <row r="1930" spans="1:4" x14ac:dyDescent="0.2">
      <c r="A1930">
        <v>1955</v>
      </c>
      <c r="B1930" s="1" t="s">
        <v>24</v>
      </c>
      <c r="C1930" t="s">
        <v>23</v>
      </c>
      <c r="D1930">
        <v>329000</v>
      </c>
    </row>
    <row r="1931" spans="1:4" x14ac:dyDescent="0.2">
      <c r="A1931">
        <v>1955</v>
      </c>
      <c r="B1931" s="1" t="s">
        <v>25</v>
      </c>
      <c r="C1931" t="s">
        <v>23</v>
      </c>
      <c r="D1931">
        <v>189000</v>
      </c>
    </row>
    <row r="1932" spans="1:4" x14ac:dyDescent="0.2">
      <c r="A1932">
        <v>1955</v>
      </c>
      <c r="B1932" s="1" t="s">
        <v>24</v>
      </c>
      <c r="C1932" t="s">
        <v>31</v>
      </c>
      <c r="D1932">
        <v>167000</v>
      </c>
    </row>
    <row r="1933" spans="1:4" x14ac:dyDescent="0.2">
      <c r="A1933">
        <v>1955</v>
      </c>
      <c r="B1933" s="1" t="s">
        <v>25</v>
      </c>
      <c r="C1933" t="s">
        <v>31</v>
      </c>
      <c r="D1933">
        <v>78000</v>
      </c>
    </row>
    <row r="1934" spans="1:4" x14ac:dyDescent="0.2">
      <c r="A1934">
        <v>1956</v>
      </c>
      <c r="B1934" s="1" t="s">
        <v>24</v>
      </c>
      <c r="C1934" s="1" t="s">
        <v>29</v>
      </c>
      <c r="D1934">
        <v>329000</v>
      </c>
    </row>
    <row r="1935" spans="1:4" x14ac:dyDescent="0.2">
      <c r="A1935">
        <v>1956</v>
      </c>
      <c r="B1935" s="1" t="s">
        <v>25</v>
      </c>
      <c r="C1935" s="1" t="s">
        <v>29</v>
      </c>
      <c r="D1935">
        <v>348000</v>
      </c>
    </row>
    <row r="1936" spans="1:4" x14ac:dyDescent="0.2">
      <c r="A1936">
        <v>1956</v>
      </c>
      <c r="B1936" s="1" t="s">
        <v>24</v>
      </c>
      <c r="C1936" s="2" t="s">
        <v>26</v>
      </c>
      <c r="D1936">
        <v>1275000</v>
      </c>
    </row>
    <row r="1937" spans="1:4" x14ac:dyDescent="0.2">
      <c r="A1937">
        <v>1956</v>
      </c>
      <c r="B1937" s="1" t="s">
        <v>25</v>
      </c>
      <c r="C1937" s="2" t="s">
        <v>26</v>
      </c>
      <c r="D1937">
        <v>1339000</v>
      </c>
    </row>
    <row r="1938" spans="1:4" x14ac:dyDescent="0.2">
      <c r="A1938">
        <v>1956</v>
      </c>
      <c r="B1938" s="1" t="s">
        <v>24</v>
      </c>
      <c r="C1938" s="2" t="s">
        <v>27</v>
      </c>
      <c r="D1938">
        <v>1799000</v>
      </c>
    </row>
    <row r="1939" spans="1:4" x14ac:dyDescent="0.2">
      <c r="A1939">
        <v>1956</v>
      </c>
      <c r="B1939" s="1" t="s">
        <v>25</v>
      </c>
      <c r="C1939" s="2" t="s">
        <v>27</v>
      </c>
      <c r="D1939">
        <v>1883000</v>
      </c>
    </row>
    <row r="1940" spans="1:4" x14ac:dyDescent="0.2">
      <c r="A1940">
        <v>1956</v>
      </c>
      <c r="B1940" s="1" t="s">
        <v>24</v>
      </c>
      <c r="C1940" s="3" t="s">
        <v>28</v>
      </c>
      <c r="D1940">
        <v>1559000</v>
      </c>
    </row>
    <row r="1941" spans="1:4" x14ac:dyDescent="0.2">
      <c r="A1941">
        <v>1956</v>
      </c>
      <c r="B1941" s="1" t="s">
        <v>25</v>
      </c>
      <c r="C1941" s="3" t="s">
        <v>28</v>
      </c>
      <c r="D1941">
        <v>1633000</v>
      </c>
    </row>
    <row r="1942" spans="1:4" x14ac:dyDescent="0.2">
      <c r="A1942">
        <v>1956</v>
      </c>
      <c r="B1942" s="1" t="s">
        <v>24</v>
      </c>
      <c r="C1942" t="s">
        <v>4</v>
      </c>
      <c r="D1942">
        <v>1389000</v>
      </c>
    </row>
    <row r="1943" spans="1:4" x14ac:dyDescent="0.2">
      <c r="A1943">
        <v>1956</v>
      </c>
      <c r="B1943" s="1" t="s">
        <v>25</v>
      </c>
      <c r="C1943" t="s">
        <v>4</v>
      </c>
      <c r="D1943">
        <v>1366000</v>
      </c>
    </row>
    <row r="1944" spans="1:4" x14ac:dyDescent="0.2">
      <c r="A1944">
        <v>1956</v>
      </c>
      <c r="B1944" s="1" t="s">
        <v>24</v>
      </c>
      <c r="C1944" t="s">
        <v>5</v>
      </c>
      <c r="D1944">
        <v>1389000</v>
      </c>
    </row>
    <row r="1945" spans="1:4" x14ac:dyDescent="0.2">
      <c r="A1945">
        <v>1956</v>
      </c>
      <c r="B1945" s="1" t="s">
        <v>25</v>
      </c>
      <c r="C1945" t="s">
        <v>5</v>
      </c>
      <c r="D1945">
        <v>1366000</v>
      </c>
    </row>
    <row r="1946" spans="1:4" x14ac:dyDescent="0.2">
      <c r="A1946">
        <v>1956</v>
      </c>
      <c r="B1946" s="1" t="s">
        <v>24</v>
      </c>
      <c r="C1946" t="s">
        <v>12</v>
      </c>
      <c r="D1946">
        <v>1479000</v>
      </c>
    </row>
    <row r="1947" spans="1:4" x14ac:dyDescent="0.2">
      <c r="A1947">
        <v>1956</v>
      </c>
      <c r="B1947" s="1" t="s">
        <v>25</v>
      </c>
      <c r="C1947" t="s">
        <v>12</v>
      </c>
      <c r="D1947">
        <v>1482000</v>
      </c>
    </row>
    <row r="1948" spans="1:4" x14ac:dyDescent="0.2">
      <c r="A1948">
        <v>1956</v>
      </c>
      <c r="B1948" s="1" t="s">
        <v>24</v>
      </c>
      <c r="C1948" t="s">
        <v>13</v>
      </c>
      <c r="D1948">
        <v>1621000</v>
      </c>
    </row>
    <row r="1949" spans="1:4" x14ac:dyDescent="0.2">
      <c r="A1949">
        <v>1956</v>
      </c>
      <c r="B1949" s="1" t="s">
        <v>25</v>
      </c>
      <c r="C1949" t="s">
        <v>13</v>
      </c>
      <c r="D1949">
        <v>1607000</v>
      </c>
    </row>
    <row r="1950" spans="1:4" x14ac:dyDescent="0.2">
      <c r="A1950">
        <v>1956</v>
      </c>
      <c r="B1950" s="1" t="s">
        <v>24</v>
      </c>
      <c r="C1950" t="s">
        <v>14</v>
      </c>
      <c r="D1950">
        <v>1561000</v>
      </c>
    </row>
    <row r="1951" spans="1:4" x14ac:dyDescent="0.2">
      <c r="A1951">
        <v>1956</v>
      </c>
      <c r="B1951" s="1" t="s">
        <v>25</v>
      </c>
      <c r="C1951" t="s">
        <v>14</v>
      </c>
      <c r="D1951">
        <v>1516000</v>
      </c>
    </row>
    <row r="1952" spans="1:4" x14ac:dyDescent="0.2">
      <c r="A1952">
        <v>1956</v>
      </c>
      <c r="B1952" s="1" t="s">
        <v>24</v>
      </c>
      <c r="C1952" t="s">
        <v>15</v>
      </c>
      <c r="D1952">
        <v>1655000</v>
      </c>
    </row>
    <row r="1953" spans="1:4" x14ac:dyDescent="0.2">
      <c r="A1953">
        <v>1956</v>
      </c>
      <c r="B1953" s="1" t="s">
        <v>25</v>
      </c>
      <c r="C1953" t="s">
        <v>15</v>
      </c>
      <c r="D1953">
        <v>1603000</v>
      </c>
    </row>
    <row r="1954" spans="1:4" x14ac:dyDescent="0.2">
      <c r="A1954">
        <v>1956</v>
      </c>
      <c r="B1954" s="1" t="s">
        <v>24</v>
      </c>
      <c r="C1954" t="s">
        <v>16</v>
      </c>
      <c r="D1954">
        <v>1670000</v>
      </c>
    </row>
    <row r="1955" spans="1:4" x14ac:dyDescent="0.2">
      <c r="A1955">
        <v>1956</v>
      </c>
      <c r="B1955" s="1" t="s">
        <v>25</v>
      </c>
      <c r="C1955" t="s">
        <v>16</v>
      </c>
      <c r="D1955">
        <v>1626000</v>
      </c>
    </row>
    <row r="1956" spans="1:4" x14ac:dyDescent="0.2">
      <c r="A1956">
        <v>1956</v>
      </c>
      <c r="B1956" s="1" t="s">
        <v>24</v>
      </c>
      <c r="C1956" t="s">
        <v>17</v>
      </c>
      <c r="D1956">
        <v>1593000</v>
      </c>
    </row>
    <row r="1957" spans="1:4" x14ac:dyDescent="0.2">
      <c r="A1957">
        <v>1956</v>
      </c>
      <c r="B1957" s="1" t="s">
        <v>25</v>
      </c>
      <c r="C1957" t="s">
        <v>17</v>
      </c>
      <c r="D1957">
        <v>1503000</v>
      </c>
    </row>
    <row r="1958" spans="1:4" x14ac:dyDescent="0.2">
      <c r="A1958">
        <v>1956</v>
      </c>
      <c r="B1958" s="1" t="s">
        <v>24</v>
      </c>
      <c r="C1958" t="s">
        <v>18</v>
      </c>
      <c r="D1958">
        <v>1436000</v>
      </c>
    </row>
    <row r="1959" spans="1:4" x14ac:dyDescent="0.2">
      <c r="A1959">
        <v>1956</v>
      </c>
      <c r="B1959" s="1" t="s">
        <v>25</v>
      </c>
      <c r="C1959" t="s">
        <v>18</v>
      </c>
      <c r="D1959">
        <v>1225000</v>
      </c>
    </row>
    <row r="1960" spans="1:4" x14ac:dyDescent="0.2">
      <c r="A1960">
        <v>1956</v>
      </c>
      <c r="B1960" s="1" t="s">
        <v>24</v>
      </c>
      <c r="C1960" t="s">
        <v>19</v>
      </c>
      <c r="D1960">
        <v>1267000</v>
      </c>
    </row>
    <row r="1961" spans="1:4" x14ac:dyDescent="0.2">
      <c r="A1961">
        <v>1956</v>
      </c>
      <c r="B1961" s="1" t="s">
        <v>25</v>
      </c>
      <c r="C1961" t="s">
        <v>19</v>
      </c>
      <c r="D1961">
        <v>975000</v>
      </c>
    </row>
    <row r="1962" spans="1:4" x14ac:dyDescent="0.2">
      <c r="A1962">
        <v>1956</v>
      </c>
      <c r="B1962" s="1" t="s">
        <v>24</v>
      </c>
      <c r="C1962" t="s">
        <v>20</v>
      </c>
      <c r="D1962">
        <v>1093000</v>
      </c>
    </row>
    <row r="1963" spans="1:4" x14ac:dyDescent="0.2">
      <c r="A1963">
        <v>1956</v>
      </c>
      <c r="B1963" s="1" t="s">
        <v>25</v>
      </c>
      <c r="C1963" t="s">
        <v>20</v>
      </c>
      <c r="D1963">
        <v>790000</v>
      </c>
    </row>
    <row r="1964" spans="1:4" x14ac:dyDescent="0.2">
      <c r="A1964">
        <v>1956</v>
      </c>
      <c r="B1964" s="1" t="s">
        <v>24</v>
      </c>
      <c r="C1964" t="s">
        <v>21</v>
      </c>
      <c r="D1964">
        <v>889000</v>
      </c>
    </row>
    <row r="1965" spans="1:4" x14ac:dyDescent="0.2">
      <c r="A1965">
        <v>1956</v>
      </c>
      <c r="B1965" s="1" t="s">
        <v>25</v>
      </c>
      <c r="C1965" t="s">
        <v>21</v>
      </c>
      <c r="D1965">
        <v>596000</v>
      </c>
    </row>
    <row r="1966" spans="1:4" x14ac:dyDescent="0.2">
      <c r="A1966">
        <v>1956</v>
      </c>
      <c r="B1966" s="1" t="s">
        <v>24</v>
      </c>
      <c r="C1966" t="s">
        <v>22</v>
      </c>
      <c r="D1966">
        <v>631000</v>
      </c>
    </row>
    <row r="1967" spans="1:4" x14ac:dyDescent="0.2">
      <c r="A1967">
        <v>1956</v>
      </c>
      <c r="B1967" s="1" t="s">
        <v>25</v>
      </c>
      <c r="C1967" t="s">
        <v>22</v>
      </c>
      <c r="D1967">
        <v>386000</v>
      </c>
    </row>
    <row r="1968" spans="1:4" x14ac:dyDescent="0.2">
      <c r="A1968">
        <v>1956</v>
      </c>
      <c r="B1968" s="1" t="s">
        <v>24</v>
      </c>
      <c r="C1968" t="s">
        <v>23</v>
      </c>
      <c r="D1968">
        <v>342000</v>
      </c>
    </row>
    <row r="1969" spans="1:4" x14ac:dyDescent="0.2">
      <c r="A1969">
        <v>1956</v>
      </c>
      <c r="B1969" s="1" t="s">
        <v>25</v>
      </c>
      <c r="C1969" t="s">
        <v>23</v>
      </c>
      <c r="D1969">
        <v>193000</v>
      </c>
    </row>
    <row r="1970" spans="1:4" x14ac:dyDescent="0.2">
      <c r="A1970">
        <v>1956</v>
      </c>
      <c r="B1970" s="1" t="s">
        <v>24</v>
      </c>
      <c r="C1970" t="s">
        <v>31</v>
      </c>
      <c r="D1970">
        <v>173000</v>
      </c>
    </row>
    <row r="1971" spans="1:4" x14ac:dyDescent="0.2">
      <c r="A1971">
        <v>1956</v>
      </c>
      <c r="B1971" s="1" t="s">
        <v>25</v>
      </c>
      <c r="C1971" t="s">
        <v>31</v>
      </c>
      <c r="D1971">
        <v>80000</v>
      </c>
    </row>
    <row r="1972" spans="1:4" x14ac:dyDescent="0.2">
      <c r="A1972">
        <v>1957</v>
      </c>
      <c r="B1972" s="1" t="s">
        <v>24</v>
      </c>
      <c r="C1972" s="1" t="s">
        <v>29</v>
      </c>
      <c r="D1972">
        <v>339000</v>
      </c>
    </row>
    <row r="1973" spans="1:4" x14ac:dyDescent="0.2">
      <c r="A1973">
        <v>1957</v>
      </c>
      <c r="B1973" s="1" t="s">
        <v>25</v>
      </c>
      <c r="C1973" s="1" t="s">
        <v>29</v>
      </c>
      <c r="D1973">
        <v>357000</v>
      </c>
    </row>
    <row r="1974" spans="1:4" x14ac:dyDescent="0.2">
      <c r="A1974">
        <v>1957</v>
      </c>
      <c r="B1974" s="1" t="s">
        <v>24</v>
      </c>
      <c r="C1974" s="2" t="s">
        <v>26</v>
      </c>
      <c r="D1974">
        <v>1282000</v>
      </c>
    </row>
    <row r="1975" spans="1:4" x14ac:dyDescent="0.2">
      <c r="A1975">
        <v>1957</v>
      </c>
      <c r="B1975" s="1" t="s">
        <v>25</v>
      </c>
      <c r="C1975" s="2" t="s">
        <v>26</v>
      </c>
      <c r="D1975">
        <v>1350000</v>
      </c>
    </row>
    <row r="1976" spans="1:4" x14ac:dyDescent="0.2">
      <c r="A1976">
        <v>1957</v>
      </c>
      <c r="B1976" s="1" t="s">
        <v>24</v>
      </c>
      <c r="C1976" s="2" t="s">
        <v>27</v>
      </c>
      <c r="D1976">
        <v>1691000</v>
      </c>
    </row>
    <row r="1977" spans="1:4" x14ac:dyDescent="0.2">
      <c r="A1977">
        <v>1957</v>
      </c>
      <c r="B1977" s="1" t="s">
        <v>25</v>
      </c>
      <c r="C1977" s="2" t="s">
        <v>27</v>
      </c>
      <c r="D1977">
        <v>1769000</v>
      </c>
    </row>
    <row r="1978" spans="1:4" x14ac:dyDescent="0.2">
      <c r="A1978">
        <v>1957</v>
      </c>
      <c r="B1978" s="1" t="s">
        <v>24</v>
      </c>
      <c r="C1978" s="3" t="s">
        <v>28</v>
      </c>
      <c r="D1978">
        <v>1696000</v>
      </c>
    </row>
    <row r="1979" spans="1:4" x14ac:dyDescent="0.2">
      <c r="A1979">
        <v>1957</v>
      </c>
      <c r="B1979" s="1" t="s">
        <v>25</v>
      </c>
      <c r="C1979" s="3" t="s">
        <v>28</v>
      </c>
      <c r="D1979">
        <v>1777000</v>
      </c>
    </row>
    <row r="1980" spans="1:4" x14ac:dyDescent="0.2">
      <c r="A1980">
        <v>1957</v>
      </c>
      <c r="B1980" s="1" t="s">
        <v>24</v>
      </c>
      <c r="C1980" t="s">
        <v>4</v>
      </c>
      <c r="D1980">
        <v>1389000</v>
      </c>
    </row>
    <row r="1981" spans="1:4" x14ac:dyDescent="0.2">
      <c r="A1981">
        <v>1957</v>
      </c>
      <c r="B1981" s="1" t="s">
        <v>25</v>
      </c>
      <c r="C1981" t="s">
        <v>4</v>
      </c>
      <c r="D1981">
        <v>1396000</v>
      </c>
    </row>
    <row r="1982" spans="1:4" x14ac:dyDescent="0.2">
      <c r="A1982">
        <v>1957</v>
      </c>
      <c r="B1982" s="1" t="s">
        <v>24</v>
      </c>
      <c r="C1982" t="s">
        <v>5</v>
      </c>
      <c r="D1982">
        <v>1386000</v>
      </c>
    </row>
    <row r="1983" spans="1:4" x14ac:dyDescent="0.2">
      <c r="A1983">
        <v>1957</v>
      </c>
      <c r="B1983" s="1" t="s">
        <v>25</v>
      </c>
      <c r="C1983" t="s">
        <v>5</v>
      </c>
      <c r="D1983">
        <v>1361000</v>
      </c>
    </row>
    <row r="1984" spans="1:4" x14ac:dyDescent="0.2">
      <c r="A1984">
        <v>1957</v>
      </c>
      <c r="B1984" s="1" t="s">
        <v>24</v>
      </c>
      <c r="C1984" t="s">
        <v>12</v>
      </c>
      <c r="D1984">
        <v>1465000</v>
      </c>
    </row>
    <row r="1985" spans="1:4" x14ac:dyDescent="0.2">
      <c r="A1985">
        <v>1957</v>
      </c>
      <c r="B1985" s="1" t="s">
        <v>25</v>
      </c>
      <c r="C1985" t="s">
        <v>12</v>
      </c>
      <c r="D1985">
        <v>1472000</v>
      </c>
    </row>
    <row r="1986" spans="1:4" x14ac:dyDescent="0.2">
      <c r="A1986">
        <v>1957</v>
      </c>
      <c r="B1986" s="1" t="s">
        <v>24</v>
      </c>
      <c r="C1986" t="s">
        <v>13</v>
      </c>
      <c r="D1986">
        <v>1573000</v>
      </c>
    </row>
    <row r="1987" spans="1:4" x14ac:dyDescent="0.2">
      <c r="A1987">
        <v>1957</v>
      </c>
      <c r="B1987" s="1" t="s">
        <v>25</v>
      </c>
      <c r="C1987" t="s">
        <v>13</v>
      </c>
      <c r="D1987">
        <v>1564000</v>
      </c>
    </row>
    <row r="1988" spans="1:4" x14ac:dyDescent="0.2">
      <c r="A1988">
        <v>1957</v>
      </c>
      <c r="B1988" s="1" t="s">
        <v>24</v>
      </c>
      <c r="C1988" t="s">
        <v>14</v>
      </c>
      <c r="D1988">
        <v>1615000</v>
      </c>
    </row>
    <row r="1989" spans="1:4" x14ac:dyDescent="0.2">
      <c r="A1989">
        <v>1957</v>
      </c>
      <c r="B1989" s="1" t="s">
        <v>25</v>
      </c>
      <c r="C1989" t="s">
        <v>14</v>
      </c>
      <c r="D1989">
        <v>1570000</v>
      </c>
    </row>
    <row r="1990" spans="1:4" x14ac:dyDescent="0.2">
      <c r="A1990">
        <v>1957</v>
      </c>
      <c r="B1990" s="1" t="s">
        <v>24</v>
      </c>
      <c r="C1990" t="s">
        <v>15</v>
      </c>
      <c r="D1990">
        <v>1612000</v>
      </c>
    </row>
    <row r="1991" spans="1:4" x14ac:dyDescent="0.2">
      <c r="A1991">
        <v>1957</v>
      </c>
      <c r="B1991" s="1" t="s">
        <v>25</v>
      </c>
      <c r="C1991" t="s">
        <v>15</v>
      </c>
      <c r="D1991">
        <v>1554000</v>
      </c>
    </row>
    <row r="1992" spans="1:4" x14ac:dyDescent="0.2">
      <c r="A1992">
        <v>1957</v>
      </c>
      <c r="B1992" s="1" t="s">
        <v>24</v>
      </c>
      <c r="C1992" t="s">
        <v>16</v>
      </c>
      <c r="D1992">
        <v>1666000</v>
      </c>
    </row>
    <row r="1993" spans="1:4" x14ac:dyDescent="0.2">
      <c r="A1993">
        <v>1957</v>
      </c>
      <c r="B1993" s="1" t="s">
        <v>25</v>
      </c>
      <c r="C1993" t="s">
        <v>16</v>
      </c>
      <c r="D1993">
        <v>1623000</v>
      </c>
    </row>
    <row r="1994" spans="1:4" x14ac:dyDescent="0.2">
      <c r="A1994">
        <v>1957</v>
      </c>
      <c r="B1994" s="1" t="s">
        <v>24</v>
      </c>
      <c r="C1994" t="s">
        <v>17</v>
      </c>
      <c r="D1994">
        <v>1607000</v>
      </c>
    </row>
    <row r="1995" spans="1:4" x14ac:dyDescent="0.2">
      <c r="A1995">
        <v>1957</v>
      </c>
      <c r="B1995" s="1" t="s">
        <v>25</v>
      </c>
      <c r="C1995" t="s">
        <v>17</v>
      </c>
      <c r="D1995">
        <v>1524000</v>
      </c>
    </row>
    <row r="1996" spans="1:4" x14ac:dyDescent="0.2">
      <c r="A1996">
        <v>1957</v>
      </c>
      <c r="B1996" s="1" t="s">
        <v>24</v>
      </c>
      <c r="C1996" t="s">
        <v>18</v>
      </c>
      <c r="D1996">
        <v>1457000</v>
      </c>
    </row>
    <row r="1997" spans="1:4" x14ac:dyDescent="0.2">
      <c r="A1997">
        <v>1957</v>
      </c>
      <c r="B1997" s="1" t="s">
        <v>25</v>
      </c>
      <c r="C1997" t="s">
        <v>18</v>
      </c>
      <c r="D1997">
        <v>1271000</v>
      </c>
    </row>
    <row r="1998" spans="1:4" x14ac:dyDescent="0.2">
      <c r="A1998">
        <v>1957</v>
      </c>
      <c r="B1998" s="1" t="s">
        <v>24</v>
      </c>
      <c r="C1998" t="s">
        <v>19</v>
      </c>
      <c r="D1998">
        <v>1285000</v>
      </c>
    </row>
    <row r="1999" spans="1:4" x14ac:dyDescent="0.2">
      <c r="A1999">
        <v>1957</v>
      </c>
      <c r="B1999" s="1" t="s">
        <v>25</v>
      </c>
      <c r="C1999" t="s">
        <v>19</v>
      </c>
      <c r="D1999">
        <v>990000</v>
      </c>
    </row>
    <row r="2000" spans="1:4" x14ac:dyDescent="0.2">
      <c r="A2000">
        <v>1957</v>
      </c>
      <c r="B2000" s="1" t="s">
        <v>24</v>
      </c>
      <c r="C2000" t="s">
        <v>20</v>
      </c>
      <c r="D2000">
        <v>1107000</v>
      </c>
    </row>
    <row r="2001" spans="1:4" x14ac:dyDescent="0.2">
      <c r="A2001">
        <v>1957</v>
      </c>
      <c r="B2001" s="1" t="s">
        <v>25</v>
      </c>
      <c r="C2001" t="s">
        <v>20</v>
      </c>
      <c r="D2001">
        <v>797000</v>
      </c>
    </row>
    <row r="2002" spans="1:4" x14ac:dyDescent="0.2">
      <c r="A2002">
        <v>1957</v>
      </c>
      <c r="B2002" s="1" t="s">
        <v>24</v>
      </c>
      <c r="C2002" t="s">
        <v>21</v>
      </c>
      <c r="D2002">
        <v>902000</v>
      </c>
    </row>
    <row r="2003" spans="1:4" x14ac:dyDescent="0.2">
      <c r="A2003">
        <v>1957</v>
      </c>
      <c r="B2003" s="1" t="s">
        <v>25</v>
      </c>
      <c r="C2003" t="s">
        <v>21</v>
      </c>
      <c r="D2003">
        <v>599000</v>
      </c>
    </row>
    <row r="2004" spans="1:4" x14ac:dyDescent="0.2">
      <c r="A2004">
        <v>1957</v>
      </c>
      <c r="B2004" s="1" t="s">
        <v>24</v>
      </c>
      <c r="C2004" t="s">
        <v>22</v>
      </c>
      <c r="D2004">
        <v>646000</v>
      </c>
    </row>
    <row r="2005" spans="1:4" x14ac:dyDescent="0.2">
      <c r="A2005">
        <v>1957</v>
      </c>
      <c r="B2005" s="1" t="s">
        <v>25</v>
      </c>
      <c r="C2005" t="s">
        <v>22</v>
      </c>
      <c r="D2005">
        <v>391000</v>
      </c>
    </row>
    <row r="2006" spans="1:4" x14ac:dyDescent="0.2">
      <c r="A2006">
        <v>1957</v>
      </c>
      <c r="B2006" s="1" t="s">
        <v>24</v>
      </c>
      <c r="C2006" t="s">
        <v>23</v>
      </c>
      <c r="D2006">
        <v>357000</v>
      </c>
    </row>
    <row r="2007" spans="1:4" x14ac:dyDescent="0.2">
      <c r="A2007">
        <v>1957</v>
      </c>
      <c r="B2007" s="1" t="s">
        <v>25</v>
      </c>
      <c r="C2007" t="s">
        <v>23</v>
      </c>
      <c r="D2007">
        <v>197000</v>
      </c>
    </row>
    <row r="2008" spans="1:4" x14ac:dyDescent="0.2">
      <c r="A2008">
        <v>1957</v>
      </c>
      <c r="B2008" s="1" t="s">
        <v>24</v>
      </c>
      <c r="C2008" t="s">
        <v>31</v>
      </c>
      <c r="D2008">
        <v>184000</v>
      </c>
    </row>
    <row r="2009" spans="1:4" x14ac:dyDescent="0.2">
      <c r="A2009">
        <v>1957</v>
      </c>
      <c r="B2009" s="1" t="s">
        <v>25</v>
      </c>
      <c r="C2009" t="s">
        <v>31</v>
      </c>
      <c r="D2009">
        <v>86000</v>
      </c>
    </row>
    <row r="2010" spans="1:4" x14ac:dyDescent="0.2">
      <c r="A2010">
        <v>1958</v>
      </c>
      <c r="B2010" s="1" t="s">
        <v>24</v>
      </c>
      <c r="C2010" s="1" t="s">
        <v>29</v>
      </c>
      <c r="D2010">
        <v>351000</v>
      </c>
    </row>
    <row r="2011" spans="1:4" x14ac:dyDescent="0.2">
      <c r="A2011">
        <v>1958</v>
      </c>
      <c r="B2011" s="1" t="s">
        <v>25</v>
      </c>
      <c r="C2011" s="1" t="s">
        <v>29</v>
      </c>
      <c r="D2011">
        <v>370000</v>
      </c>
    </row>
    <row r="2012" spans="1:4" x14ac:dyDescent="0.2">
      <c r="A2012">
        <v>1958</v>
      </c>
      <c r="B2012" s="1" t="s">
        <v>24</v>
      </c>
      <c r="C2012" s="2" t="s">
        <v>26</v>
      </c>
      <c r="D2012">
        <v>1297000</v>
      </c>
    </row>
    <row r="2013" spans="1:4" x14ac:dyDescent="0.2">
      <c r="A2013">
        <v>1958</v>
      </c>
      <c r="B2013" s="1" t="s">
        <v>25</v>
      </c>
      <c r="C2013" s="2" t="s">
        <v>26</v>
      </c>
      <c r="D2013">
        <v>1365000</v>
      </c>
    </row>
    <row r="2014" spans="1:4" x14ac:dyDescent="0.2">
      <c r="A2014">
        <v>1958</v>
      </c>
      <c r="B2014" s="1" t="s">
        <v>24</v>
      </c>
      <c r="C2014" s="2" t="s">
        <v>27</v>
      </c>
      <c r="D2014">
        <v>1632000</v>
      </c>
    </row>
    <row r="2015" spans="1:4" x14ac:dyDescent="0.2">
      <c r="A2015">
        <v>1958</v>
      </c>
      <c r="B2015" s="1" t="s">
        <v>25</v>
      </c>
      <c r="C2015" s="2" t="s">
        <v>27</v>
      </c>
      <c r="D2015">
        <v>1710000</v>
      </c>
    </row>
    <row r="2016" spans="1:4" x14ac:dyDescent="0.2">
      <c r="A2016">
        <v>1958</v>
      </c>
      <c r="B2016" s="1" t="s">
        <v>24</v>
      </c>
      <c r="C2016" s="3" t="s">
        <v>28</v>
      </c>
      <c r="D2016">
        <v>1763000</v>
      </c>
    </row>
    <row r="2017" spans="1:4" x14ac:dyDescent="0.2">
      <c r="A2017">
        <v>1958</v>
      </c>
      <c r="B2017" s="1" t="s">
        <v>25</v>
      </c>
      <c r="C2017" s="3" t="s">
        <v>28</v>
      </c>
      <c r="D2017">
        <v>1845000</v>
      </c>
    </row>
    <row r="2018" spans="1:4" x14ac:dyDescent="0.2">
      <c r="A2018">
        <v>1958</v>
      </c>
      <c r="B2018" s="1" t="s">
        <v>24</v>
      </c>
      <c r="C2018" t="s">
        <v>4</v>
      </c>
      <c r="D2018">
        <v>1412000</v>
      </c>
    </row>
    <row r="2019" spans="1:4" x14ac:dyDescent="0.2">
      <c r="A2019">
        <v>1958</v>
      </c>
      <c r="B2019" s="1" t="s">
        <v>25</v>
      </c>
      <c r="C2019" t="s">
        <v>4</v>
      </c>
      <c r="D2019">
        <v>1428000</v>
      </c>
    </row>
    <row r="2020" spans="1:4" x14ac:dyDescent="0.2">
      <c r="A2020">
        <v>1958</v>
      </c>
      <c r="B2020" s="1" t="s">
        <v>24</v>
      </c>
      <c r="C2020" t="s">
        <v>5</v>
      </c>
      <c r="D2020">
        <v>1402000</v>
      </c>
    </row>
    <row r="2021" spans="1:4" x14ac:dyDescent="0.2">
      <c r="A2021">
        <v>1958</v>
      </c>
      <c r="B2021" s="1" t="s">
        <v>25</v>
      </c>
      <c r="C2021" t="s">
        <v>5</v>
      </c>
      <c r="D2021">
        <v>1380000</v>
      </c>
    </row>
    <row r="2022" spans="1:4" x14ac:dyDescent="0.2">
      <c r="A2022">
        <v>1958</v>
      </c>
      <c r="B2022" s="1" t="s">
        <v>24</v>
      </c>
      <c r="C2022" t="s">
        <v>12</v>
      </c>
      <c r="D2022">
        <v>1449000</v>
      </c>
    </row>
    <row r="2023" spans="1:4" x14ac:dyDescent="0.2">
      <c r="A2023">
        <v>1958</v>
      </c>
      <c r="B2023" s="1" t="s">
        <v>25</v>
      </c>
      <c r="C2023" t="s">
        <v>12</v>
      </c>
      <c r="D2023">
        <v>1452000</v>
      </c>
    </row>
    <row r="2024" spans="1:4" x14ac:dyDescent="0.2">
      <c r="A2024">
        <v>1958</v>
      </c>
      <c r="B2024" s="1" t="s">
        <v>24</v>
      </c>
      <c r="C2024" t="s">
        <v>13</v>
      </c>
      <c r="D2024">
        <v>1541000</v>
      </c>
    </row>
    <row r="2025" spans="1:4" x14ac:dyDescent="0.2">
      <c r="A2025">
        <v>1958</v>
      </c>
      <c r="B2025" s="1" t="s">
        <v>25</v>
      </c>
      <c r="C2025" t="s">
        <v>13</v>
      </c>
      <c r="D2025">
        <v>1533000</v>
      </c>
    </row>
    <row r="2026" spans="1:4" x14ac:dyDescent="0.2">
      <c r="A2026">
        <v>1958</v>
      </c>
      <c r="B2026" s="1" t="s">
        <v>24</v>
      </c>
      <c r="C2026" t="s">
        <v>14</v>
      </c>
      <c r="D2026">
        <v>1681000</v>
      </c>
    </row>
    <row r="2027" spans="1:4" x14ac:dyDescent="0.2">
      <c r="A2027">
        <v>1958</v>
      </c>
      <c r="B2027" s="1" t="s">
        <v>25</v>
      </c>
      <c r="C2027" t="s">
        <v>14</v>
      </c>
      <c r="D2027">
        <v>1636000</v>
      </c>
    </row>
    <row r="2028" spans="1:4" x14ac:dyDescent="0.2">
      <c r="A2028">
        <v>1958</v>
      </c>
      <c r="B2028" s="1" t="s">
        <v>24</v>
      </c>
      <c r="C2028" t="s">
        <v>15</v>
      </c>
      <c r="D2028">
        <v>1531000</v>
      </c>
    </row>
    <row r="2029" spans="1:4" x14ac:dyDescent="0.2">
      <c r="A2029">
        <v>1958</v>
      </c>
      <c r="B2029" s="1" t="s">
        <v>25</v>
      </c>
      <c r="C2029" t="s">
        <v>15</v>
      </c>
      <c r="D2029">
        <v>1474000</v>
      </c>
    </row>
    <row r="2030" spans="1:4" x14ac:dyDescent="0.2">
      <c r="A2030">
        <v>1958</v>
      </c>
      <c r="B2030" s="1" t="s">
        <v>24</v>
      </c>
      <c r="C2030" t="s">
        <v>16</v>
      </c>
      <c r="D2030">
        <v>1662000</v>
      </c>
    </row>
    <row r="2031" spans="1:4" x14ac:dyDescent="0.2">
      <c r="A2031">
        <v>1958</v>
      </c>
      <c r="B2031" s="1" t="s">
        <v>25</v>
      </c>
      <c r="C2031" t="s">
        <v>16</v>
      </c>
      <c r="D2031">
        <v>1618000</v>
      </c>
    </row>
    <row r="2032" spans="1:4" x14ac:dyDescent="0.2">
      <c r="A2032">
        <v>1958</v>
      </c>
      <c r="B2032" s="1" t="s">
        <v>24</v>
      </c>
      <c r="C2032" t="s">
        <v>17</v>
      </c>
      <c r="D2032">
        <v>1622000</v>
      </c>
    </row>
    <row r="2033" spans="1:4" x14ac:dyDescent="0.2">
      <c r="A2033">
        <v>1958</v>
      </c>
      <c r="B2033" s="1" t="s">
        <v>25</v>
      </c>
      <c r="C2033" t="s">
        <v>17</v>
      </c>
      <c r="D2033">
        <v>1543000</v>
      </c>
    </row>
    <row r="2034" spans="1:4" x14ac:dyDescent="0.2">
      <c r="A2034">
        <v>1958</v>
      </c>
      <c r="B2034" s="1" t="s">
        <v>24</v>
      </c>
      <c r="C2034" t="s">
        <v>18</v>
      </c>
      <c r="D2034">
        <v>1479000</v>
      </c>
    </row>
    <row r="2035" spans="1:4" x14ac:dyDescent="0.2">
      <c r="A2035">
        <v>1958</v>
      </c>
      <c r="B2035" s="1" t="s">
        <v>25</v>
      </c>
      <c r="C2035" t="s">
        <v>18</v>
      </c>
      <c r="D2035">
        <v>1314000</v>
      </c>
    </row>
    <row r="2036" spans="1:4" x14ac:dyDescent="0.2">
      <c r="A2036">
        <v>1958</v>
      </c>
      <c r="B2036" s="1" t="s">
        <v>24</v>
      </c>
      <c r="C2036" t="s">
        <v>19</v>
      </c>
      <c r="D2036">
        <v>1304000</v>
      </c>
    </row>
    <row r="2037" spans="1:4" x14ac:dyDescent="0.2">
      <c r="A2037">
        <v>1958</v>
      </c>
      <c r="B2037" s="1" t="s">
        <v>25</v>
      </c>
      <c r="C2037" t="s">
        <v>19</v>
      </c>
      <c r="D2037">
        <v>1004000</v>
      </c>
    </row>
    <row r="2038" spans="1:4" x14ac:dyDescent="0.2">
      <c r="A2038">
        <v>1958</v>
      </c>
      <c r="B2038" s="1" t="s">
        <v>24</v>
      </c>
      <c r="C2038" t="s">
        <v>20</v>
      </c>
      <c r="D2038">
        <v>1118000</v>
      </c>
    </row>
    <row r="2039" spans="1:4" x14ac:dyDescent="0.2">
      <c r="A2039">
        <v>1958</v>
      </c>
      <c r="B2039" s="1" t="s">
        <v>25</v>
      </c>
      <c r="C2039" t="s">
        <v>20</v>
      </c>
      <c r="D2039">
        <v>800000</v>
      </c>
    </row>
    <row r="2040" spans="1:4" x14ac:dyDescent="0.2">
      <c r="A2040">
        <v>1958</v>
      </c>
      <c r="B2040" s="1" t="s">
        <v>24</v>
      </c>
      <c r="C2040" t="s">
        <v>21</v>
      </c>
      <c r="D2040">
        <v>910000</v>
      </c>
    </row>
    <row r="2041" spans="1:4" x14ac:dyDescent="0.2">
      <c r="A2041">
        <v>1958</v>
      </c>
      <c r="B2041" s="1" t="s">
        <v>25</v>
      </c>
      <c r="C2041" t="s">
        <v>21</v>
      </c>
      <c r="D2041">
        <v>596000</v>
      </c>
    </row>
    <row r="2042" spans="1:4" x14ac:dyDescent="0.2">
      <c r="A2042">
        <v>1958</v>
      </c>
      <c r="B2042" s="1" t="s">
        <v>24</v>
      </c>
      <c r="C2042" t="s">
        <v>22</v>
      </c>
      <c r="D2042">
        <v>655000</v>
      </c>
    </row>
    <row r="2043" spans="1:4" x14ac:dyDescent="0.2">
      <c r="A2043">
        <v>1958</v>
      </c>
      <c r="B2043" s="1" t="s">
        <v>25</v>
      </c>
      <c r="C2043" t="s">
        <v>22</v>
      </c>
      <c r="D2043">
        <v>392000</v>
      </c>
    </row>
    <row r="2044" spans="1:4" x14ac:dyDescent="0.2">
      <c r="A2044">
        <v>1958</v>
      </c>
      <c r="B2044" s="1" t="s">
        <v>24</v>
      </c>
      <c r="C2044" t="s">
        <v>23</v>
      </c>
      <c r="D2044">
        <v>368000</v>
      </c>
    </row>
    <row r="2045" spans="1:4" x14ac:dyDescent="0.2">
      <c r="A2045">
        <v>1958</v>
      </c>
      <c r="B2045" s="1" t="s">
        <v>25</v>
      </c>
      <c r="C2045" t="s">
        <v>23</v>
      </c>
      <c r="D2045">
        <v>196000</v>
      </c>
    </row>
    <row r="2046" spans="1:4" x14ac:dyDescent="0.2">
      <c r="A2046">
        <v>1958</v>
      </c>
      <c r="B2046" s="1" t="s">
        <v>24</v>
      </c>
      <c r="C2046" t="s">
        <v>31</v>
      </c>
      <c r="D2046">
        <v>188000</v>
      </c>
    </row>
    <row r="2047" spans="1:4" x14ac:dyDescent="0.2">
      <c r="A2047">
        <v>1958</v>
      </c>
      <c r="B2047" s="1" t="s">
        <v>25</v>
      </c>
      <c r="C2047" t="s">
        <v>31</v>
      </c>
      <c r="D2047">
        <v>88000</v>
      </c>
    </row>
    <row r="2048" spans="1:4" x14ac:dyDescent="0.2">
      <c r="A2048">
        <v>1959</v>
      </c>
      <c r="B2048" s="1" t="s">
        <v>24</v>
      </c>
      <c r="C2048" s="1" t="s">
        <v>29</v>
      </c>
      <c r="D2048">
        <v>358000</v>
      </c>
    </row>
    <row r="2049" spans="1:4" x14ac:dyDescent="0.2">
      <c r="A2049">
        <v>1959</v>
      </c>
      <c r="B2049" s="1" t="s">
        <v>25</v>
      </c>
      <c r="C2049" s="1" t="s">
        <v>29</v>
      </c>
      <c r="D2049">
        <v>378000</v>
      </c>
    </row>
    <row r="2050" spans="1:4" x14ac:dyDescent="0.2">
      <c r="A2050">
        <v>1959</v>
      </c>
      <c r="B2050" s="1" t="s">
        <v>24</v>
      </c>
      <c r="C2050" s="2" t="s">
        <v>26</v>
      </c>
      <c r="D2050">
        <v>1323000</v>
      </c>
    </row>
    <row r="2051" spans="1:4" x14ac:dyDescent="0.2">
      <c r="A2051">
        <v>1959</v>
      </c>
      <c r="B2051" s="1" t="s">
        <v>25</v>
      </c>
      <c r="C2051" s="2" t="s">
        <v>26</v>
      </c>
      <c r="D2051">
        <v>1393000</v>
      </c>
    </row>
    <row r="2052" spans="1:4" x14ac:dyDescent="0.2">
      <c r="A2052">
        <v>1959</v>
      </c>
      <c r="B2052" s="1" t="s">
        <v>24</v>
      </c>
      <c r="C2052" s="2" t="s">
        <v>27</v>
      </c>
      <c r="D2052">
        <v>1603000</v>
      </c>
    </row>
    <row r="2053" spans="1:4" x14ac:dyDescent="0.2">
      <c r="A2053">
        <v>1959</v>
      </c>
      <c r="B2053" s="1" t="s">
        <v>25</v>
      </c>
      <c r="C2053" s="2" t="s">
        <v>27</v>
      </c>
      <c r="D2053">
        <v>1679000</v>
      </c>
    </row>
    <row r="2054" spans="1:4" x14ac:dyDescent="0.2">
      <c r="A2054">
        <v>1959</v>
      </c>
      <c r="B2054" s="1" t="s">
        <v>24</v>
      </c>
      <c r="C2054" s="3" t="s">
        <v>28</v>
      </c>
      <c r="D2054">
        <v>1785000</v>
      </c>
    </row>
    <row r="2055" spans="1:4" x14ac:dyDescent="0.2">
      <c r="A2055">
        <v>1959</v>
      </c>
      <c r="B2055" s="1" t="s">
        <v>25</v>
      </c>
      <c r="C2055" s="3" t="s">
        <v>28</v>
      </c>
      <c r="D2055">
        <v>1869000</v>
      </c>
    </row>
    <row r="2056" spans="1:4" x14ac:dyDescent="0.2">
      <c r="A2056">
        <v>1959</v>
      </c>
      <c r="B2056" s="1" t="s">
        <v>24</v>
      </c>
      <c r="C2056" t="s">
        <v>4</v>
      </c>
      <c r="D2056">
        <v>1457000</v>
      </c>
    </row>
    <row r="2057" spans="1:4" x14ac:dyDescent="0.2">
      <c r="A2057">
        <v>1959</v>
      </c>
      <c r="B2057" s="1" t="s">
        <v>25</v>
      </c>
      <c r="C2057" t="s">
        <v>4</v>
      </c>
      <c r="D2057">
        <v>1496000</v>
      </c>
    </row>
    <row r="2058" spans="1:4" x14ac:dyDescent="0.2">
      <c r="A2058">
        <v>1959</v>
      </c>
      <c r="B2058" s="1" t="s">
        <v>24</v>
      </c>
      <c r="C2058" t="s">
        <v>5</v>
      </c>
      <c r="D2058">
        <v>1429000</v>
      </c>
    </row>
    <row r="2059" spans="1:4" x14ac:dyDescent="0.2">
      <c r="A2059">
        <v>1959</v>
      </c>
      <c r="B2059" s="1" t="s">
        <v>25</v>
      </c>
      <c r="C2059" t="s">
        <v>5</v>
      </c>
      <c r="D2059">
        <v>1399000</v>
      </c>
    </row>
    <row r="2060" spans="1:4" x14ac:dyDescent="0.2">
      <c r="A2060">
        <v>1959</v>
      </c>
      <c r="B2060" s="1" t="s">
        <v>24</v>
      </c>
      <c r="C2060" t="s">
        <v>12</v>
      </c>
      <c r="D2060">
        <v>1426000</v>
      </c>
    </row>
    <row r="2061" spans="1:4" x14ac:dyDescent="0.2">
      <c r="A2061">
        <v>1959</v>
      </c>
      <c r="B2061" s="1" t="s">
        <v>25</v>
      </c>
      <c r="C2061" t="s">
        <v>12</v>
      </c>
      <c r="D2061">
        <v>1435000</v>
      </c>
    </row>
    <row r="2062" spans="1:4" x14ac:dyDescent="0.2">
      <c r="A2062">
        <v>1959</v>
      </c>
      <c r="B2062" s="1" t="s">
        <v>24</v>
      </c>
      <c r="C2062" t="s">
        <v>13</v>
      </c>
      <c r="D2062">
        <v>1515000</v>
      </c>
    </row>
    <row r="2063" spans="1:4" x14ac:dyDescent="0.2">
      <c r="A2063">
        <v>1959</v>
      </c>
      <c r="B2063" s="1" t="s">
        <v>25</v>
      </c>
      <c r="C2063" t="s">
        <v>13</v>
      </c>
      <c r="D2063">
        <v>1508000</v>
      </c>
    </row>
    <row r="2064" spans="1:4" x14ac:dyDescent="0.2">
      <c r="A2064">
        <v>1959</v>
      </c>
      <c r="B2064" s="1" t="s">
        <v>24</v>
      </c>
      <c r="C2064" t="s">
        <v>14</v>
      </c>
      <c r="D2064">
        <v>1752000</v>
      </c>
    </row>
    <row r="2065" spans="1:4" x14ac:dyDescent="0.2">
      <c r="A2065">
        <v>1959</v>
      </c>
      <c r="B2065" s="1" t="s">
        <v>25</v>
      </c>
      <c r="C2065" t="s">
        <v>14</v>
      </c>
      <c r="D2065">
        <v>1705000</v>
      </c>
    </row>
    <row r="2066" spans="1:4" x14ac:dyDescent="0.2">
      <c r="A2066">
        <v>1959</v>
      </c>
      <c r="B2066" s="1" t="s">
        <v>24</v>
      </c>
      <c r="C2066" t="s">
        <v>15</v>
      </c>
      <c r="D2066">
        <v>1443000</v>
      </c>
    </row>
    <row r="2067" spans="1:4" x14ac:dyDescent="0.2">
      <c r="A2067">
        <v>1959</v>
      </c>
      <c r="B2067" s="1" t="s">
        <v>25</v>
      </c>
      <c r="C2067" t="s">
        <v>15</v>
      </c>
      <c r="D2067">
        <v>1390000</v>
      </c>
    </row>
    <row r="2068" spans="1:4" x14ac:dyDescent="0.2">
      <c r="A2068">
        <v>1959</v>
      </c>
      <c r="B2068" s="1" t="s">
        <v>24</v>
      </c>
      <c r="C2068" t="s">
        <v>16</v>
      </c>
      <c r="D2068">
        <v>1665000</v>
      </c>
    </row>
    <row r="2069" spans="1:4" x14ac:dyDescent="0.2">
      <c r="A2069">
        <v>1959</v>
      </c>
      <c r="B2069" s="1" t="s">
        <v>25</v>
      </c>
      <c r="C2069" t="s">
        <v>16</v>
      </c>
      <c r="D2069">
        <v>1617000</v>
      </c>
    </row>
    <row r="2070" spans="1:4" x14ac:dyDescent="0.2">
      <c r="A2070">
        <v>1959</v>
      </c>
      <c r="B2070" s="1" t="s">
        <v>24</v>
      </c>
      <c r="C2070" t="s">
        <v>17</v>
      </c>
      <c r="D2070">
        <v>1630000</v>
      </c>
    </row>
    <row r="2071" spans="1:4" x14ac:dyDescent="0.2">
      <c r="A2071">
        <v>1959</v>
      </c>
      <c r="B2071" s="1" t="s">
        <v>25</v>
      </c>
      <c r="C2071" t="s">
        <v>17</v>
      </c>
      <c r="D2071">
        <v>1554000</v>
      </c>
    </row>
    <row r="2072" spans="1:4" x14ac:dyDescent="0.2">
      <c r="A2072">
        <v>1959</v>
      </c>
      <c r="B2072" s="1" t="s">
        <v>24</v>
      </c>
      <c r="C2072" t="s">
        <v>18</v>
      </c>
      <c r="D2072">
        <v>1503000</v>
      </c>
    </row>
    <row r="2073" spans="1:4" x14ac:dyDescent="0.2">
      <c r="A2073">
        <v>1959</v>
      </c>
      <c r="B2073" s="1" t="s">
        <v>25</v>
      </c>
      <c r="C2073" t="s">
        <v>18</v>
      </c>
      <c r="D2073">
        <v>1354000</v>
      </c>
    </row>
    <row r="2074" spans="1:4" x14ac:dyDescent="0.2">
      <c r="A2074">
        <v>1959</v>
      </c>
      <c r="B2074" s="1" t="s">
        <v>24</v>
      </c>
      <c r="C2074" t="s">
        <v>19</v>
      </c>
      <c r="D2074">
        <v>1323000</v>
      </c>
    </row>
    <row r="2075" spans="1:4" x14ac:dyDescent="0.2">
      <c r="A2075">
        <v>1959</v>
      </c>
      <c r="B2075" s="1" t="s">
        <v>25</v>
      </c>
      <c r="C2075" t="s">
        <v>19</v>
      </c>
      <c r="D2075">
        <v>1028000</v>
      </c>
    </row>
    <row r="2076" spans="1:4" x14ac:dyDescent="0.2">
      <c r="A2076">
        <v>1959</v>
      </c>
      <c r="B2076" s="1" t="s">
        <v>24</v>
      </c>
      <c r="C2076" t="s">
        <v>20</v>
      </c>
      <c r="D2076">
        <v>1133000</v>
      </c>
    </row>
    <row r="2077" spans="1:4" x14ac:dyDescent="0.2">
      <c r="A2077">
        <v>1959</v>
      </c>
      <c r="B2077" s="1" t="s">
        <v>25</v>
      </c>
      <c r="C2077" t="s">
        <v>20</v>
      </c>
      <c r="D2077">
        <v>805000</v>
      </c>
    </row>
    <row r="2078" spans="1:4" x14ac:dyDescent="0.2">
      <c r="A2078">
        <v>1959</v>
      </c>
      <c r="B2078" s="1" t="s">
        <v>24</v>
      </c>
      <c r="C2078" t="s">
        <v>21</v>
      </c>
      <c r="D2078">
        <v>919000</v>
      </c>
    </row>
    <row r="2079" spans="1:4" x14ac:dyDescent="0.2">
      <c r="A2079">
        <v>1959</v>
      </c>
      <c r="B2079" s="1" t="s">
        <v>25</v>
      </c>
      <c r="C2079" t="s">
        <v>21</v>
      </c>
      <c r="D2079">
        <v>596000</v>
      </c>
    </row>
    <row r="2080" spans="1:4" x14ac:dyDescent="0.2">
      <c r="A2080">
        <v>1959</v>
      </c>
      <c r="B2080" s="1" t="s">
        <v>24</v>
      </c>
      <c r="C2080" t="s">
        <v>22</v>
      </c>
      <c r="D2080">
        <v>664000</v>
      </c>
    </row>
    <row r="2081" spans="1:4" x14ac:dyDescent="0.2">
      <c r="A2081">
        <v>1959</v>
      </c>
      <c r="B2081" s="1" t="s">
        <v>25</v>
      </c>
      <c r="C2081" t="s">
        <v>22</v>
      </c>
      <c r="D2081">
        <v>392000</v>
      </c>
    </row>
    <row r="2082" spans="1:4" x14ac:dyDescent="0.2">
      <c r="A2082">
        <v>1959</v>
      </c>
      <c r="B2082" s="1" t="s">
        <v>24</v>
      </c>
      <c r="C2082" t="s">
        <v>23</v>
      </c>
      <c r="D2082">
        <v>380000</v>
      </c>
    </row>
    <row r="2083" spans="1:4" x14ac:dyDescent="0.2">
      <c r="A2083">
        <v>1959</v>
      </c>
      <c r="B2083" s="1" t="s">
        <v>25</v>
      </c>
      <c r="C2083" t="s">
        <v>23</v>
      </c>
      <c r="D2083">
        <v>197000</v>
      </c>
    </row>
    <row r="2084" spans="1:4" x14ac:dyDescent="0.2">
      <c r="A2084">
        <v>1959</v>
      </c>
      <c r="B2084" s="1" t="s">
        <v>24</v>
      </c>
      <c r="C2084" t="s">
        <v>31</v>
      </c>
      <c r="D2084">
        <v>193000</v>
      </c>
    </row>
    <row r="2085" spans="1:4" x14ac:dyDescent="0.2">
      <c r="A2085">
        <v>1959</v>
      </c>
      <c r="B2085" s="1" t="s">
        <v>25</v>
      </c>
      <c r="C2085" t="s">
        <v>31</v>
      </c>
      <c r="D2085">
        <v>90000</v>
      </c>
    </row>
    <row r="2086" spans="1:4" x14ac:dyDescent="0.2">
      <c r="A2086">
        <v>1960</v>
      </c>
      <c r="B2086" s="1" t="s">
        <v>24</v>
      </c>
      <c r="C2086" s="1" t="s">
        <v>29</v>
      </c>
      <c r="D2086">
        <v>362000</v>
      </c>
    </row>
    <row r="2087" spans="1:4" x14ac:dyDescent="0.2">
      <c r="A2087">
        <v>1960</v>
      </c>
      <c r="B2087" s="1" t="s">
        <v>25</v>
      </c>
      <c r="C2087" s="1" t="s">
        <v>29</v>
      </c>
      <c r="D2087">
        <v>383000</v>
      </c>
    </row>
    <row r="2088" spans="1:4" x14ac:dyDescent="0.2">
      <c r="A2088">
        <v>1960</v>
      </c>
      <c r="B2088" s="1" t="s">
        <v>24</v>
      </c>
      <c r="C2088" s="2" t="s">
        <v>26</v>
      </c>
      <c r="D2088">
        <v>1364000</v>
      </c>
    </row>
    <row r="2089" spans="1:4" x14ac:dyDescent="0.2">
      <c r="A2089">
        <v>1960</v>
      </c>
      <c r="B2089" s="1" t="s">
        <v>25</v>
      </c>
      <c r="C2089" s="2" t="s">
        <v>26</v>
      </c>
      <c r="D2089">
        <v>1438000</v>
      </c>
    </row>
    <row r="2090" spans="1:4" x14ac:dyDescent="0.2">
      <c r="A2090">
        <v>1960</v>
      </c>
      <c r="B2090" s="1" t="s">
        <v>24</v>
      </c>
      <c r="C2090" s="2" t="s">
        <v>27</v>
      </c>
      <c r="D2090">
        <v>1588000</v>
      </c>
    </row>
    <row r="2091" spans="1:4" x14ac:dyDescent="0.2">
      <c r="A2091">
        <v>1960</v>
      </c>
      <c r="B2091" s="1" t="s">
        <v>25</v>
      </c>
      <c r="C2091" s="2" t="s">
        <v>27</v>
      </c>
      <c r="D2091">
        <v>1666000</v>
      </c>
    </row>
    <row r="2092" spans="1:4" x14ac:dyDescent="0.2">
      <c r="A2092">
        <v>1960</v>
      </c>
      <c r="B2092" s="1" t="s">
        <v>24</v>
      </c>
      <c r="C2092" s="3" t="s">
        <v>28</v>
      </c>
      <c r="D2092">
        <v>1800000</v>
      </c>
    </row>
    <row r="2093" spans="1:4" x14ac:dyDescent="0.2">
      <c r="A2093">
        <v>1960</v>
      </c>
      <c r="B2093" s="1" t="s">
        <v>25</v>
      </c>
      <c r="C2093" s="3" t="s">
        <v>28</v>
      </c>
      <c r="D2093">
        <v>1884000</v>
      </c>
    </row>
    <row r="2094" spans="1:4" x14ac:dyDescent="0.2">
      <c r="A2094">
        <v>1960</v>
      </c>
      <c r="B2094" s="1" t="s">
        <v>24</v>
      </c>
      <c r="C2094" t="s">
        <v>4</v>
      </c>
      <c r="D2094">
        <v>1517000</v>
      </c>
    </row>
    <row r="2095" spans="1:4" x14ac:dyDescent="0.2">
      <c r="A2095">
        <v>1960</v>
      </c>
      <c r="B2095" s="1" t="s">
        <v>25</v>
      </c>
      <c r="C2095" t="s">
        <v>4</v>
      </c>
      <c r="D2095">
        <v>1561000</v>
      </c>
    </row>
    <row r="2096" spans="1:4" x14ac:dyDescent="0.2">
      <c r="A2096">
        <v>1960</v>
      </c>
      <c r="B2096" s="1" t="s">
        <v>24</v>
      </c>
      <c r="C2096" t="s">
        <v>5</v>
      </c>
      <c r="D2096">
        <v>1450000</v>
      </c>
    </row>
    <row r="2097" spans="1:4" x14ac:dyDescent="0.2">
      <c r="A2097">
        <v>1960</v>
      </c>
      <c r="B2097" s="1" t="s">
        <v>25</v>
      </c>
      <c r="C2097" t="s">
        <v>5</v>
      </c>
      <c r="D2097">
        <v>1424000</v>
      </c>
    </row>
    <row r="2098" spans="1:4" x14ac:dyDescent="0.2">
      <c r="A2098">
        <v>1960</v>
      </c>
      <c r="B2098" s="1" t="s">
        <v>24</v>
      </c>
      <c r="C2098" t="s">
        <v>12</v>
      </c>
      <c r="D2098">
        <v>1413000</v>
      </c>
    </row>
    <row r="2099" spans="1:4" x14ac:dyDescent="0.2">
      <c r="A2099">
        <v>1960</v>
      </c>
      <c r="B2099" s="1" t="s">
        <v>25</v>
      </c>
      <c r="C2099" t="s">
        <v>12</v>
      </c>
      <c r="D2099">
        <v>1439000</v>
      </c>
    </row>
    <row r="2100" spans="1:4" x14ac:dyDescent="0.2">
      <c r="A2100">
        <v>1960</v>
      </c>
      <c r="B2100" s="1" t="s">
        <v>24</v>
      </c>
      <c r="C2100" t="s">
        <v>13</v>
      </c>
      <c r="D2100">
        <v>1494000</v>
      </c>
    </row>
    <row r="2101" spans="1:4" x14ac:dyDescent="0.2">
      <c r="A2101">
        <v>1960</v>
      </c>
      <c r="B2101" s="1" t="s">
        <v>25</v>
      </c>
      <c r="C2101" t="s">
        <v>13</v>
      </c>
      <c r="D2101">
        <v>1491000</v>
      </c>
    </row>
    <row r="2102" spans="1:4" x14ac:dyDescent="0.2">
      <c r="A2102">
        <v>1960</v>
      </c>
      <c r="B2102" s="1" t="s">
        <v>24</v>
      </c>
      <c r="C2102" t="s">
        <v>14</v>
      </c>
      <c r="D2102">
        <v>1673000</v>
      </c>
    </row>
    <row r="2103" spans="1:4" x14ac:dyDescent="0.2">
      <c r="A2103">
        <v>1960</v>
      </c>
      <c r="B2103" s="1" t="s">
        <v>25</v>
      </c>
      <c r="C2103" t="s">
        <v>14</v>
      </c>
      <c r="D2103">
        <v>1644000</v>
      </c>
    </row>
    <row r="2104" spans="1:4" x14ac:dyDescent="0.2">
      <c r="A2104">
        <v>1960</v>
      </c>
      <c r="B2104" s="1" t="s">
        <v>24</v>
      </c>
      <c r="C2104" t="s">
        <v>15</v>
      </c>
      <c r="D2104">
        <v>1498000</v>
      </c>
    </row>
    <row r="2105" spans="1:4" x14ac:dyDescent="0.2">
      <c r="A2105">
        <v>1960</v>
      </c>
      <c r="B2105" s="1" t="s">
        <v>25</v>
      </c>
      <c r="C2105" t="s">
        <v>15</v>
      </c>
      <c r="D2105">
        <v>1450000</v>
      </c>
    </row>
    <row r="2106" spans="1:4" x14ac:dyDescent="0.2">
      <c r="A2106">
        <v>1960</v>
      </c>
      <c r="B2106" s="1" t="s">
        <v>24</v>
      </c>
      <c r="C2106" t="s">
        <v>16</v>
      </c>
      <c r="D2106">
        <v>1665000</v>
      </c>
    </row>
    <row r="2107" spans="1:4" x14ac:dyDescent="0.2">
      <c r="A2107">
        <v>1960</v>
      </c>
      <c r="B2107" s="1" t="s">
        <v>25</v>
      </c>
      <c r="C2107" t="s">
        <v>16</v>
      </c>
      <c r="D2107">
        <v>1605000</v>
      </c>
    </row>
    <row r="2108" spans="1:4" x14ac:dyDescent="0.2">
      <c r="A2108">
        <v>1960</v>
      </c>
      <c r="B2108" s="1" t="s">
        <v>24</v>
      </c>
      <c r="C2108" t="s">
        <v>17</v>
      </c>
      <c r="D2108">
        <v>1636000</v>
      </c>
    </row>
    <row r="2109" spans="1:4" x14ac:dyDescent="0.2">
      <c r="A2109">
        <v>1960</v>
      </c>
      <c r="B2109" s="1" t="s">
        <v>25</v>
      </c>
      <c r="C2109" t="s">
        <v>17</v>
      </c>
      <c r="D2109">
        <v>1561000</v>
      </c>
    </row>
    <row r="2110" spans="1:4" x14ac:dyDescent="0.2">
      <c r="A2110">
        <v>1960</v>
      </c>
      <c r="B2110" s="1" t="s">
        <v>24</v>
      </c>
      <c r="C2110" t="s">
        <v>18</v>
      </c>
      <c r="D2110">
        <v>1520000</v>
      </c>
    </row>
    <row r="2111" spans="1:4" x14ac:dyDescent="0.2">
      <c r="A2111">
        <v>1960</v>
      </c>
      <c r="B2111" s="1" t="s">
        <v>25</v>
      </c>
      <c r="C2111" t="s">
        <v>18</v>
      </c>
      <c r="D2111">
        <v>1387000</v>
      </c>
    </row>
    <row r="2112" spans="1:4" x14ac:dyDescent="0.2">
      <c r="A2112">
        <v>1960</v>
      </c>
      <c r="B2112" s="1" t="s">
        <v>24</v>
      </c>
      <c r="C2112" t="s">
        <v>19</v>
      </c>
      <c r="D2112">
        <v>1342000</v>
      </c>
    </row>
    <row r="2113" spans="1:4" x14ac:dyDescent="0.2">
      <c r="A2113">
        <v>1960</v>
      </c>
      <c r="B2113" s="1" t="s">
        <v>25</v>
      </c>
      <c r="C2113" t="s">
        <v>19</v>
      </c>
      <c r="D2113">
        <v>1066000</v>
      </c>
    </row>
    <row r="2114" spans="1:4" x14ac:dyDescent="0.2">
      <c r="A2114">
        <v>1960</v>
      </c>
      <c r="B2114" s="1" t="s">
        <v>24</v>
      </c>
      <c r="C2114" t="s">
        <v>20</v>
      </c>
      <c r="D2114">
        <v>1147000</v>
      </c>
    </row>
    <row r="2115" spans="1:4" x14ac:dyDescent="0.2">
      <c r="A2115">
        <v>1960</v>
      </c>
      <c r="B2115" s="1" t="s">
        <v>25</v>
      </c>
      <c r="C2115" t="s">
        <v>20</v>
      </c>
      <c r="D2115">
        <v>809000</v>
      </c>
    </row>
    <row r="2116" spans="1:4" x14ac:dyDescent="0.2">
      <c r="A2116">
        <v>1960</v>
      </c>
      <c r="B2116" s="1" t="s">
        <v>24</v>
      </c>
      <c r="C2116" t="s">
        <v>21</v>
      </c>
      <c r="D2116">
        <v>935000</v>
      </c>
    </row>
    <row r="2117" spans="1:4" x14ac:dyDescent="0.2">
      <c r="A2117">
        <v>1960</v>
      </c>
      <c r="B2117" s="1" t="s">
        <v>25</v>
      </c>
      <c r="C2117" t="s">
        <v>21</v>
      </c>
      <c r="D2117">
        <v>600000</v>
      </c>
    </row>
    <row r="2118" spans="1:4" x14ac:dyDescent="0.2">
      <c r="A2118">
        <v>1960</v>
      </c>
      <c r="B2118" s="1" t="s">
        <v>24</v>
      </c>
      <c r="C2118" t="s">
        <v>22</v>
      </c>
      <c r="D2118">
        <v>672000</v>
      </c>
    </row>
    <row r="2119" spans="1:4" x14ac:dyDescent="0.2">
      <c r="A2119">
        <v>1960</v>
      </c>
      <c r="B2119" s="1" t="s">
        <v>25</v>
      </c>
      <c r="C2119" t="s">
        <v>22</v>
      </c>
      <c r="D2119">
        <v>392000</v>
      </c>
    </row>
    <row r="2120" spans="1:4" x14ac:dyDescent="0.2">
      <c r="A2120">
        <v>1960</v>
      </c>
      <c r="B2120" s="1" t="s">
        <v>24</v>
      </c>
      <c r="C2120" t="s">
        <v>23</v>
      </c>
      <c r="D2120">
        <v>394000</v>
      </c>
    </row>
    <row r="2121" spans="1:4" x14ac:dyDescent="0.2">
      <c r="A2121">
        <v>1960</v>
      </c>
      <c r="B2121" s="1" t="s">
        <v>25</v>
      </c>
      <c r="C2121" t="s">
        <v>23</v>
      </c>
      <c r="D2121">
        <v>203000</v>
      </c>
    </row>
    <row r="2122" spans="1:4" x14ac:dyDescent="0.2">
      <c r="A2122">
        <v>1960</v>
      </c>
      <c r="B2122" s="1" t="s">
        <v>24</v>
      </c>
      <c r="C2122" t="s">
        <v>31</v>
      </c>
      <c r="D2122">
        <v>208000</v>
      </c>
    </row>
    <row r="2123" spans="1:4" x14ac:dyDescent="0.2">
      <c r="A2123">
        <v>1960</v>
      </c>
      <c r="B2123" s="1" t="s">
        <v>25</v>
      </c>
      <c r="C2123" t="s">
        <v>31</v>
      </c>
      <c r="D2123">
        <v>94000</v>
      </c>
    </row>
    <row r="2124" spans="1:4" x14ac:dyDescent="0.2">
      <c r="A2124">
        <v>1961</v>
      </c>
      <c r="B2124" s="1" t="s">
        <v>24</v>
      </c>
      <c r="C2124" s="1" t="s">
        <v>29</v>
      </c>
      <c r="D2124">
        <v>380400</v>
      </c>
    </row>
    <row r="2125" spans="1:4" x14ac:dyDescent="0.2">
      <c r="A2125">
        <v>1961</v>
      </c>
      <c r="B2125" s="1" t="s">
        <v>25</v>
      </c>
      <c r="C2125" s="1" t="s">
        <v>29</v>
      </c>
      <c r="D2125">
        <v>402400</v>
      </c>
    </row>
    <row r="2126" spans="1:4" x14ac:dyDescent="0.2">
      <c r="A2126">
        <v>1961</v>
      </c>
      <c r="B2126" s="1" t="s">
        <v>24</v>
      </c>
      <c r="C2126" s="2" t="s">
        <v>26</v>
      </c>
      <c r="D2126">
        <v>1397800</v>
      </c>
    </row>
    <row r="2127" spans="1:4" x14ac:dyDescent="0.2">
      <c r="A2127">
        <v>1961</v>
      </c>
      <c r="B2127" s="1" t="s">
        <v>25</v>
      </c>
      <c r="C2127" s="2" t="s">
        <v>26</v>
      </c>
      <c r="D2127">
        <v>1475500</v>
      </c>
    </row>
    <row r="2128" spans="1:4" x14ac:dyDescent="0.2">
      <c r="A2128">
        <v>1961</v>
      </c>
      <c r="B2128" s="1" t="s">
        <v>24</v>
      </c>
      <c r="C2128" s="2" t="s">
        <v>27</v>
      </c>
      <c r="D2128">
        <v>1592100</v>
      </c>
    </row>
    <row r="2129" spans="1:4" x14ac:dyDescent="0.2">
      <c r="A2129">
        <v>1961</v>
      </c>
      <c r="B2129" s="1" t="s">
        <v>25</v>
      </c>
      <c r="C2129" s="2" t="s">
        <v>27</v>
      </c>
      <c r="D2129">
        <v>1672400</v>
      </c>
    </row>
    <row r="2130" spans="1:4" x14ac:dyDescent="0.2">
      <c r="A2130">
        <v>1961</v>
      </c>
      <c r="B2130" s="1" t="s">
        <v>24</v>
      </c>
      <c r="C2130" s="3" t="s">
        <v>28</v>
      </c>
      <c r="D2130">
        <v>1799000</v>
      </c>
    </row>
    <row r="2131" spans="1:4" x14ac:dyDescent="0.2">
      <c r="A2131">
        <v>1961</v>
      </c>
      <c r="B2131" s="1" t="s">
        <v>25</v>
      </c>
      <c r="C2131" s="3" t="s">
        <v>28</v>
      </c>
      <c r="D2131">
        <v>1886800</v>
      </c>
    </row>
    <row r="2132" spans="1:4" x14ac:dyDescent="0.2">
      <c r="A2132">
        <v>1961</v>
      </c>
      <c r="B2132" s="1" t="s">
        <v>24</v>
      </c>
      <c r="C2132" t="s">
        <v>4</v>
      </c>
      <c r="D2132">
        <v>1602800</v>
      </c>
    </row>
    <row r="2133" spans="1:4" x14ac:dyDescent="0.2">
      <c r="A2133">
        <v>1961</v>
      </c>
      <c r="B2133" s="1" t="s">
        <v>25</v>
      </c>
      <c r="C2133" t="s">
        <v>4</v>
      </c>
      <c r="D2133">
        <v>1647200</v>
      </c>
    </row>
    <row r="2134" spans="1:4" x14ac:dyDescent="0.2">
      <c r="A2134">
        <v>1961</v>
      </c>
      <c r="B2134" s="1" t="s">
        <v>24</v>
      </c>
      <c r="C2134" t="s">
        <v>5</v>
      </c>
      <c r="D2134">
        <v>1447500</v>
      </c>
    </row>
    <row r="2135" spans="1:4" x14ac:dyDescent="0.2">
      <c r="A2135">
        <v>1961</v>
      </c>
      <c r="B2135" s="1" t="s">
        <v>25</v>
      </c>
      <c r="C2135" t="s">
        <v>5</v>
      </c>
      <c r="D2135">
        <v>1433000</v>
      </c>
    </row>
    <row r="2136" spans="1:4" x14ac:dyDescent="0.2">
      <c r="A2136">
        <v>1961</v>
      </c>
      <c r="B2136" s="1" t="s">
        <v>24</v>
      </c>
      <c r="C2136" t="s">
        <v>12</v>
      </c>
      <c r="D2136">
        <v>1404700</v>
      </c>
    </row>
    <row r="2137" spans="1:4" x14ac:dyDescent="0.2">
      <c r="A2137">
        <v>1961</v>
      </c>
      <c r="B2137" s="1" t="s">
        <v>25</v>
      </c>
      <c r="C2137" t="s">
        <v>12</v>
      </c>
      <c r="D2137">
        <v>1445900</v>
      </c>
    </row>
    <row r="2138" spans="1:4" x14ac:dyDescent="0.2">
      <c r="A2138">
        <v>1961</v>
      </c>
      <c r="B2138" s="1" t="s">
        <v>24</v>
      </c>
      <c r="C2138" t="s">
        <v>13</v>
      </c>
      <c r="D2138">
        <v>1477600</v>
      </c>
    </row>
    <row r="2139" spans="1:4" x14ac:dyDescent="0.2">
      <c r="A2139">
        <v>1961</v>
      </c>
      <c r="B2139" s="1" t="s">
        <v>25</v>
      </c>
      <c r="C2139" t="s">
        <v>13</v>
      </c>
      <c r="D2139">
        <v>1497000</v>
      </c>
    </row>
    <row r="2140" spans="1:4" x14ac:dyDescent="0.2">
      <c r="A2140">
        <v>1961</v>
      </c>
      <c r="B2140" s="1" t="s">
        <v>24</v>
      </c>
      <c r="C2140" t="s">
        <v>14</v>
      </c>
      <c r="D2140">
        <v>1610300</v>
      </c>
    </row>
    <row r="2141" spans="1:4" x14ac:dyDescent="0.2">
      <c r="A2141">
        <v>1961</v>
      </c>
      <c r="B2141" s="1" t="s">
        <v>25</v>
      </c>
      <c r="C2141" t="s">
        <v>14</v>
      </c>
      <c r="D2141">
        <v>1604800</v>
      </c>
    </row>
    <row r="2142" spans="1:4" x14ac:dyDescent="0.2">
      <c r="A2142">
        <v>1961</v>
      </c>
      <c r="B2142" s="1" t="s">
        <v>24</v>
      </c>
      <c r="C2142" t="s">
        <v>15</v>
      </c>
      <c r="D2142">
        <v>1555900</v>
      </c>
    </row>
    <row r="2143" spans="1:4" x14ac:dyDescent="0.2">
      <c r="A2143">
        <v>1961</v>
      </c>
      <c r="B2143" s="1" t="s">
        <v>25</v>
      </c>
      <c r="C2143" t="s">
        <v>15</v>
      </c>
      <c r="D2143">
        <v>1521800</v>
      </c>
    </row>
    <row r="2144" spans="1:4" x14ac:dyDescent="0.2">
      <c r="A2144">
        <v>1961</v>
      </c>
      <c r="B2144" s="1" t="s">
        <v>24</v>
      </c>
      <c r="C2144" t="s">
        <v>16</v>
      </c>
      <c r="D2144">
        <v>1642600</v>
      </c>
    </row>
    <row r="2145" spans="1:4" x14ac:dyDescent="0.2">
      <c r="A2145">
        <v>1961</v>
      </c>
      <c r="B2145" s="1" t="s">
        <v>25</v>
      </c>
      <c r="C2145" t="s">
        <v>16</v>
      </c>
      <c r="D2145">
        <v>1571100</v>
      </c>
    </row>
    <row r="2146" spans="1:4" x14ac:dyDescent="0.2">
      <c r="A2146">
        <v>1961</v>
      </c>
      <c r="B2146" s="1" t="s">
        <v>24</v>
      </c>
      <c r="C2146" t="s">
        <v>17</v>
      </c>
      <c r="D2146">
        <v>1640100</v>
      </c>
    </row>
    <row r="2147" spans="1:4" x14ac:dyDescent="0.2">
      <c r="A2147">
        <v>1961</v>
      </c>
      <c r="B2147" s="1" t="s">
        <v>25</v>
      </c>
      <c r="C2147" t="s">
        <v>17</v>
      </c>
      <c r="D2147">
        <v>1559800</v>
      </c>
    </row>
    <row r="2148" spans="1:4" x14ac:dyDescent="0.2">
      <c r="A2148">
        <v>1961</v>
      </c>
      <c r="B2148" s="1" t="s">
        <v>24</v>
      </c>
      <c r="C2148" t="s">
        <v>18</v>
      </c>
      <c r="D2148">
        <v>1537300</v>
      </c>
    </row>
    <row r="2149" spans="1:4" x14ac:dyDescent="0.2">
      <c r="A2149">
        <v>1961</v>
      </c>
      <c r="B2149" s="1" t="s">
        <v>25</v>
      </c>
      <c r="C2149" t="s">
        <v>18</v>
      </c>
      <c r="D2149">
        <v>1415400</v>
      </c>
    </row>
    <row r="2150" spans="1:4" x14ac:dyDescent="0.2">
      <c r="A2150">
        <v>1961</v>
      </c>
      <c r="B2150" s="1" t="s">
        <v>24</v>
      </c>
      <c r="C2150" t="s">
        <v>19</v>
      </c>
      <c r="D2150">
        <v>1356000</v>
      </c>
    </row>
    <row r="2151" spans="1:4" x14ac:dyDescent="0.2">
      <c r="A2151">
        <v>1961</v>
      </c>
      <c r="B2151" s="1" t="s">
        <v>25</v>
      </c>
      <c r="C2151" t="s">
        <v>19</v>
      </c>
      <c r="D2151">
        <v>1106000</v>
      </c>
    </row>
    <row r="2152" spans="1:4" x14ac:dyDescent="0.2">
      <c r="A2152">
        <v>1961</v>
      </c>
      <c r="B2152" s="1" t="s">
        <v>24</v>
      </c>
      <c r="C2152" t="s">
        <v>20</v>
      </c>
      <c r="D2152">
        <v>1161000</v>
      </c>
    </row>
    <row r="2153" spans="1:4" x14ac:dyDescent="0.2">
      <c r="A2153">
        <v>1961</v>
      </c>
      <c r="B2153" s="1" t="s">
        <v>25</v>
      </c>
      <c r="C2153" t="s">
        <v>20</v>
      </c>
      <c r="D2153">
        <v>820100</v>
      </c>
    </row>
    <row r="2154" spans="1:4" x14ac:dyDescent="0.2">
      <c r="A2154">
        <v>1961</v>
      </c>
      <c r="B2154" s="1" t="s">
        <v>24</v>
      </c>
      <c r="C2154" t="s">
        <v>21</v>
      </c>
      <c r="D2154">
        <v>943600</v>
      </c>
    </row>
    <row r="2155" spans="1:4" x14ac:dyDescent="0.2">
      <c r="A2155">
        <v>1961</v>
      </c>
      <c r="B2155" s="1" t="s">
        <v>25</v>
      </c>
      <c r="C2155" t="s">
        <v>21</v>
      </c>
      <c r="D2155">
        <v>600600</v>
      </c>
    </row>
    <row r="2156" spans="1:4" x14ac:dyDescent="0.2">
      <c r="A2156">
        <v>1961</v>
      </c>
      <c r="B2156" s="1" t="s">
        <v>24</v>
      </c>
      <c r="C2156" t="s">
        <v>22</v>
      </c>
      <c r="D2156">
        <v>681000</v>
      </c>
    </row>
    <row r="2157" spans="1:4" x14ac:dyDescent="0.2">
      <c r="A2157">
        <v>1961</v>
      </c>
      <c r="B2157" s="1" t="s">
        <v>25</v>
      </c>
      <c r="C2157" t="s">
        <v>22</v>
      </c>
      <c r="D2157">
        <v>389900</v>
      </c>
    </row>
    <row r="2158" spans="1:4" x14ac:dyDescent="0.2">
      <c r="A2158">
        <v>1961</v>
      </c>
      <c r="B2158" s="1" t="s">
        <v>24</v>
      </c>
      <c r="C2158" t="s">
        <v>23</v>
      </c>
      <c r="D2158">
        <v>402100</v>
      </c>
    </row>
    <row r="2159" spans="1:4" x14ac:dyDescent="0.2">
      <c r="A2159">
        <v>1961</v>
      </c>
      <c r="B2159" s="1" t="s">
        <v>25</v>
      </c>
      <c r="C2159" t="s">
        <v>23</v>
      </c>
      <c r="D2159">
        <v>205100</v>
      </c>
    </row>
    <row r="2160" spans="1:4" x14ac:dyDescent="0.2">
      <c r="A2160">
        <v>1961</v>
      </c>
      <c r="B2160" s="1" t="s">
        <v>24</v>
      </c>
      <c r="C2160" t="s">
        <v>31</v>
      </c>
      <c r="D2160">
        <v>217400</v>
      </c>
    </row>
    <row r="2161" spans="1:4" x14ac:dyDescent="0.2">
      <c r="A2161">
        <v>1961</v>
      </c>
      <c r="B2161" s="1" t="s">
        <v>25</v>
      </c>
      <c r="C2161" t="s">
        <v>31</v>
      </c>
      <c r="D2161">
        <v>92200</v>
      </c>
    </row>
    <row r="2162" spans="1:4" x14ac:dyDescent="0.2">
      <c r="A2162">
        <v>1962</v>
      </c>
      <c r="B2162" s="1" t="s">
        <v>24</v>
      </c>
      <c r="C2162" s="1" t="s">
        <v>29</v>
      </c>
      <c r="D2162">
        <v>397000</v>
      </c>
    </row>
    <row r="2163" spans="1:4" x14ac:dyDescent="0.2">
      <c r="A2163">
        <v>1962</v>
      </c>
      <c r="B2163" s="1" t="s">
        <v>25</v>
      </c>
      <c r="C2163" s="1" t="s">
        <v>29</v>
      </c>
      <c r="D2163">
        <v>416900</v>
      </c>
    </row>
    <row r="2164" spans="1:4" x14ac:dyDescent="0.2">
      <c r="A2164">
        <v>1962</v>
      </c>
      <c r="B2164" s="1" t="s">
        <v>24</v>
      </c>
      <c r="C2164" s="2" t="s">
        <v>26</v>
      </c>
      <c r="D2164">
        <v>1445500</v>
      </c>
    </row>
    <row r="2165" spans="1:4" x14ac:dyDescent="0.2">
      <c r="A2165">
        <v>1962</v>
      </c>
      <c r="B2165" s="1" t="s">
        <v>25</v>
      </c>
      <c r="C2165" s="2" t="s">
        <v>26</v>
      </c>
      <c r="D2165">
        <v>1529000</v>
      </c>
    </row>
    <row r="2166" spans="1:4" x14ac:dyDescent="0.2">
      <c r="A2166">
        <v>1962</v>
      </c>
      <c r="B2166" s="1" t="s">
        <v>24</v>
      </c>
      <c r="C2166" s="2" t="s">
        <v>27</v>
      </c>
      <c r="D2166">
        <v>1612800</v>
      </c>
    </row>
    <row r="2167" spans="1:4" x14ac:dyDescent="0.2">
      <c r="A2167">
        <v>1962</v>
      </c>
      <c r="B2167" s="1" t="s">
        <v>25</v>
      </c>
      <c r="C2167" s="2" t="s">
        <v>27</v>
      </c>
      <c r="D2167">
        <v>1707200</v>
      </c>
    </row>
    <row r="2168" spans="1:4" x14ac:dyDescent="0.2">
      <c r="A2168">
        <v>1962</v>
      </c>
      <c r="B2168" s="1" t="s">
        <v>24</v>
      </c>
      <c r="C2168" s="3" t="s">
        <v>28</v>
      </c>
      <c r="D2168">
        <v>1711800</v>
      </c>
    </row>
    <row r="2169" spans="1:4" x14ac:dyDescent="0.2">
      <c r="A2169">
        <v>1962</v>
      </c>
      <c r="B2169" s="1" t="s">
        <v>25</v>
      </c>
      <c r="C2169" s="3" t="s">
        <v>28</v>
      </c>
      <c r="D2169">
        <v>1797600</v>
      </c>
    </row>
    <row r="2170" spans="1:4" x14ac:dyDescent="0.2">
      <c r="A2170">
        <v>1962</v>
      </c>
      <c r="B2170" s="1" t="s">
        <v>24</v>
      </c>
      <c r="C2170" t="s">
        <v>4</v>
      </c>
      <c r="D2170">
        <v>1719500</v>
      </c>
    </row>
    <row r="2171" spans="1:4" x14ac:dyDescent="0.2">
      <c r="A2171">
        <v>1962</v>
      </c>
      <c r="B2171" s="1" t="s">
        <v>25</v>
      </c>
      <c r="C2171" t="s">
        <v>4</v>
      </c>
      <c r="D2171">
        <v>1787200</v>
      </c>
    </row>
    <row r="2172" spans="1:4" x14ac:dyDescent="0.2">
      <c r="A2172">
        <v>1962</v>
      </c>
      <c r="B2172" s="1" t="s">
        <v>24</v>
      </c>
      <c r="C2172" t="s">
        <v>5</v>
      </c>
      <c r="D2172">
        <v>1459300</v>
      </c>
    </row>
    <row r="2173" spans="1:4" x14ac:dyDescent="0.2">
      <c r="A2173">
        <v>1962</v>
      </c>
      <c r="B2173" s="1" t="s">
        <v>25</v>
      </c>
      <c r="C2173" t="s">
        <v>5</v>
      </c>
      <c r="D2173">
        <v>1456400</v>
      </c>
    </row>
    <row r="2174" spans="1:4" x14ac:dyDescent="0.2">
      <c r="A2174">
        <v>1962</v>
      </c>
      <c r="B2174" s="1" t="s">
        <v>24</v>
      </c>
      <c r="C2174" t="s">
        <v>12</v>
      </c>
      <c r="D2174">
        <v>1411700</v>
      </c>
    </row>
    <row r="2175" spans="1:4" x14ac:dyDescent="0.2">
      <c r="A2175">
        <v>1962</v>
      </c>
      <c r="B2175" s="1" t="s">
        <v>25</v>
      </c>
      <c r="C2175" t="s">
        <v>12</v>
      </c>
      <c r="D2175">
        <v>1463000</v>
      </c>
    </row>
    <row r="2176" spans="1:4" x14ac:dyDescent="0.2">
      <c r="A2176">
        <v>1962</v>
      </c>
      <c r="B2176" s="1" t="s">
        <v>24</v>
      </c>
      <c r="C2176" t="s">
        <v>13</v>
      </c>
      <c r="D2176">
        <v>1473600</v>
      </c>
    </row>
    <row r="2177" spans="1:4" x14ac:dyDescent="0.2">
      <c r="A2177">
        <v>1962</v>
      </c>
      <c r="B2177" s="1" t="s">
        <v>25</v>
      </c>
      <c r="C2177" t="s">
        <v>13</v>
      </c>
      <c r="D2177">
        <v>1504100</v>
      </c>
    </row>
    <row r="2178" spans="1:4" x14ac:dyDescent="0.2">
      <c r="A2178">
        <v>1962</v>
      </c>
      <c r="B2178" s="1" t="s">
        <v>24</v>
      </c>
      <c r="C2178" t="s">
        <v>14</v>
      </c>
      <c r="D2178">
        <v>1569600</v>
      </c>
    </row>
    <row r="2179" spans="1:4" x14ac:dyDescent="0.2">
      <c r="A2179">
        <v>1962</v>
      </c>
      <c r="B2179" s="1" t="s">
        <v>25</v>
      </c>
      <c r="C2179" t="s">
        <v>14</v>
      </c>
      <c r="D2179">
        <v>1572800</v>
      </c>
    </row>
    <row r="2180" spans="1:4" x14ac:dyDescent="0.2">
      <c r="A2180">
        <v>1962</v>
      </c>
      <c r="B2180" s="1" t="s">
        <v>24</v>
      </c>
      <c r="C2180" t="s">
        <v>15</v>
      </c>
      <c r="D2180">
        <v>1607300</v>
      </c>
    </row>
    <row r="2181" spans="1:4" x14ac:dyDescent="0.2">
      <c r="A2181">
        <v>1962</v>
      </c>
      <c r="B2181" s="1" t="s">
        <v>25</v>
      </c>
      <c r="C2181" t="s">
        <v>15</v>
      </c>
      <c r="D2181">
        <v>1586400</v>
      </c>
    </row>
    <row r="2182" spans="1:4" x14ac:dyDescent="0.2">
      <c r="A2182">
        <v>1962</v>
      </c>
      <c r="B2182" s="1" t="s">
        <v>24</v>
      </c>
      <c r="C2182" t="s">
        <v>16</v>
      </c>
      <c r="D2182">
        <v>1596300</v>
      </c>
    </row>
    <row r="2183" spans="1:4" x14ac:dyDescent="0.2">
      <c r="A2183">
        <v>1962</v>
      </c>
      <c r="B2183" s="1" t="s">
        <v>25</v>
      </c>
      <c r="C2183" t="s">
        <v>16</v>
      </c>
      <c r="D2183">
        <v>1536300</v>
      </c>
    </row>
    <row r="2184" spans="1:4" x14ac:dyDescent="0.2">
      <c r="A2184">
        <v>1962</v>
      </c>
      <c r="B2184" s="1" t="s">
        <v>24</v>
      </c>
      <c r="C2184" t="s">
        <v>17</v>
      </c>
      <c r="D2184">
        <v>1640300</v>
      </c>
    </row>
    <row r="2185" spans="1:4" x14ac:dyDescent="0.2">
      <c r="A2185">
        <v>1962</v>
      </c>
      <c r="B2185" s="1" t="s">
        <v>25</v>
      </c>
      <c r="C2185" t="s">
        <v>17</v>
      </c>
      <c r="D2185">
        <v>1562100</v>
      </c>
    </row>
    <row r="2186" spans="1:4" x14ac:dyDescent="0.2">
      <c r="A2186">
        <v>1962</v>
      </c>
      <c r="B2186" s="1" t="s">
        <v>24</v>
      </c>
      <c r="C2186" t="s">
        <v>18</v>
      </c>
      <c r="D2186">
        <v>1553500</v>
      </c>
    </row>
    <row r="2187" spans="1:4" x14ac:dyDescent="0.2">
      <c r="A2187">
        <v>1962</v>
      </c>
      <c r="B2187" s="1" t="s">
        <v>25</v>
      </c>
      <c r="C2187" t="s">
        <v>18</v>
      </c>
      <c r="D2187">
        <v>1435300</v>
      </c>
    </row>
    <row r="2188" spans="1:4" x14ac:dyDescent="0.2">
      <c r="A2188">
        <v>1962</v>
      </c>
      <c r="B2188" s="1" t="s">
        <v>24</v>
      </c>
      <c r="C2188" t="s">
        <v>19</v>
      </c>
      <c r="D2188">
        <v>1376300</v>
      </c>
    </row>
    <row r="2189" spans="1:4" x14ac:dyDescent="0.2">
      <c r="A2189">
        <v>1962</v>
      </c>
      <c r="B2189" s="1" t="s">
        <v>25</v>
      </c>
      <c r="C2189" t="s">
        <v>19</v>
      </c>
      <c r="D2189">
        <v>1150900</v>
      </c>
    </row>
    <row r="2190" spans="1:4" x14ac:dyDescent="0.2">
      <c r="A2190">
        <v>1962</v>
      </c>
      <c r="B2190" s="1" t="s">
        <v>24</v>
      </c>
      <c r="C2190" t="s">
        <v>20</v>
      </c>
      <c r="D2190">
        <v>1173100</v>
      </c>
    </row>
    <row r="2191" spans="1:4" x14ac:dyDescent="0.2">
      <c r="A2191">
        <v>1962</v>
      </c>
      <c r="B2191" s="1" t="s">
        <v>25</v>
      </c>
      <c r="C2191" t="s">
        <v>20</v>
      </c>
      <c r="D2191">
        <v>829800</v>
      </c>
    </row>
    <row r="2192" spans="1:4" x14ac:dyDescent="0.2">
      <c r="A2192">
        <v>1962</v>
      </c>
      <c r="B2192" s="1" t="s">
        <v>24</v>
      </c>
      <c r="C2192" t="s">
        <v>21</v>
      </c>
      <c r="D2192">
        <v>951900</v>
      </c>
    </row>
    <row r="2193" spans="1:4" x14ac:dyDescent="0.2">
      <c r="A2193">
        <v>1962</v>
      </c>
      <c r="B2193" s="1" t="s">
        <v>25</v>
      </c>
      <c r="C2193" t="s">
        <v>21</v>
      </c>
      <c r="D2193">
        <v>606700</v>
      </c>
    </row>
    <row r="2194" spans="1:4" x14ac:dyDescent="0.2">
      <c r="A2194">
        <v>1962</v>
      </c>
      <c r="B2194" s="1" t="s">
        <v>24</v>
      </c>
      <c r="C2194" t="s">
        <v>22</v>
      </c>
      <c r="D2194">
        <v>695300</v>
      </c>
    </row>
    <row r="2195" spans="1:4" x14ac:dyDescent="0.2">
      <c r="A2195">
        <v>1962</v>
      </c>
      <c r="B2195" s="1" t="s">
        <v>25</v>
      </c>
      <c r="C2195" t="s">
        <v>22</v>
      </c>
      <c r="D2195">
        <v>391300</v>
      </c>
    </row>
    <row r="2196" spans="1:4" x14ac:dyDescent="0.2">
      <c r="A2196">
        <v>1962</v>
      </c>
      <c r="B2196" s="1" t="s">
        <v>24</v>
      </c>
      <c r="C2196" t="s">
        <v>23</v>
      </c>
      <c r="D2196">
        <v>406500</v>
      </c>
    </row>
    <row r="2197" spans="1:4" x14ac:dyDescent="0.2">
      <c r="A2197">
        <v>1962</v>
      </c>
      <c r="B2197" s="1" t="s">
        <v>25</v>
      </c>
      <c r="C2197" t="s">
        <v>23</v>
      </c>
      <c r="D2197">
        <v>204100</v>
      </c>
    </row>
    <row r="2198" spans="1:4" x14ac:dyDescent="0.2">
      <c r="A2198">
        <v>1962</v>
      </c>
      <c r="B2198" s="1" t="s">
        <v>24</v>
      </c>
      <c r="C2198" t="s">
        <v>31</v>
      </c>
      <c r="D2198">
        <v>224700</v>
      </c>
    </row>
    <row r="2199" spans="1:4" x14ac:dyDescent="0.2">
      <c r="A2199">
        <v>1962</v>
      </c>
      <c r="B2199" s="1" t="s">
        <v>25</v>
      </c>
      <c r="C2199" t="s">
        <v>31</v>
      </c>
      <c r="D2199">
        <v>94300</v>
      </c>
    </row>
    <row r="2200" spans="1:4" x14ac:dyDescent="0.2">
      <c r="A2200">
        <v>1963</v>
      </c>
      <c r="B2200" s="1" t="s">
        <v>24</v>
      </c>
      <c r="C2200" s="1" t="s">
        <v>29</v>
      </c>
      <c r="D2200">
        <v>405300</v>
      </c>
    </row>
    <row r="2201" spans="1:4" x14ac:dyDescent="0.2">
      <c r="A2201">
        <v>1963</v>
      </c>
      <c r="B2201" s="1" t="s">
        <v>25</v>
      </c>
      <c r="C2201" s="1" t="s">
        <v>29</v>
      </c>
      <c r="D2201">
        <v>423300</v>
      </c>
    </row>
    <row r="2202" spans="1:4" x14ac:dyDescent="0.2">
      <c r="A2202">
        <v>1963</v>
      </c>
      <c r="B2202" s="1" t="s">
        <v>24</v>
      </c>
      <c r="C2202" s="2" t="s">
        <v>26</v>
      </c>
      <c r="D2202">
        <v>1495300</v>
      </c>
    </row>
    <row r="2203" spans="1:4" x14ac:dyDescent="0.2">
      <c r="A2203">
        <v>1963</v>
      </c>
      <c r="B2203" s="1" t="s">
        <v>25</v>
      </c>
      <c r="C2203" s="2" t="s">
        <v>26</v>
      </c>
      <c r="D2203">
        <v>1577400</v>
      </c>
    </row>
    <row r="2204" spans="1:4" x14ac:dyDescent="0.2">
      <c r="A2204">
        <v>1963</v>
      </c>
      <c r="B2204" s="1" t="s">
        <v>24</v>
      </c>
      <c r="C2204" s="2" t="s">
        <v>27</v>
      </c>
      <c r="D2204">
        <v>1642300</v>
      </c>
    </row>
    <row r="2205" spans="1:4" x14ac:dyDescent="0.2">
      <c r="A2205">
        <v>1963</v>
      </c>
      <c r="B2205" s="1" t="s">
        <v>25</v>
      </c>
      <c r="C2205" s="2" t="s">
        <v>27</v>
      </c>
      <c r="D2205">
        <v>1747600</v>
      </c>
    </row>
    <row r="2206" spans="1:4" x14ac:dyDescent="0.2">
      <c r="A2206">
        <v>1963</v>
      </c>
      <c r="B2206" s="1" t="s">
        <v>24</v>
      </c>
      <c r="C2206" s="3" t="s">
        <v>28</v>
      </c>
      <c r="D2206">
        <v>1650500</v>
      </c>
    </row>
    <row r="2207" spans="1:4" x14ac:dyDescent="0.2">
      <c r="A2207">
        <v>1963</v>
      </c>
      <c r="B2207" s="1" t="s">
        <v>25</v>
      </c>
      <c r="C2207" s="3" t="s">
        <v>28</v>
      </c>
      <c r="D2207">
        <v>1734300</v>
      </c>
    </row>
    <row r="2208" spans="1:4" x14ac:dyDescent="0.2">
      <c r="A2208">
        <v>1963</v>
      </c>
      <c r="B2208" s="1" t="s">
        <v>24</v>
      </c>
      <c r="C2208" t="s">
        <v>4</v>
      </c>
      <c r="D2208">
        <v>1785700</v>
      </c>
    </row>
    <row r="2209" spans="1:4" x14ac:dyDescent="0.2">
      <c r="A2209">
        <v>1963</v>
      </c>
      <c r="B2209" s="1" t="s">
        <v>25</v>
      </c>
      <c r="C2209" t="s">
        <v>4</v>
      </c>
      <c r="D2209">
        <v>1857600</v>
      </c>
    </row>
    <row r="2210" spans="1:4" x14ac:dyDescent="0.2">
      <c r="A2210">
        <v>1963</v>
      </c>
      <c r="B2210" s="1" t="s">
        <v>24</v>
      </c>
      <c r="C2210" t="s">
        <v>5</v>
      </c>
      <c r="D2210">
        <v>1485900</v>
      </c>
    </row>
    <row r="2211" spans="1:4" x14ac:dyDescent="0.2">
      <c r="A2211">
        <v>1963</v>
      </c>
      <c r="B2211" s="1" t="s">
        <v>25</v>
      </c>
      <c r="C2211" t="s">
        <v>5</v>
      </c>
      <c r="D2211">
        <v>1482700</v>
      </c>
    </row>
    <row r="2212" spans="1:4" x14ac:dyDescent="0.2">
      <c r="A2212">
        <v>1963</v>
      </c>
      <c r="B2212" s="1" t="s">
        <v>24</v>
      </c>
      <c r="C2212" t="s">
        <v>12</v>
      </c>
      <c r="D2212">
        <v>1426800</v>
      </c>
    </row>
    <row r="2213" spans="1:4" x14ac:dyDescent="0.2">
      <c r="A2213">
        <v>1963</v>
      </c>
      <c r="B2213" s="1" t="s">
        <v>25</v>
      </c>
      <c r="C2213" t="s">
        <v>12</v>
      </c>
      <c r="D2213">
        <v>1470200</v>
      </c>
    </row>
    <row r="2214" spans="1:4" x14ac:dyDescent="0.2">
      <c r="A2214">
        <v>1963</v>
      </c>
      <c r="B2214" s="1" t="s">
        <v>24</v>
      </c>
      <c r="C2214" t="s">
        <v>13</v>
      </c>
      <c r="D2214">
        <v>1455300</v>
      </c>
    </row>
    <row r="2215" spans="1:4" x14ac:dyDescent="0.2">
      <c r="A2215">
        <v>1963</v>
      </c>
      <c r="B2215" s="1" t="s">
        <v>25</v>
      </c>
      <c r="C2215" t="s">
        <v>13</v>
      </c>
      <c r="D2215">
        <v>1489400</v>
      </c>
    </row>
    <row r="2216" spans="1:4" x14ac:dyDescent="0.2">
      <c r="A2216">
        <v>1963</v>
      </c>
      <c r="B2216" s="1" t="s">
        <v>24</v>
      </c>
      <c r="C2216" t="s">
        <v>14</v>
      </c>
      <c r="D2216">
        <v>1538600</v>
      </c>
    </row>
    <row r="2217" spans="1:4" x14ac:dyDescent="0.2">
      <c r="A2217">
        <v>1963</v>
      </c>
      <c r="B2217" s="1" t="s">
        <v>25</v>
      </c>
      <c r="C2217" t="s">
        <v>14</v>
      </c>
      <c r="D2217">
        <v>1544800</v>
      </c>
    </row>
    <row r="2218" spans="1:4" x14ac:dyDescent="0.2">
      <c r="A2218">
        <v>1963</v>
      </c>
      <c r="B2218" s="1" t="s">
        <v>24</v>
      </c>
      <c r="C2218" t="s">
        <v>15</v>
      </c>
      <c r="D2218">
        <v>1671200</v>
      </c>
    </row>
    <row r="2219" spans="1:4" x14ac:dyDescent="0.2">
      <c r="A2219">
        <v>1963</v>
      </c>
      <c r="B2219" s="1" t="s">
        <v>25</v>
      </c>
      <c r="C2219" t="s">
        <v>15</v>
      </c>
      <c r="D2219">
        <v>1646600</v>
      </c>
    </row>
    <row r="2220" spans="1:4" x14ac:dyDescent="0.2">
      <c r="A2220">
        <v>1963</v>
      </c>
      <c r="B2220" s="1" t="s">
        <v>24</v>
      </c>
      <c r="C2220" t="s">
        <v>16</v>
      </c>
      <c r="D2220">
        <v>1512900</v>
      </c>
    </row>
    <row r="2221" spans="1:4" x14ac:dyDescent="0.2">
      <c r="A2221">
        <v>1963</v>
      </c>
      <c r="B2221" s="1" t="s">
        <v>25</v>
      </c>
      <c r="C2221" t="s">
        <v>16</v>
      </c>
      <c r="D2221">
        <v>1459300</v>
      </c>
    </row>
    <row r="2222" spans="1:4" x14ac:dyDescent="0.2">
      <c r="A2222">
        <v>1963</v>
      </c>
      <c r="B2222" s="1" t="s">
        <v>24</v>
      </c>
      <c r="C2222" t="s">
        <v>17</v>
      </c>
      <c r="D2222">
        <v>1638900</v>
      </c>
    </row>
    <row r="2223" spans="1:4" x14ac:dyDescent="0.2">
      <c r="A2223">
        <v>1963</v>
      </c>
      <c r="B2223" s="1" t="s">
        <v>25</v>
      </c>
      <c r="C2223" t="s">
        <v>17</v>
      </c>
      <c r="D2223">
        <v>1561600</v>
      </c>
    </row>
    <row r="2224" spans="1:4" x14ac:dyDescent="0.2">
      <c r="A2224">
        <v>1963</v>
      </c>
      <c r="B2224" s="1" t="s">
        <v>24</v>
      </c>
      <c r="C2224" t="s">
        <v>18</v>
      </c>
      <c r="D2224">
        <v>1571100</v>
      </c>
    </row>
    <row r="2225" spans="1:4" x14ac:dyDescent="0.2">
      <c r="A2225">
        <v>1963</v>
      </c>
      <c r="B2225" s="1" t="s">
        <v>25</v>
      </c>
      <c r="C2225" t="s">
        <v>18</v>
      </c>
      <c r="D2225">
        <v>1453400</v>
      </c>
    </row>
    <row r="2226" spans="1:4" x14ac:dyDescent="0.2">
      <c r="A2226">
        <v>1963</v>
      </c>
      <c r="B2226" s="1" t="s">
        <v>24</v>
      </c>
      <c r="C2226" t="s">
        <v>19</v>
      </c>
      <c r="D2226">
        <v>1407400</v>
      </c>
    </row>
    <row r="2227" spans="1:4" x14ac:dyDescent="0.2">
      <c r="A2227">
        <v>1963</v>
      </c>
      <c r="B2227" s="1" t="s">
        <v>25</v>
      </c>
      <c r="C2227" t="s">
        <v>19</v>
      </c>
      <c r="D2227">
        <v>1196800</v>
      </c>
    </row>
    <row r="2228" spans="1:4" x14ac:dyDescent="0.2">
      <c r="A2228">
        <v>1963</v>
      </c>
      <c r="B2228" s="1" t="s">
        <v>24</v>
      </c>
      <c r="C2228" t="s">
        <v>20</v>
      </c>
      <c r="D2228">
        <v>1185700</v>
      </c>
    </row>
    <row r="2229" spans="1:4" x14ac:dyDescent="0.2">
      <c r="A2229">
        <v>1963</v>
      </c>
      <c r="B2229" s="1" t="s">
        <v>25</v>
      </c>
      <c r="C2229" t="s">
        <v>20</v>
      </c>
      <c r="D2229">
        <v>839200</v>
      </c>
    </row>
    <row r="2230" spans="1:4" x14ac:dyDescent="0.2">
      <c r="A2230">
        <v>1963</v>
      </c>
      <c r="B2230" s="1" t="s">
        <v>24</v>
      </c>
      <c r="C2230" t="s">
        <v>21</v>
      </c>
      <c r="D2230">
        <v>961700</v>
      </c>
    </row>
    <row r="2231" spans="1:4" x14ac:dyDescent="0.2">
      <c r="A2231">
        <v>1963</v>
      </c>
      <c r="B2231" s="1" t="s">
        <v>25</v>
      </c>
      <c r="C2231" t="s">
        <v>21</v>
      </c>
      <c r="D2231">
        <v>612500</v>
      </c>
    </row>
    <row r="2232" spans="1:4" x14ac:dyDescent="0.2">
      <c r="A2232">
        <v>1963</v>
      </c>
      <c r="B2232" s="1" t="s">
        <v>24</v>
      </c>
      <c r="C2232" t="s">
        <v>22</v>
      </c>
      <c r="D2232">
        <v>710600</v>
      </c>
    </row>
    <row r="2233" spans="1:4" x14ac:dyDescent="0.2">
      <c r="A2233">
        <v>1963</v>
      </c>
      <c r="B2233" s="1" t="s">
        <v>25</v>
      </c>
      <c r="C2233" t="s">
        <v>22</v>
      </c>
      <c r="D2233">
        <v>393700</v>
      </c>
    </row>
    <row r="2234" spans="1:4" x14ac:dyDescent="0.2">
      <c r="A2234">
        <v>1963</v>
      </c>
      <c r="B2234" s="1" t="s">
        <v>24</v>
      </c>
      <c r="C2234" t="s">
        <v>23</v>
      </c>
      <c r="D2234">
        <v>411400</v>
      </c>
    </row>
    <row r="2235" spans="1:4" x14ac:dyDescent="0.2">
      <c r="A2235">
        <v>1963</v>
      </c>
      <c r="B2235" s="1" t="s">
        <v>25</v>
      </c>
      <c r="C2235" t="s">
        <v>23</v>
      </c>
      <c r="D2235">
        <v>201800</v>
      </c>
    </row>
    <row r="2236" spans="1:4" x14ac:dyDescent="0.2">
      <c r="A2236">
        <v>1963</v>
      </c>
      <c r="B2236" s="1" t="s">
        <v>24</v>
      </c>
      <c r="C2236" t="s">
        <v>31</v>
      </c>
      <c r="D2236">
        <v>229800</v>
      </c>
    </row>
    <row r="2237" spans="1:4" x14ac:dyDescent="0.2">
      <c r="A2237">
        <v>1963</v>
      </c>
      <c r="B2237" s="1" t="s">
        <v>25</v>
      </c>
      <c r="C2237" t="s">
        <v>31</v>
      </c>
      <c r="D2237">
        <v>94300</v>
      </c>
    </row>
    <row r="2238" spans="1:4" x14ac:dyDescent="0.2">
      <c r="A2238">
        <v>1964</v>
      </c>
      <c r="B2238" s="1" t="s">
        <v>24</v>
      </c>
      <c r="C2238" s="1" t="s">
        <v>29</v>
      </c>
      <c r="D2238">
        <v>411100</v>
      </c>
    </row>
    <row r="2239" spans="1:4" x14ac:dyDescent="0.2">
      <c r="A2239">
        <v>1964</v>
      </c>
      <c r="B2239" s="1" t="s">
        <v>25</v>
      </c>
      <c r="C2239" s="1" t="s">
        <v>29</v>
      </c>
      <c r="D2239">
        <v>429700</v>
      </c>
    </row>
    <row r="2240" spans="1:4" x14ac:dyDescent="0.2">
      <c r="A2240">
        <v>1964</v>
      </c>
      <c r="B2240" s="1" t="s">
        <v>24</v>
      </c>
      <c r="C2240" s="2" t="s">
        <v>26</v>
      </c>
      <c r="D2240">
        <v>1544300</v>
      </c>
    </row>
    <row r="2241" spans="1:4" x14ac:dyDescent="0.2">
      <c r="A2241">
        <v>1964</v>
      </c>
      <c r="B2241" s="1" t="s">
        <v>25</v>
      </c>
      <c r="C2241" s="2" t="s">
        <v>26</v>
      </c>
      <c r="D2241">
        <v>1619700</v>
      </c>
    </row>
    <row r="2242" spans="1:4" x14ac:dyDescent="0.2">
      <c r="A2242">
        <v>1964</v>
      </c>
      <c r="B2242" s="1" t="s">
        <v>24</v>
      </c>
      <c r="C2242" s="2" t="s">
        <v>27</v>
      </c>
      <c r="D2242">
        <v>1674200</v>
      </c>
    </row>
    <row r="2243" spans="1:4" x14ac:dyDescent="0.2">
      <c r="A2243">
        <v>1964</v>
      </c>
      <c r="B2243" s="1" t="s">
        <v>25</v>
      </c>
      <c r="C2243" s="2" t="s">
        <v>27</v>
      </c>
      <c r="D2243">
        <v>1784800</v>
      </c>
    </row>
    <row r="2244" spans="1:4" x14ac:dyDescent="0.2">
      <c r="A2244">
        <v>1964</v>
      </c>
      <c r="B2244" s="1" t="s">
        <v>24</v>
      </c>
      <c r="C2244" s="3" t="s">
        <v>28</v>
      </c>
      <c r="D2244">
        <v>1621400</v>
      </c>
    </row>
    <row r="2245" spans="1:4" x14ac:dyDescent="0.2">
      <c r="A2245">
        <v>1964</v>
      </c>
      <c r="B2245" s="1" t="s">
        <v>25</v>
      </c>
      <c r="C2245" s="3" t="s">
        <v>28</v>
      </c>
      <c r="D2245">
        <v>1707000</v>
      </c>
    </row>
    <row r="2246" spans="1:4" x14ac:dyDescent="0.2">
      <c r="A2246">
        <v>1964</v>
      </c>
      <c r="B2246" s="1" t="s">
        <v>24</v>
      </c>
      <c r="C2246" t="s">
        <v>4</v>
      </c>
      <c r="D2246">
        <v>1805100</v>
      </c>
    </row>
    <row r="2247" spans="1:4" x14ac:dyDescent="0.2">
      <c r="A2247">
        <v>1964</v>
      </c>
      <c r="B2247" s="1" t="s">
        <v>25</v>
      </c>
      <c r="C2247" t="s">
        <v>4</v>
      </c>
      <c r="D2247">
        <v>1884800</v>
      </c>
    </row>
    <row r="2248" spans="1:4" x14ac:dyDescent="0.2">
      <c r="A2248">
        <v>1964</v>
      </c>
      <c r="B2248" s="1" t="s">
        <v>24</v>
      </c>
      <c r="C2248" t="s">
        <v>5</v>
      </c>
      <c r="D2248">
        <v>1520700</v>
      </c>
    </row>
    <row r="2249" spans="1:4" x14ac:dyDescent="0.2">
      <c r="A2249">
        <v>1964</v>
      </c>
      <c r="B2249" s="1" t="s">
        <v>25</v>
      </c>
      <c r="C2249" t="s">
        <v>5</v>
      </c>
      <c r="D2249">
        <v>1529000</v>
      </c>
    </row>
    <row r="2250" spans="1:4" x14ac:dyDescent="0.2">
      <c r="A2250">
        <v>1964</v>
      </c>
      <c r="B2250" s="1" t="s">
        <v>24</v>
      </c>
      <c r="C2250" t="s">
        <v>12</v>
      </c>
      <c r="D2250">
        <v>1445200</v>
      </c>
    </row>
    <row r="2251" spans="1:4" x14ac:dyDescent="0.2">
      <c r="A2251">
        <v>1964</v>
      </c>
      <c r="B2251" s="1" t="s">
        <v>25</v>
      </c>
      <c r="C2251" t="s">
        <v>12</v>
      </c>
      <c r="D2251">
        <v>1488900</v>
      </c>
    </row>
    <row r="2252" spans="1:4" x14ac:dyDescent="0.2">
      <c r="A2252">
        <v>1964</v>
      </c>
      <c r="B2252" s="1" t="s">
        <v>24</v>
      </c>
      <c r="C2252" t="s">
        <v>13</v>
      </c>
      <c r="D2252">
        <v>1425700</v>
      </c>
    </row>
    <row r="2253" spans="1:4" x14ac:dyDescent="0.2">
      <c r="A2253">
        <v>1964</v>
      </c>
      <c r="B2253" s="1" t="s">
        <v>25</v>
      </c>
      <c r="C2253" t="s">
        <v>13</v>
      </c>
      <c r="D2253">
        <v>1470700</v>
      </c>
    </row>
    <row r="2254" spans="1:4" x14ac:dyDescent="0.2">
      <c r="A2254">
        <v>1964</v>
      </c>
      <c r="B2254" s="1" t="s">
        <v>24</v>
      </c>
      <c r="C2254" t="s">
        <v>14</v>
      </c>
      <c r="D2254">
        <v>1513400</v>
      </c>
    </row>
    <row r="2255" spans="1:4" x14ac:dyDescent="0.2">
      <c r="A2255">
        <v>1964</v>
      </c>
      <c r="B2255" s="1" t="s">
        <v>25</v>
      </c>
      <c r="C2255" t="s">
        <v>14</v>
      </c>
      <c r="D2255">
        <v>1525900</v>
      </c>
    </row>
    <row r="2256" spans="1:4" x14ac:dyDescent="0.2">
      <c r="A2256">
        <v>1964</v>
      </c>
      <c r="B2256" s="1" t="s">
        <v>24</v>
      </c>
      <c r="C2256" t="s">
        <v>15</v>
      </c>
      <c r="D2256">
        <v>1722000</v>
      </c>
    </row>
    <row r="2257" spans="1:4" x14ac:dyDescent="0.2">
      <c r="A2257">
        <v>1964</v>
      </c>
      <c r="B2257" s="1" t="s">
        <v>25</v>
      </c>
      <c r="C2257" t="s">
        <v>15</v>
      </c>
      <c r="D2257">
        <v>1696000</v>
      </c>
    </row>
    <row r="2258" spans="1:4" x14ac:dyDescent="0.2">
      <c r="A2258">
        <v>1964</v>
      </c>
      <c r="B2258" s="1" t="s">
        <v>24</v>
      </c>
      <c r="C2258" t="s">
        <v>16</v>
      </c>
      <c r="D2258">
        <v>1437800</v>
      </c>
    </row>
    <row r="2259" spans="1:4" x14ac:dyDescent="0.2">
      <c r="A2259">
        <v>1964</v>
      </c>
      <c r="B2259" s="1" t="s">
        <v>25</v>
      </c>
      <c r="C2259" t="s">
        <v>16</v>
      </c>
      <c r="D2259">
        <v>1392600</v>
      </c>
    </row>
    <row r="2260" spans="1:4" x14ac:dyDescent="0.2">
      <c r="A2260">
        <v>1964</v>
      </c>
      <c r="B2260" s="1" t="s">
        <v>24</v>
      </c>
      <c r="C2260" t="s">
        <v>17</v>
      </c>
      <c r="D2260">
        <v>1636800</v>
      </c>
    </row>
    <row r="2261" spans="1:4" x14ac:dyDescent="0.2">
      <c r="A2261">
        <v>1964</v>
      </c>
      <c r="B2261" s="1" t="s">
        <v>25</v>
      </c>
      <c r="C2261" t="s">
        <v>17</v>
      </c>
      <c r="D2261">
        <v>1561500</v>
      </c>
    </row>
    <row r="2262" spans="1:4" x14ac:dyDescent="0.2">
      <c r="A2262">
        <v>1964</v>
      </c>
      <c r="B2262" s="1" t="s">
        <v>24</v>
      </c>
      <c r="C2262" t="s">
        <v>18</v>
      </c>
      <c r="D2262">
        <v>1584500</v>
      </c>
    </row>
    <row r="2263" spans="1:4" x14ac:dyDescent="0.2">
      <c r="A2263">
        <v>1964</v>
      </c>
      <c r="B2263" s="1" t="s">
        <v>25</v>
      </c>
      <c r="C2263" t="s">
        <v>18</v>
      </c>
      <c r="D2263">
        <v>1470100</v>
      </c>
    </row>
    <row r="2264" spans="1:4" x14ac:dyDescent="0.2">
      <c r="A2264">
        <v>1964</v>
      </c>
      <c r="B2264" s="1" t="s">
        <v>24</v>
      </c>
      <c r="C2264" t="s">
        <v>19</v>
      </c>
      <c r="D2264">
        <v>1435900</v>
      </c>
    </row>
    <row r="2265" spans="1:4" x14ac:dyDescent="0.2">
      <c r="A2265">
        <v>1964</v>
      </c>
      <c r="B2265" s="1" t="s">
        <v>25</v>
      </c>
      <c r="C2265" t="s">
        <v>19</v>
      </c>
      <c r="D2265">
        <v>1238000</v>
      </c>
    </row>
    <row r="2266" spans="1:4" x14ac:dyDescent="0.2">
      <c r="A2266">
        <v>1964</v>
      </c>
      <c r="B2266" s="1" t="s">
        <v>24</v>
      </c>
      <c r="C2266" t="s">
        <v>20</v>
      </c>
      <c r="D2266">
        <v>1203500</v>
      </c>
    </row>
    <row r="2267" spans="1:4" x14ac:dyDescent="0.2">
      <c r="A2267">
        <v>1964</v>
      </c>
      <c r="B2267" s="1" t="s">
        <v>25</v>
      </c>
      <c r="C2267" t="s">
        <v>20</v>
      </c>
      <c r="D2267">
        <v>858200</v>
      </c>
    </row>
    <row r="2268" spans="1:4" x14ac:dyDescent="0.2">
      <c r="A2268">
        <v>1964</v>
      </c>
      <c r="B2268" s="1" t="s">
        <v>24</v>
      </c>
      <c r="C2268" t="s">
        <v>21</v>
      </c>
      <c r="D2268">
        <v>970900</v>
      </c>
    </row>
    <row r="2269" spans="1:4" x14ac:dyDescent="0.2">
      <c r="A2269">
        <v>1964</v>
      </c>
      <c r="B2269" s="1" t="s">
        <v>25</v>
      </c>
      <c r="C2269" t="s">
        <v>21</v>
      </c>
      <c r="D2269">
        <v>618600</v>
      </c>
    </row>
    <row r="2270" spans="1:4" x14ac:dyDescent="0.2">
      <c r="A2270">
        <v>1964</v>
      </c>
      <c r="B2270" s="1" t="s">
        <v>24</v>
      </c>
      <c r="C2270" t="s">
        <v>22</v>
      </c>
      <c r="D2270">
        <v>729600</v>
      </c>
    </row>
    <row r="2271" spans="1:4" x14ac:dyDescent="0.2">
      <c r="A2271">
        <v>1964</v>
      </c>
      <c r="B2271" s="1" t="s">
        <v>25</v>
      </c>
      <c r="C2271" t="s">
        <v>22</v>
      </c>
      <c r="D2271">
        <v>401400</v>
      </c>
    </row>
    <row r="2272" spans="1:4" x14ac:dyDescent="0.2">
      <c r="A2272">
        <v>1964</v>
      </c>
      <c r="B2272" s="1" t="s">
        <v>24</v>
      </c>
      <c r="C2272" t="s">
        <v>23</v>
      </c>
      <c r="D2272">
        <v>422000</v>
      </c>
    </row>
    <row r="2273" spans="1:4" x14ac:dyDescent="0.2">
      <c r="A2273">
        <v>1964</v>
      </c>
      <c r="B2273" s="1" t="s">
        <v>25</v>
      </c>
      <c r="C2273" t="s">
        <v>23</v>
      </c>
      <c r="D2273">
        <v>204100</v>
      </c>
    </row>
    <row r="2274" spans="1:4" x14ac:dyDescent="0.2">
      <c r="A2274">
        <v>1964</v>
      </c>
      <c r="B2274" s="1" t="s">
        <v>24</v>
      </c>
      <c r="C2274" t="s">
        <v>31</v>
      </c>
      <c r="D2274">
        <v>241600</v>
      </c>
    </row>
    <row r="2275" spans="1:4" x14ac:dyDescent="0.2">
      <c r="A2275">
        <v>1964</v>
      </c>
      <c r="B2275" s="1" t="s">
        <v>25</v>
      </c>
      <c r="C2275" t="s">
        <v>31</v>
      </c>
      <c r="D2275">
        <v>97500</v>
      </c>
    </row>
    <row r="2276" spans="1:4" x14ac:dyDescent="0.2">
      <c r="A2276">
        <v>1965</v>
      </c>
      <c r="B2276" s="1" t="s">
        <v>24</v>
      </c>
      <c r="C2276" s="1" t="s">
        <v>29</v>
      </c>
      <c r="D2276">
        <v>414200</v>
      </c>
    </row>
    <row r="2277" spans="1:4" x14ac:dyDescent="0.2">
      <c r="A2277">
        <v>1965</v>
      </c>
      <c r="B2277" s="1" t="s">
        <v>25</v>
      </c>
      <c r="C2277" s="1" t="s">
        <v>29</v>
      </c>
      <c r="D2277">
        <v>432200</v>
      </c>
    </row>
    <row r="2278" spans="1:4" x14ac:dyDescent="0.2">
      <c r="A2278">
        <v>1965</v>
      </c>
      <c r="B2278" s="1" t="s">
        <v>24</v>
      </c>
      <c r="C2278" s="2" t="s">
        <v>26</v>
      </c>
      <c r="D2278">
        <v>1591600</v>
      </c>
    </row>
    <row r="2279" spans="1:4" x14ac:dyDescent="0.2">
      <c r="A2279">
        <v>1965</v>
      </c>
      <c r="B2279" s="1" t="s">
        <v>25</v>
      </c>
      <c r="C2279" s="2" t="s">
        <v>26</v>
      </c>
      <c r="D2279">
        <v>1662600</v>
      </c>
    </row>
    <row r="2280" spans="1:4" x14ac:dyDescent="0.2">
      <c r="A2280">
        <v>1965</v>
      </c>
      <c r="B2280" s="1" t="s">
        <v>24</v>
      </c>
      <c r="C2280" s="2" t="s">
        <v>27</v>
      </c>
      <c r="D2280">
        <v>1716500</v>
      </c>
    </row>
    <row r="2281" spans="1:4" x14ac:dyDescent="0.2">
      <c r="A2281">
        <v>1965</v>
      </c>
      <c r="B2281" s="1" t="s">
        <v>25</v>
      </c>
      <c r="C2281" s="2" t="s">
        <v>27</v>
      </c>
      <c r="D2281">
        <v>1831800</v>
      </c>
    </row>
    <row r="2282" spans="1:4" x14ac:dyDescent="0.2">
      <c r="A2282">
        <v>1965</v>
      </c>
      <c r="B2282" s="1" t="s">
        <v>24</v>
      </c>
      <c r="C2282" s="3" t="s">
        <v>28</v>
      </c>
      <c r="D2282">
        <v>1601800</v>
      </c>
    </row>
    <row r="2283" spans="1:4" x14ac:dyDescent="0.2">
      <c r="A2283">
        <v>1965</v>
      </c>
      <c r="B2283" s="1" t="s">
        <v>25</v>
      </c>
      <c r="C2283" s="3" t="s">
        <v>28</v>
      </c>
      <c r="D2283">
        <v>1690400</v>
      </c>
    </row>
    <row r="2284" spans="1:4" x14ac:dyDescent="0.2">
      <c r="A2284">
        <v>1965</v>
      </c>
      <c r="B2284" s="1" t="s">
        <v>24</v>
      </c>
      <c r="C2284" t="s">
        <v>4</v>
      </c>
      <c r="D2284">
        <v>1808300</v>
      </c>
    </row>
    <row r="2285" spans="1:4" x14ac:dyDescent="0.2">
      <c r="A2285">
        <v>1965</v>
      </c>
      <c r="B2285" s="1" t="s">
        <v>25</v>
      </c>
      <c r="C2285" t="s">
        <v>4</v>
      </c>
      <c r="D2285">
        <v>1895800</v>
      </c>
    </row>
    <row r="2286" spans="1:4" x14ac:dyDescent="0.2">
      <c r="A2286">
        <v>1965</v>
      </c>
      <c r="B2286" s="1" t="s">
        <v>24</v>
      </c>
      <c r="C2286" t="s">
        <v>5</v>
      </c>
      <c r="D2286">
        <v>1559600</v>
      </c>
    </row>
    <row r="2287" spans="1:4" x14ac:dyDescent="0.2">
      <c r="A2287">
        <v>1965</v>
      </c>
      <c r="B2287" s="1" t="s">
        <v>25</v>
      </c>
      <c r="C2287" t="s">
        <v>5</v>
      </c>
      <c r="D2287">
        <v>1574100</v>
      </c>
    </row>
    <row r="2288" spans="1:4" x14ac:dyDescent="0.2">
      <c r="A2288">
        <v>1965</v>
      </c>
      <c r="B2288" s="1" t="s">
        <v>24</v>
      </c>
      <c r="C2288" t="s">
        <v>12</v>
      </c>
      <c r="D2288">
        <v>1461300</v>
      </c>
    </row>
    <row r="2289" spans="1:4" x14ac:dyDescent="0.2">
      <c r="A2289">
        <v>1965</v>
      </c>
      <c r="B2289" s="1" t="s">
        <v>25</v>
      </c>
      <c r="C2289" t="s">
        <v>12</v>
      </c>
      <c r="D2289">
        <v>1496600</v>
      </c>
    </row>
    <row r="2290" spans="1:4" x14ac:dyDescent="0.2">
      <c r="A2290">
        <v>1965</v>
      </c>
      <c r="B2290" s="1" t="s">
        <v>24</v>
      </c>
      <c r="C2290" t="s">
        <v>13</v>
      </c>
      <c r="D2290">
        <v>1408700</v>
      </c>
    </row>
    <row r="2291" spans="1:4" x14ac:dyDescent="0.2">
      <c r="A2291">
        <v>1965</v>
      </c>
      <c r="B2291" s="1" t="s">
        <v>25</v>
      </c>
      <c r="C2291" t="s">
        <v>13</v>
      </c>
      <c r="D2291">
        <v>1454500</v>
      </c>
    </row>
    <row r="2292" spans="1:4" x14ac:dyDescent="0.2">
      <c r="A2292">
        <v>1965</v>
      </c>
      <c r="B2292" s="1" t="s">
        <v>24</v>
      </c>
      <c r="C2292" t="s">
        <v>14</v>
      </c>
      <c r="D2292">
        <v>1498600</v>
      </c>
    </row>
    <row r="2293" spans="1:4" x14ac:dyDescent="0.2">
      <c r="A2293">
        <v>1965</v>
      </c>
      <c r="B2293" s="1" t="s">
        <v>25</v>
      </c>
      <c r="C2293" t="s">
        <v>14</v>
      </c>
      <c r="D2293">
        <v>1510000</v>
      </c>
    </row>
    <row r="2294" spans="1:4" x14ac:dyDescent="0.2">
      <c r="A2294">
        <v>1965</v>
      </c>
      <c r="B2294" s="1" t="s">
        <v>24</v>
      </c>
      <c r="C2294" t="s">
        <v>15</v>
      </c>
      <c r="D2294">
        <v>1655400</v>
      </c>
    </row>
    <row r="2295" spans="1:4" x14ac:dyDescent="0.2">
      <c r="A2295">
        <v>1965</v>
      </c>
      <c r="B2295" s="1" t="s">
        <v>25</v>
      </c>
      <c r="C2295" t="s">
        <v>15</v>
      </c>
      <c r="D2295">
        <v>1635500</v>
      </c>
    </row>
    <row r="2296" spans="1:4" x14ac:dyDescent="0.2">
      <c r="A2296">
        <v>1965</v>
      </c>
      <c r="B2296" s="1" t="s">
        <v>24</v>
      </c>
      <c r="C2296" t="s">
        <v>16</v>
      </c>
      <c r="D2296">
        <v>1479000</v>
      </c>
    </row>
    <row r="2297" spans="1:4" x14ac:dyDescent="0.2">
      <c r="A2297">
        <v>1965</v>
      </c>
      <c r="B2297" s="1" t="s">
        <v>25</v>
      </c>
      <c r="C2297" t="s">
        <v>16</v>
      </c>
      <c r="D2297">
        <v>1434500</v>
      </c>
    </row>
    <row r="2298" spans="1:4" x14ac:dyDescent="0.2">
      <c r="A2298">
        <v>1965</v>
      </c>
      <c r="B2298" s="1" t="s">
        <v>24</v>
      </c>
      <c r="C2298" t="s">
        <v>17</v>
      </c>
      <c r="D2298">
        <v>1629800</v>
      </c>
    </row>
    <row r="2299" spans="1:4" x14ac:dyDescent="0.2">
      <c r="A2299">
        <v>1965</v>
      </c>
      <c r="B2299" s="1" t="s">
        <v>25</v>
      </c>
      <c r="C2299" t="s">
        <v>17</v>
      </c>
      <c r="D2299">
        <v>1557500</v>
      </c>
    </row>
    <row r="2300" spans="1:4" x14ac:dyDescent="0.2">
      <c r="A2300">
        <v>1965</v>
      </c>
      <c r="B2300" s="1" t="s">
        <v>24</v>
      </c>
      <c r="C2300" t="s">
        <v>18</v>
      </c>
      <c r="D2300">
        <v>1592800</v>
      </c>
    </row>
    <row r="2301" spans="1:4" x14ac:dyDescent="0.2">
      <c r="A2301">
        <v>1965</v>
      </c>
      <c r="B2301" s="1" t="s">
        <v>25</v>
      </c>
      <c r="C2301" t="s">
        <v>18</v>
      </c>
      <c r="D2301">
        <v>1479700</v>
      </c>
    </row>
    <row r="2302" spans="1:4" x14ac:dyDescent="0.2">
      <c r="A2302">
        <v>1965</v>
      </c>
      <c r="B2302" s="1" t="s">
        <v>24</v>
      </c>
      <c r="C2302" t="s">
        <v>19</v>
      </c>
      <c r="D2302">
        <v>1456000</v>
      </c>
    </row>
    <row r="2303" spans="1:4" x14ac:dyDescent="0.2">
      <c r="A2303">
        <v>1965</v>
      </c>
      <c r="B2303" s="1" t="s">
        <v>25</v>
      </c>
      <c r="C2303" t="s">
        <v>19</v>
      </c>
      <c r="D2303">
        <v>1265200</v>
      </c>
    </row>
    <row r="2304" spans="1:4" x14ac:dyDescent="0.2">
      <c r="A2304">
        <v>1965</v>
      </c>
      <c r="B2304" s="1" t="s">
        <v>24</v>
      </c>
      <c r="C2304" t="s">
        <v>20</v>
      </c>
      <c r="D2304">
        <v>1230900</v>
      </c>
    </row>
    <row r="2305" spans="1:4" x14ac:dyDescent="0.2">
      <c r="A2305">
        <v>1965</v>
      </c>
      <c r="B2305" s="1" t="s">
        <v>25</v>
      </c>
      <c r="C2305" t="s">
        <v>20</v>
      </c>
      <c r="D2305">
        <v>891600</v>
      </c>
    </row>
    <row r="2306" spans="1:4" x14ac:dyDescent="0.2">
      <c r="A2306">
        <v>1965</v>
      </c>
      <c r="B2306" s="1" t="s">
        <v>24</v>
      </c>
      <c r="C2306" t="s">
        <v>21</v>
      </c>
      <c r="D2306">
        <v>986000</v>
      </c>
    </row>
    <row r="2307" spans="1:4" x14ac:dyDescent="0.2">
      <c r="A2307">
        <v>1965</v>
      </c>
      <c r="B2307" s="1" t="s">
        <v>25</v>
      </c>
      <c r="C2307" t="s">
        <v>21</v>
      </c>
      <c r="D2307">
        <v>625500</v>
      </c>
    </row>
    <row r="2308" spans="1:4" x14ac:dyDescent="0.2">
      <c r="A2308">
        <v>1965</v>
      </c>
      <c r="B2308" s="1" t="s">
        <v>24</v>
      </c>
      <c r="C2308" t="s">
        <v>22</v>
      </c>
      <c r="D2308">
        <v>743300</v>
      </c>
    </row>
    <row r="2309" spans="1:4" x14ac:dyDescent="0.2">
      <c r="A2309">
        <v>1965</v>
      </c>
      <c r="B2309" s="1" t="s">
        <v>25</v>
      </c>
      <c r="C2309" t="s">
        <v>22</v>
      </c>
      <c r="D2309">
        <v>407200</v>
      </c>
    </row>
    <row r="2310" spans="1:4" x14ac:dyDescent="0.2">
      <c r="A2310">
        <v>1965</v>
      </c>
      <c r="B2310" s="1" t="s">
        <v>24</v>
      </c>
      <c r="C2310" t="s">
        <v>23</v>
      </c>
      <c r="D2310">
        <v>433600</v>
      </c>
    </row>
    <row r="2311" spans="1:4" x14ac:dyDescent="0.2">
      <c r="A2311">
        <v>1965</v>
      </c>
      <c r="B2311" s="1" t="s">
        <v>25</v>
      </c>
      <c r="C2311" t="s">
        <v>23</v>
      </c>
      <c r="D2311">
        <v>206300</v>
      </c>
    </row>
    <row r="2312" spans="1:4" x14ac:dyDescent="0.2">
      <c r="A2312">
        <v>1965</v>
      </c>
      <c r="B2312" s="1" t="s">
        <v>24</v>
      </c>
      <c r="C2312" t="s">
        <v>31</v>
      </c>
      <c r="D2312">
        <v>253200</v>
      </c>
    </row>
    <row r="2313" spans="1:4" x14ac:dyDescent="0.2">
      <c r="A2313">
        <v>1965</v>
      </c>
      <c r="B2313" s="1" t="s">
        <v>25</v>
      </c>
      <c r="C2313" t="s">
        <v>31</v>
      </c>
      <c r="D2313">
        <v>99600</v>
      </c>
    </row>
    <row r="2314" spans="1:4" x14ac:dyDescent="0.2">
      <c r="A2314">
        <v>1966</v>
      </c>
      <c r="B2314" s="1" t="s">
        <v>24</v>
      </c>
      <c r="C2314" s="1" t="s">
        <v>29</v>
      </c>
      <c r="D2314">
        <v>408700</v>
      </c>
    </row>
    <row r="2315" spans="1:4" x14ac:dyDescent="0.2">
      <c r="A2315">
        <v>1966</v>
      </c>
      <c r="B2315" s="1" t="s">
        <v>25</v>
      </c>
      <c r="C2315" s="1" t="s">
        <v>29</v>
      </c>
      <c r="D2315">
        <v>426600</v>
      </c>
    </row>
    <row r="2316" spans="1:4" x14ac:dyDescent="0.2">
      <c r="A2316">
        <v>1966</v>
      </c>
      <c r="B2316" s="1" t="s">
        <v>24</v>
      </c>
      <c r="C2316" s="2" t="s">
        <v>26</v>
      </c>
      <c r="D2316">
        <v>1620800</v>
      </c>
    </row>
    <row r="2317" spans="1:4" x14ac:dyDescent="0.2">
      <c r="A2317">
        <v>1966</v>
      </c>
      <c r="B2317" s="1" t="s">
        <v>25</v>
      </c>
      <c r="C2317" s="2" t="s">
        <v>26</v>
      </c>
      <c r="D2317">
        <v>1695300</v>
      </c>
    </row>
    <row r="2318" spans="1:4" x14ac:dyDescent="0.2">
      <c r="A2318">
        <v>1966</v>
      </c>
      <c r="B2318" s="1" t="s">
        <v>24</v>
      </c>
      <c r="C2318" s="2" t="s">
        <v>27</v>
      </c>
      <c r="D2318">
        <v>1769000</v>
      </c>
    </row>
    <row r="2319" spans="1:4" x14ac:dyDescent="0.2">
      <c r="A2319">
        <v>1966</v>
      </c>
      <c r="B2319" s="1" t="s">
        <v>25</v>
      </c>
      <c r="C2319" s="2" t="s">
        <v>27</v>
      </c>
      <c r="D2319">
        <v>1878500</v>
      </c>
    </row>
    <row r="2320" spans="1:4" x14ac:dyDescent="0.2">
      <c r="A2320">
        <v>1966</v>
      </c>
      <c r="B2320" s="1" t="s">
        <v>24</v>
      </c>
      <c r="C2320" s="3" t="s">
        <v>28</v>
      </c>
      <c r="D2320">
        <v>1593900</v>
      </c>
    </row>
    <row r="2321" spans="1:4" x14ac:dyDescent="0.2">
      <c r="A2321">
        <v>1966</v>
      </c>
      <c r="B2321" s="1" t="s">
        <v>25</v>
      </c>
      <c r="C2321" s="3" t="s">
        <v>28</v>
      </c>
      <c r="D2321">
        <v>1687800</v>
      </c>
    </row>
    <row r="2322" spans="1:4" x14ac:dyDescent="0.2">
      <c r="A2322">
        <v>1966</v>
      </c>
      <c r="B2322" s="1" t="s">
        <v>24</v>
      </c>
      <c r="C2322" t="s">
        <v>4</v>
      </c>
      <c r="D2322">
        <v>1819000</v>
      </c>
    </row>
    <row r="2323" spans="1:4" x14ac:dyDescent="0.2">
      <c r="A2323">
        <v>1966</v>
      </c>
      <c r="B2323" s="1" t="s">
        <v>25</v>
      </c>
      <c r="C2323" t="s">
        <v>4</v>
      </c>
      <c r="D2323">
        <v>1882300</v>
      </c>
    </row>
    <row r="2324" spans="1:4" x14ac:dyDescent="0.2">
      <c r="A2324">
        <v>1966</v>
      </c>
      <c r="B2324" s="1" t="s">
        <v>24</v>
      </c>
      <c r="C2324" t="s">
        <v>5</v>
      </c>
      <c r="D2324">
        <v>1624100</v>
      </c>
    </row>
    <row r="2325" spans="1:4" x14ac:dyDescent="0.2">
      <c r="A2325">
        <v>1966</v>
      </c>
      <c r="B2325" s="1" t="s">
        <v>25</v>
      </c>
      <c r="C2325" t="s">
        <v>5</v>
      </c>
      <c r="D2325">
        <v>1647200</v>
      </c>
    </row>
    <row r="2326" spans="1:4" x14ac:dyDescent="0.2">
      <c r="A2326">
        <v>1966</v>
      </c>
      <c r="B2326" s="1" t="s">
        <v>24</v>
      </c>
      <c r="C2326" t="s">
        <v>12</v>
      </c>
      <c r="D2326">
        <v>1458500</v>
      </c>
    </row>
    <row r="2327" spans="1:4" x14ac:dyDescent="0.2">
      <c r="A2327">
        <v>1966</v>
      </c>
      <c r="B2327" s="1" t="s">
        <v>25</v>
      </c>
      <c r="C2327" t="s">
        <v>12</v>
      </c>
      <c r="D2327">
        <v>1498100</v>
      </c>
    </row>
    <row r="2328" spans="1:4" x14ac:dyDescent="0.2">
      <c r="A2328">
        <v>1966</v>
      </c>
      <c r="B2328" s="1" t="s">
        <v>24</v>
      </c>
      <c r="C2328" t="s">
        <v>13</v>
      </c>
      <c r="D2328">
        <v>1402400</v>
      </c>
    </row>
    <row r="2329" spans="1:4" x14ac:dyDescent="0.2">
      <c r="A2329">
        <v>1966</v>
      </c>
      <c r="B2329" s="1" t="s">
        <v>25</v>
      </c>
      <c r="C2329" t="s">
        <v>13</v>
      </c>
      <c r="D2329">
        <v>1463500</v>
      </c>
    </row>
    <row r="2330" spans="1:4" x14ac:dyDescent="0.2">
      <c r="A2330">
        <v>1966</v>
      </c>
      <c r="B2330" s="1" t="s">
        <v>24</v>
      </c>
      <c r="C2330" t="s">
        <v>14</v>
      </c>
      <c r="D2330">
        <v>1479100</v>
      </c>
    </row>
    <row r="2331" spans="1:4" x14ac:dyDescent="0.2">
      <c r="A2331">
        <v>1966</v>
      </c>
      <c r="B2331" s="1" t="s">
        <v>25</v>
      </c>
      <c r="C2331" t="s">
        <v>14</v>
      </c>
      <c r="D2331">
        <v>1501500</v>
      </c>
    </row>
    <row r="2332" spans="1:4" x14ac:dyDescent="0.2">
      <c r="A2332">
        <v>1966</v>
      </c>
      <c r="B2332" s="1" t="s">
        <v>24</v>
      </c>
      <c r="C2332" t="s">
        <v>15</v>
      </c>
      <c r="D2332">
        <v>1602200</v>
      </c>
    </row>
    <row r="2333" spans="1:4" x14ac:dyDescent="0.2">
      <c r="A2333">
        <v>1966</v>
      </c>
      <c r="B2333" s="1" t="s">
        <v>25</v>
      </c>
      <c r="C2333" t="s">
        <v>15</v>
      </c>
      <c r="D2333">
        <v>1590600</v>
      </c>
    </row>
    <row r="2334" spans="1:4" x14ac:dyDescent="0.2">
      <c r="A2334">
        <v>1966</v>
      </c>
      <c r="B2334" s="1" t="s">
        <v>24</v>
      </c>
      <c r="C2334" t="s">
        <v>16</v>
      </c>
      <c r="D2334">
        <v>1531100</v>
      </c>
    </row>
    <row r="2335" spans="1:4" x14ac:dyDescent="0.2">
      <c r="A2335">
        <v>1966</v>
      </c>
      <c r="B2335" s="1" t="s">
        <v>25</v>
      </c>
      <c r="C2335" t="s">
        <v>16</v>
      </c>
      <c r="D2335">
        <v>1494800</v>
      </c>
    </row>
    <row r="2336" spans="1:4" x14ac:dyDescent="0.2">
      <c r="A2336">
        <v>1966</v>
      </c>
      <c r="B2336" s="1" t="s">
        <v>24</v>
      </c>
      <c r="C2336" t="s">
        <v>17</v>
      </c>
      <c r="D2336">
        <v>1602600</v>
      </c>
    </row>
    <row r="2337" spans="1:4" x14ac:dyDescent="0.2">
      <c r="A2337">
        <v>1966</v>
      </c>
      <c r="B2337" s="1" t="s">
        <v>25</v>
      </c>
      <c r="C2337" t="s">
        <v>17</v>
      </c>
      <c r="D2337">
        <v>1523500</v>
      </c>
    </row>
    <row r="2338" spans="1:4" x14ac:dyDescent="0.2">
      <c r="A2338">
        <v>1966</v>
      </c>
      <c r="B2338" s="1" t="s">
        <v>24</v>
      </c>
      <c r="C2338" t="s">
        <v>18</v>
      </c>
      <c r="D2338">
        <v>1594600</v>
      </c>
    </row>
    <row r="2339" spans="1:4" x14ac:dyDescent="0.2">
      <c r="A2339">
        <v>1966</v>
      </c>
      <c r="B2339" s="1" t="s">
        <v>25</v>
      </c>
      <c r="C2339" t="s">
        <v>18</v>
      </c>
      <c r="D2339">
        <v>1479600</v>
      </c>
    </row>
    <row r="2340" spans="1:4" x14ac:dyDescent="0.2">
      <c r="A2340">
        <v>1966</v>
      </c>
      <c r="B2340" s="1" t="s">
        <v>24</v>
      </c>
      <c r="C2340" t="s">
        <v>19</v>
      </c>
      <c r="D2340">
        <v>1464300</v>
      </c>
    </row>
    <row r="2341" spans="1:4" x14ac:dyDescent="0.2">
      <c r="A2341">
        <v>1966</v>
      </c>
      <c r="B2341" s="1" t="s">
        <v>25</v>
      </c>
      <c r="C2341" t="s">
        <v>19</v>
      </c>
      <c r="D2341">
        <v>1273600</v>
      </c>
    </row>
    <row r="2342" spans="1:4" x14ac:dyDescent="0.2">
      <c r="A2342">
        <v>1966</v>
      </c>
      <c r="B2342" s="1" t="s">
        <v>24</v>
      </c>
      <c r="C2342" t="s">
        <v>20</v>
      </c>
      <c r="D2342">
        <v>1251000</v>
      </c>
    </row>
    <row r="2343" spans="1:4" x14ac:dyDescent="0.2">
      <c r="A2343">
        <v>1966</v>
      </c>
      <c r="B2343" s="1" t="s">
        <v>25</v>
      </c>
      <c r="C2343" t="s">
        <v>20</v>
      </c>
      <c r="D2343">
        <v>922200</v>
      </c>
    </row>
    <row r="2344" spans="1:4" x14ac:dyDescent="0.2">
      <c r="A2344">
        <v>1966</v>
      </c>
      <c r="B2344" s="1" t="s">
        <v>24</v>
      </c>
      <c r="C2344" t="s">
        <v>21</v>
      </c>
      <c r="D2344">
        <v>1001300</v>
      </c>
    </row>
    <row r="2345" spans="1:4" x14ac:dyDescent="0.2">
      <c r="A2345">
        <v>1966</v>
      </c>
      <c r="B2345" s="1" t="s">
        <v>25</v>
      </c>
      <c r="C2345" t="s">
        <v>21</v>
      </c>
      <c r="D2345">
        <v>624300</v>
      </c>
    </row>
    <row r="2346" spans="1:4" x14ac:dyDescent="0.2">
      <c r="A2346">
        <v>1966</v>
      </c>
      <c r="B2346" s="1" t="s">
        <v>24</v>
      </c>
      <c r="C2346" t="s">
        <v>22</v>
      </c>
      <c r="D2346">
        <v>734400</v>
      </c>
    </row>
    <row r="2347" spans="1:4" x14ac:dyDescent="0.2">
      <c r="A2347">
        <v>1966</v>
      </c>
      <c r="B2347" s="1" t="s">
        <v>25</v>
      </c>
      <c r="C2347" t="s">
        <v>22</v>
      </c>
      <c r="D2347">
        <v>394800</v>
      </c>
    </row>
    <row r="2348" spans="1:4" x14ac:dyDescent="0.2">
      <c r="A2348">
        <v>1966</v>
      </c>
      <c r="B2348" s="1" t="s">
        <v>24</v>
      </c>
      <c r="C2348" t="s">
        <v>23</v>
      </c>
      <c r="D2348">
        <v>453000</v>
      </c>
    </row>
    <row r="2349" spans="1:4" x14ac:dyDescent="0.2">
      <c r="A2349">
        <v>1966</v>
      </c>
      <c r="B2349" s="1" t="s">
        <v>25</v>
      </c>
      <c r="C2349" t="s">
        <v>23</v>
      </c>
      <c r="D2349">
        <v>212200</v>
      </c>
    </row>
    <row r="2350" spans="1:4" x14ac:dyDescent="0.2">
      <c r="A2350">
        <v>1966</v>
      </c>
      <c r="B2350" s="1" t="s">
        <v>24</v>
      </c>
      <c r="C2350" t="s">
        <v>31</v>
      </c>
      <c r="D2350">
        <v>260700</v>
      </c>
    </row>
    <row r="2351" spans="1:4" x14ac:dyDescent="0.2">
      <c r="A2351">
        <v>1966</v>
      </c>
      <c r="B2351" s="1" t="s">
        <v>25</v>
      </c>
      <c r="C2351" t="s">
        <v>31</v>
      </c>
      <c r="D2351">
        <v>99400</v>
      </c>
    </row>
    <row r="2352" spans="1:4" x14ac:dyDescent="0.2">
      <c r="A2352">
        <v>1967</v>
      </c>
      <c r="B2352" s="1" t="s">
        <v>24</v>
      </c>
      <c r="C2352" s="1" t="s">
        <v>29</v>
      </c>
      <c r="D2352">
        <v>402800</v>
      </c>
    </row>
    <row r="2353" spans="1:4" x14ac:dyDescent="0.2">
      <c r="A2353">
        <v>1967</v>
      </c>
      <c r="B2353" s="1" t="s">
        <v>25</v>
      </c>
      <c r="C2353" s="1" t="s">
        <v>29</v>
      </c>
      <c r="D2353">
        <v>421100</v>
      </c>
    </row>
    <row r="2354" spans="1:4" x14ac:dyDescent="0.2">
      <c r="A2354">
        <v>1967</v>
      </c>
      <c r="B2354" s="1" t="s">
        <v>24</v>
      </c>
      <c r="C2354" s="2" t="s">
        <v>26</v>
      </c>
      <c r="D2354">
        <v>1633200</v>
      </c>
    </row>
    <row r="2355" spans="1:4" x14ac:dyDescent="0.2">
      <c r="A2355">
        <v>1967</v>
      </c>
      <c r="B2355" s="1" t="s">
        <v>25</v>
      </c>
      <c r="C2355" s="2" t="s">
        <v>26</v>
      </c>
      <c r="D2355">
        <v>1706000</v>
      </c>
    </row>
    <row r="2356" spans="1:4" x14ac:dyDescent="0.2">
      <c r="A2356">
        <v>1967</v>
      </c>
      <c r="B2356" s="1" t="s">
        <v>24</v>
      </c>
      <c r="C2356" s="2" t="s">
        <v>27</v>
      </c>
      <c r="D2356">
        <v>1827700</v>
      </c>
    </row>
    <row r="2357" spans="1:4" x14ac:dyDescent="0.2">
      <c r="A2357">
        <v>1967</v>
      </c>
      <c r="B2357" s="1" t="s">
        <v>25</v>
      </c>
      <c r="C2357" s="2" t="s">
        <v>27</v>
      </c>
      <c r="D2357">
        <v>1927300</v>
      </c>
    </row>
    <row r="2358" spans="1:4" x14ac:dyDescent="0.2">
      <c r="A2358">
        <v>1967</v>
      </c>
      <c r="B2358" s="1" t="s">
        <v>24</v>
      </c>
      <c r="C2358" s="3" t="s">
        <v>28</v>
      </c>
      <c r="D2358">
        <v>1604000</v>
      </c>
    </row>
    <row r="2359" spans="1:4" x14ac:dyDescent="0.2">
      <c r="A2359">
        <v>1967</v>
      </c>
      <c r="B2359" s="1" t="s">
        <v>25</v>
      </c>
      <c r="C2359" s="3" t="s">
        <v>28</v>
      </c>
      <c r="D2359">
        <v>1707500</v>
      </c>
    </row>
    <row r="2360" spans="1:4" x14ac:dyDescent="0.2">
      <c r="A2360">
        <v>1967</v>
      </c>
      <c r="B2360" s="1" t="s">
        <v>24</v>
      </c>
      <c r="C2360" t="s">
        <v>4</v>
      </c>
      <c r="D2360">
        <v>1729900</v>
      </c>
    </row>
    <row r="2361" spans="1:4" x14ac:dyDescent="0.2">
      <c r="A2361">
        <v>1967</v>
      </c>
      <c r="B2361" s="1" t="s">
        <v>25</v>
      </c>
      <c r="C2361" t="s">
        <v>4</v>
      </c>
      <c r="D2361">
        <v>1796200</v>
      </c>
    </row>
    <row r="2362" spans="1:4" x14ac:dyDescent="0.2">
      <c r="A2362">
        <v>1967</v>
      </c>
      <c r="B2362" s="1" t="s">
        <v>24</v>
      </c>
      <c r="C2362" t="s">
        <v>5</v>
      </c>
      <c r="D2362">
        <v>1751400</v>
      </c>
    </row>
    <row r="2363" spans="1:4" x14ac:dyDescent="0.2">
      <c r="A2363">
        <v>1967</v>
      </c>
      <c r="B2363" s="1" t="s">
        <v>25</v>
      </c>
      <c r="C2363" t="s">
        <v>5</v>
      </c>
      <c r="D2363">
        <v>1779700</v>
      </c>
    </row>
    <row r="2364" spans="1:4" x14ac:dyDescent="0.2">
      <c r="A2364">
        <v>1967</v>
      </c>
      <c r="B2364" s="1" t="s">
        <v>24</v>
      </c>
      <c r="C2364" t="s">
        <v>12</v>
      </c>
      <c r="D2364">
        <v>1461900</v>
      </c>
    </row>
    <row r="2365" spans="1:4" x14ac:dyDescent="0.2">
      <c r="A2365">
        <v>1967</v>
      </c>
      <c r="B2365" s="1" t="s">
        <v>25</v>
      </c>
      <c r="C2365" t="s">
        <v>12</v>
      </c>
      <c r="D2365">
        <v>1499500</v>
      </c>
    </row>
    <row r="2366" spans="1:4" x14ac:dyDescent="0.2">
      <c r="A2366">
        <v>1967</v>
      </c>
      <c r="B2366" s="1" t="s">
        <v>24</v>
      </c>
      <c r="C2366" t="s">
        <v>13</v>
      </c>
      <c r="D2366">
        <v>1401300</v>
      </c>
    </row>
    <row r="2367" spans="1:4" x14ac:dyDescent="0.2">
      <c r="A2367">
        <v>1967</v>
      </c>
      <c r="B2367" s="1" t="s">
        <v>25</v>
      </c>
      <c r="C2367" t="s">
        <v>13</v>
      </c>
      <c r="D2367">
        <v>1462400</v>
      </c>
    </row>
    <row r="2368" spans="1:4" x14ac:dyDescent="0.2">
      <c r="A2368">
        <v>1967</v>
      </c>
      <c r="B2368" s="1" t="s">
        <v>24</v>
      </c>
      <c r="C2368" t="s">
        <v>14</v>
      </c>
      <c r="D2368">
        <v>1459300</v>
      </c>
    </row>
    <row r="2369" spans="1:4" x14ac:dyDescent="0.2">
      <c r="A2369">
        <v>1967</v>
      </c>
      <c r="B2369" s="1" t="s">
        <v>25</v>
      </c>
      <c r="C2369" t="s">
        <v>14</v>
      </c>
      <c r="D2369">
        <v>1489600</v>
      </c>
    </row>
    <row r="2370" spans="1:4" x14ac:dyDescent="0.2">
      <c r="A2370">
        <v>1967</v>
      </c>
      <c r="B2370" s="1" t="s">
        <v>24</v>
      </c>
      <c r="C2370" t="s">
        <v>15</v>
      </c>
      <c r="D2370">
        <v>1559000</v>
      </c>
    </row>
    <row r="2371" spans="1:4" x14ac:dyDescent="0.2">
      <c r="A2371">
        <v>1967</v>
      </c>
      <c r="B2371" s="1" t="s">
        <v>25</v>
      </c>
      <c r="C2371" t="s">
        <v>15</v>
      </c>
      <c r="D2371">
        <v>1551600</v>
      </c>
    </row>
    <row r="2372" spans="1:4" x14ac:dyDescent="0.2">
      <c r="A2372">
        <v>1967</v>
      </c>
      <c r="B2372" s="1" t="s">
        <v>24</v>
      </c>
      <c r="C2372" t="s">
        <v>16</v>
      </c>
      <c r="D2372">
        <v>1587100</v>
      </c>
    </row>
    <row r="2373" spans="1:4" x14ac:dyDescent="0.2">
      <c r="A2373">
        <v>1967</v>
      </c>
      <c r="B2373" s="1" t="s">
        <v>25</v>
      </c>
      <c r="C2373" t="s">
        <v>16</v>
      </c>
      <c r="D2373">
        <v>1546800</v>
      </c>
    </row>
    <row r="2374" spans="1:4" x14ac:dyDescent="0.2">
      <c r="A2374">
        <v>1967</v>
      </c>
      <c r="B2374" s="1" t="s">
        <v>24</v>
      </c>
      <c r="C2374" t="s">
        <v>17</v>
      </c>
      <c r="D2374">
        <v>1557100</v>
      </c>
    </row>
    <row r="2375" spans="1:4" x14ac:dyDescent="0.2">
      <c r="A2375">
        <v>1967</v>
      </c>
      <c r="B2375" s="1" t="s">
        <v>25</v>
      </c>
      <c r="C2375" t="s">
        <v>17</v>
      </c>
      <c r="D2375">
        <v>1478500</v>
      </c>
    </row>
    <row r="2376" spans="1:4" x14ac:dyDescent="0.2">
      <c r="A2376">
        <v>1967</v>
      </c>
      <c r="B2376" s="1" t="s">
        <v>24</v>
      </c>
      <c r="C2376" t="s">
        <v>18</v>
      </c>
      <c r="D2376">
        <v>1591100</v>
      </c>
    </row>
    <row r="2377" spans="1:4" x14ac:dyDescent="0.2">
      <c r="A2377">
        <v>1967</v>
      </c>
      <c r="B2377" s="1" t="s">
        <v>25</v>
      </c>
      <c r="C2377" t="s">
        <v>18</v>
      </c>
      <c r="D2377">
        <v>1476900</v>
      </c>
    </row>
    <row r="2378" spans="1:4" x14ac:dyDescent="0.2">
      <c r="A2378">
        <v>1967</v>
      </c>
      <c r="B2378" s="1" t="s">
        <v>24</v>
      </c>
      <c r="C2378" t="s">
        <v>19</v>
      </c>
      <c r="D2378">
        <v>1479600</v>
      </c>
    </row>
    <row r="2379" spans="1:4" x14ac:dyDescent="0.2">
      <c r="A2379">
        <v>1967</v>
      </c>
      <c r="B2379" s="1" t="s">
        <v>25</v>
      </c>
      <c r="C2379" t="s">
        <v>19</v>
      </c>
      <c r="D2379">
        <v>1292100</v>
      </c>
    </row>
    <row r="2380" spans="1:4" x14ac:dyDescent="0.2">
      <c r="A2380">
        <v>1967</v>
      </c>
      <c r="B2380" s="1" t="s">
        <v>24</v>
      </c>
      <c r="C2380" t="s">
        <v>20</v>
      </c>
      <c r="D2380">
        <v>1271100</v>
      </c>
    </row>
    <row r="2381" spans="1:4" x14ac:dyDescent="0.2">
      <c r="A2381">
        <v>1967</v>
      </c>
      <c r="B2381" s="1" t="s">
        <v>25</v>
      </c>
      <c r="C2381" t="s">
        <v>20</v>
      </c>
      <c r="D2381">
        <v>961100</v>
      </c>
    </row>
    <row r="2382" spans="1:4" x14ac:dyDescent="0.2">
      <c r="A2382">
        <v>1967</v>
      </c>
      <c r="B2382" s="1" t="s">
        <v>24</v>
      </c>
      <c r="C2382" t="s">
        <v>21</v>
      </c>
      <c r="D2382">
        <v>1017300</v>
      </c>
    </row>
    <row r="2383" spans="1:4" x14ac:dyDescent="0.2">
      <c r="A2383">
        <v>1967</v>
      </c>
      <c r="B2383" s="1" t="s">
        <v>25</v>
      </c>
      <c r="C2383" t="s">
        <v>21</v>
      </c>
      <c r="D2383">
        <v>633500</v>
      </c>
    </row>
    <row r="2384" spans="1:4" x14ac:dyDescent="0.2">
      <c r="A2384">
        <v>1967</v>
      </c>
      <c r="B2384" s="1" t="s">
        <v>24</v>
      </c>
      <c r="C2384" t="s">
        <v>22</v>
      </c>
      <c r="D2384">
        <v>746900</v>
      </c>
    </row>
    <row r="2385" spans="1:4" x14ac:dyDescent="0.2">
      <c r="A2385">
        <v>1967</v>
      </c>
      <c r="B2385" s="1" t="s">
        <v>25</v>
      </c>
      <c r="C2385" t="s">
        <v>22</v>
      </c>
      <c r="D2385">
        <v>403600</v>
      </c>
    </row>
    <row r="2386" spans="1:4" x14ac:dyDescent="0.2">
      <c r="A2386">
        <v>1967</v>
      </c>
      <c r="B2386" s="1" t="s">
        <v>24</v>
      </c>
      <c r="C2386" t="s">
        <v>23</v>
      </c>
      <c r="D2386">
        <v>467300</v>
      </c>
    </row>
    <row r="2387" spans="1:4" x14ac:dyDescent="0.2">
      <c r="A2387">
        <v>1967</v>
      </c>
      <c r="B2387" s="1" t="s">
        <v>25</v>
      </c>
      <c r="C2387" t="s">
        <v>23</v>
      </c>
      <c r="D2387">
        <v>216000</v>
      </c>
    </row>
    <row r="2388" spans="1:4" x14ac:dyDescent="0.2">
      <c r="A2388">
        <v>1967</v>
      </c>
      <c r="B2388" s="1" t="s">
        <v>24</v>
      </c>
      <c r="C2388" t="s">
        <v>31</v>
      </c>
      <c r="D2388">
        <v>272700</v>
      </c>
    </row>
    <row r="2389" spans="1:4" x14ac:dyDescent="0.2">
      <c r="A2389">
        <v>1967</v>
      </c>
      <c r="B2389" s="1" t="s">
        <v>25</v>
      </c>
      <c r="C2389" t="s">
        <v>31</v>
      </c>
      <c r="D2389">
        <v>102000</v>
      </c>
    </row>
    <row r="2390" spans="1:4" x14ac:dyDescent="0.2">
      <c r="A2390">
        <v>1968</v>
      </c>
      <c r="B2390" s="1" t="s">
        <v>24</v>
      </c>
      <c r="C2390" s="1" t="s">
        <v>29</v>
      </c>
      <c r="D2390">
        <v>393400</v>
      </c>
    </row>
    <row r="2391" spans="1:4" x14ac:dyDescent="0.2">
      <c r="A2391">
        <v>1968</v>
      </c>
      <c r="B2391" s="1" t="s">
        <v>25</v>
      </c>
      <c r="C2391" s="1" t="s">
        <v>29</v>
      </c>
      <c r="D2391">
        <v>407100</v>
      </c>
    </row>
    <row r="2392" spans="1:4" x14ac:dyDescent="0.2">
      <c r="A2392">
        <v>1968</v>
      </c>
      <c r="B2392" s="1" t="s">
        <v>24</v>
      </c>
      <c r="C2392" s="2" t="s">
        <v>26</v>
      </c>
      <c r="D2392">
        <v>1641600</v>
      </c>
    </row>
    <row r="2393" spans="1:4" x14ac:dyDescent="0.2">
      <c r="A2393">
        <v>1968</v>
      </c>
      <c r="B2393" s="1" t="s">
        <v>25</v>
      </c>
      <c r="C2393" s="2" t="s">
        <v>26</v>
      </c>
      <c r="D2393">
        <v>1707300</v>
      </c>
    </row>
    <row r="2394" spans="1:4" x14ac:dyDescent="0.2">
      <c r="A2394">
        <v>1968</v>
      </c>
      <c r="B2394" s="1" t="s">
        <v>24</v>
      </c>
      <c r="C2394" s="2" t="s">
        <v>27</v>
      </c>
      <c r="D2394">
        <v>1887200</v>
      </c>
    </row>
    <row r="2395" spans="1:4" x14ac:dyDescent="0.2">
      <c r="A2395">
        <v>1968</v>
      </c>
      <c r="B2395" s="1" t="s">
        <v>25</v>
      </c>
      <c r="C2395" s="2" t="s">
        <v>27</v>
      </c>
      <c r="D2395">
        <v>1979000</v>
      </c>
    </row>
    <row r="2396" spans="1:4" x14ac:dyDescent="0.2">
      <c r="A2396">
        <v>1968</v>
      </c>
      <c r="B2396" s="1" t="s">
        <v>24</v>
      </c>
      <c r="C2396" s="3" t="s">
        <v>28</v>
      </c>
      <c r="D2396">
        <v>1632800</v>
      </c>
    </row>
    <row r="2397" spans="1:4" x14ac:dyDescent="0.2">
      <c r="A2397">
        <v>1968</v>
      </c>
      <c r="B2397" s="1" t="s">
        <v>25</v>
      </c>
      <c r="C2397" s="3" t="s">
        <v>28</v>
      </c>
      <c r="D2397">
        <v>1744300</v>
      </c>
    </row>
    <row r="2398" spans="1:4" x14ac:dyDescent="0.2">
      <c r="A2398">
        <v>1968</v>
      </c>
      <c r="B2398" s="1" t="s">
        <v>24</v>
      </c>
      <c r="C2398" t="s">
        <v>4</v>
      </c>
      <c r="D2398">
        <v>1674200</v>
      </c>
    </row>
    <row r="2399" spans="1:4" x14ac:dyDescent="0.2">
      <c r="A2399">
        <v>1968</v>
      </c>
      <c r="B2399" s="1" t="s">
        <v>25</v>
      </c>
      <c r="C2399" t="s">
        <v>4</v>
      </c>
      <c r="D2399">
        <v>1740100</v>
      </c>
    </row>
    <row r="2400" spans="1:4" x14ac:dyDescent="0.2">
      <c r="A2400">
        <v>1968</v>
      </c>
      <c r="B2400" s="1" t="s">
        <v>24</v>
      </c>
      <c r="C2400" t="s">
        <v>5</v>
      </c>
      <c r="D2400">
        <v>1823100</v>
      </c>
    </row>
    <row r="2401" spans="1:4" x14ac:dyDescent="0.2">
      <c r="A2401">
        <v>1968</v>
      </c>
      <c r="B2401" s="1" t="s">
        <v>25</v>
      </c>
      <c r="C2401" t="s">
        <v>5</v>
      </c>
      <c r="D2401">
        <v>1844800</v>
      </c>
    </row>
    <row r="2402" spans="1:4" x14ac:dyDescent="0.2">
      <c r="A2402">
        <v>1968</v>
      </c>
      <c r="B2402" s="1" t="s">
        <v>24</v>
      </c>
      <c r="C2402" t="s">
        <v>12</v>
      </c>
      <c r="D2402">
        <v>1481900</v>
      </c>
    </row>
    <row r="2403" spans="1:4" x14ac:dyDescent="0.2">
      <c r="A2403">
        <v>1968</v>
      </c>
      <c r="B2403" s="1" t="s">
        <v>25</v>
      </c>
      <c r="C2403" t="s">
        <v>12</v>
      </c>
      <c r="D2403">
        <v>1518700</v>
      </c>
    </row>
    <row r="2404" spans="1:4" x14ac:dyDescent="0.2">
      <c r="A2404">
        <v>1968</v>
      </c>
      <c r="B2404" s="1" t="s">
        <v>24</v>
      </c>
      <c r="C2404" t="s">
        <v>13</v>
      </c>
      <c r="D2404">
        <v>1408500</v>
      </c>
    </row>
    <row r="2405" spans="1:4" x14ac:dyDescent="0.2">
      <c r="A2405">
        <v>1968</v>
      </c>
      <c r="B2405" s="1" t="s">
        <v>25</v>
      </c>
      <c r="C2405" t="s">
        <v>13</v>
      </c>
      <c r="D2405">
        <v>1469100</v>
      </c>
    </row>
    <row r="2406" spans="1:4" x14ac:dyDescent="0.2">
      <c r="A2406">
        <v>1968</v>
      </c>
      <c r="B2406" s="1" t="s">
        <v>24</v>
      </c>
      <c r="C2406" t="s">
        <v>14</v>
      </c>
      <c r="D2406">
        <v>1440400</v>
      </c>
    </row>
    <row r="2407" spans="1:4" x14ac:dyDescent="0.2">
      <c r="A2407">
        <v>1968</v>
      </c>
      <c r="B2407" s="1" t="s">
        <v>25</v>
      </c>
      <c r="C2407" t="s">
        <v>14</v>
      </c>
      <c r="D2407">
        <v>1469200</v>
      </c>
    </row>
    <row r="2408" spans="1:4" x14ac:dyDescent="0.2">
      <c r="A2408">
        <v>1968</v>
      </c>
      <c r="B2408" s="1" t="s">
        <v>24</v>
      </c>
      <c r="C2408" t="s">
        <v>15</v>
      </c>
      <c r="D2408">
        <v>1527100</v>
      </c>
    </row>
    <row r="2409" spans="1:4" x14ac:dyDescent="0.2">
      <c r="A2409">
        <v>1968</v>
      </c>
      <c r="B2409" s="1" t="s">
        <v>25</v>
      </c>
      <c r="C2409" t="s">
        <v>15</v>
      </c>
      <c r="D2409">
        <v>1523200</v>
      </c>
    </row>
    <row r="2410" spans="1:4" x14ac:dyDescent="0.2">
      <c r="A2410">
        <v>1968</v>
      </c>
      <c r="B2410" s="1" t="s">
        <v>24</v>
      </c>
      <c r="C2410" t="s">
        <v>16</v>
      </c>
      <c r="D2410">
        <v>1649100</v>
      </c>
    </row>
    <row r="2411" spans="1:4" x14ac:dyDescent="0.2">
      <c r="A2411">
        <v>1968</v>
      </c>
      <c r="B2411" s="1" t="s">
        <v>25</v>
      </c>
      <c r="C2411" t="s">
        <v>16</v>
      </c>
      <c r="D2411">
        <v>1605300</v>
      </c>
    </row>
    <row r="2412" spans="1:4" x14ac:dyDescent="0.2">
      <c r="A2412">
        <v>1968</v>
      </c>
      <c r="B2412" s="1" t="s">
        <v>24</v>
      </c>
      <c r="C2412" t="s">
        <v>17</v>
      </c>
      <c r="D2412">
        <v>1474200</v>
      </c>
    </row>
    <row r="2413" spans="1:4" x14ac:dyDescent="0.2">
      <c r="A2413">
        <v>1968</v>
      </c>
      <c r="B2413" s="1" t="s">
        <v>25</v>
      </c>
      <c r="C2413" t="s">
        <v>17</v>
      </c>
      <c r="D2413">
        <v>1400500</v>
      </c>
    </row>
    <row r="2414" spans="1:4" x14ac:dyDescent="0.2">
      <c r="A2414">
        <v>1968</v>
      </c>
      <c r="B2414" s="1" t="s">
        <v>24</v>
      </c>
      <c r="C2414" t="s">
        <v>18</v>
      </c>
      <c r="D2414">
        <v>1586500</v>
      </c>
    </row>
    <row r="2415" spans="1:4" x14ac:dyDescent="0.2">
      <c r="A2415">
        <v>1968</v>
      </c>
      <c r="B2415" s="1" t="s">
        <v>25</v>
      </c>
      <c r="C2415" t="s">
        <v>18</v>
      </c>
      <c r="D2415">
        <v>1473000</v>
      </c>
    </row>
    <row r="2416" spans="1:4" x14ac:dyDescent="0.2">
      <c r="A2416">
        <v>1968</v>
      </c>
      <c r="B2416" s="1" t="s">
        <v>24</v>
      </c>
      <c r="C2416" t="s">
        <v>19</v>
      </c>
      <c r="D2416">
        <v>1494600</v>
      </c>
    </row>
    <row r="2417" spans="1:4" x14ac:dyDescent="0.2">
      <c r="A2417">
        <v>1968</v>
      </c>
      <c r="B2417" s="1" t="s">
        <v>25</v>
      </c>
      <c r="C2417" t="s">
        <v>19</v>
      </c>
      <c r="D2417">
        <v>1308900</v>
      </c>
    </row>
    <row r="2418" spans="1:4" x14ac:dyDescent="0.2">
      <c r="A2418">
        <v>1968</v>
      </c>
      <c r="B2418" s="1" t="s">
        <v>24</v>
      </c>
      <c r="C2418" t="s">
        <v>20</v>
      </c>
      <c r="D2418">
        <v>1299300</v>
      </c>
    </row>
    <row r="2419" spans="1:4" x14ac:dyDescent="0.2">
      <c r="A2419">
        <v>1968</v>
      </c>
      <c r="B2419" s="1" t="s">
        <v>25</v>
      </c>
      <c r="C2419" t="s">
        <v>20</v>
      </c>
      <c r="D2419">
        <v>998100</v>
      </c>
    </row>
    <row r="2420" spans="1:4" x14ac:dyDescent="0.2">
      <c r="A2420">
        <v>1968</v>
      </c>
      <c r="B2420" s="1" t="s">
        <v>24</v>
      </c>
      <c r="C2420" t="s">
        <v>21</v>
      </c>
      <c r="D2420">
        <v>1029800</v>
      </c>
    </row>
    <row r="2421" spans="1:4" x14ac:dyDescent="0.2">
      <c r="A2421">
        <v>1968</v>
      </c>
      <c r="B2421" s="1" t="s">
        <v>25</v>
      </c>
      <c r="C2421" t="s">
        <v>21</v>
      </c>
      <c r="D2421">
        <v>637500</v>
      </c>
    </row>
    <row r="2422" spans="1:4" x14ac:dyDescent="0.2">
      <c r="A2422">
        <v>1968</v>
      </c>
      <c r="B2422" s="1" t="s">
        <v>24</v>
      </c>
      <c r="C2422" t="s">
        <v>22</v>
      </c>
      <c r="D2422">
        <v>755600</v>
      </c>
    </row>
    <row r="2423" spans="1:4" x14ac:dyDescent="0.2">
      <c r="A2423">
        <v>1968</v>
      </c>
      <c r="B2423" s="1" t="s">
        <v>25</v>
      </c>
      <c r="C2423" t="s">
        <v>22</v>
      </c>
      <c r="D2423">
        <v>406800</v>
      </c>
    </row>
    <row r="2424" spans="1:4" x14ac:dyDescent="0.2">
      <c r="A2424">
        <v>1968</v>
      </c>
      <c r="B2424" s="1" t="s">
        <v>24</v>
      </c>
      <c r="C2424" t="s">
        <v>23</v>
      </c>
      <c r="D2424">
        <v>480600</v>
      </c>
    </row>
    <row r="2425" spans="1:4" x14ac:dyDescent="0.2">
      <c r="A2425">
        <v>1968</v>
      </c>
      <c r="B2425" s="1" t="s">
        <v>25</v>
      </c>
      <c r="C2425" t="s">
        <v>23</v>
      </c>
      <c r="D2425">
        <v>219200</v>
      </c>
    </row>
    <row r="2426" spans="1:4" x14ac:dyDescent="0.2">
      <c r="A2426">
        <v>1968</v>
      </c>
      <c r="B2426" s="1" t="s">
        <v>24</v>
      </c>
      <c r="C2426" t="s">
        <v>31</v>
      </c>
      <c r="D2426">
        <v>277200</v>
      </c>
    </row>
    <row r="2427" spans="1:4" x14ac:dyDescent="0.2">
      <c r="A2427">
        <v>1968</v>
      </c>
      <c r="B2427" s="1" t="s">
        <v>25</v>
      </c>
      <c r="C2427" t="s">
        <v>31</v>
      </c>
      <c r="D2427">
        <v>101500</v>
      </c>
    </row>
    <row r="2428" spans="1:4" x14ac:dyDescent="0.2">
      <c r="A2428">
        <v>1969</v>
      </c>
      <c r="B2428" s="1" t="s">
        <v>24</v>
      </c>
      <c r="C2428" s="1" t="s">
        <v>29</v>
      </c>
      <c r="D2428">
        <v>390500</v>
      </c>
    </row>
    <row r="2429" spans="1:4" x14ac:dyDescent="0.2">
      <c r="A2429">
        <v>1969</v>
      </c>
      <c r="B2429" s="1" t="s">
        <v>25</v>
      </c>
      <c r="C2429" s="1" t="s">
        <v>29</v>
      </c>
      <c r="D2429">
        <v>405200</v>
      </c>
    </row>
    <row r="2430" spans="1:4" x14ac:dyDescent="0.2">
      <c r="A2430">
        <v>1969</v>
      </c>
      <c r="B2430" s="1" t="s">
        <v>24</v>
      </c>
      <c r="C2430" s="2" t="s">
        <v>26</v>
      </c>
      <c r="D2430">
        <v>1626500</v>
      </c>
    </row>
    <row r="2431" spans="1:4" x14ac:dyDescent="0.2">
      <c r="A2431">
        <v>1969</v>
      </c>
      <c r="B2431" s="1" t="s">
        <v>25</v>
      </c>
      <c r="C2431" s="2" t="s">
        <v>26</v>
      </c>
      <c r="D2431">
        <v>1682600</v>
      </c>
    </row>
    <row r="2432" spans="1:4" x14ac:dyDescent="0.2">
      <c r="A2432">
        <v>1969</v>
      </c>
      <c r="B2432" s="1" t="s">
        <v>24</v>
      </c>
      <c r="C2432" s="2" t="s">
        <v>27</v>
      </c>
      <c r="D2432">
        <v>1940500</v>
      </c>
    </row>
    <row r="2433" spans="1:4" x14ac:dyDescent="0.2">
      <c r="A2433">
        <v>1969</v>
      </c>
      <c r="B2433" s="1" t="s">
        <v>25</v>
      </c>
      <c r="C2433" s="2" t="s">
        <v>27</v>
      </c>
      <c r="D2433">
        <v>2029500</v>
      </c>
    </row>
    <row r="2434" spans="1:4" x14ac:dyDescent="0.2">
      <c r="A2434">
        <v>1969</v>
      </c>
      <c r="B2434" s="1" t="s">
        <v>24</v>
      </c>
      <c r="C2434" s="3" t="s">
        <v>28</v>
      </c>
      <c r="D2434">
        <v>1660700</v>
      </c>
    </row>
    <row r="2435" spans="1:4" x14ac:dyDescent="0.2">
      <c r="A2435">
        <v>1969</v>
      </c>
      <c r="B2435" s="1" t="s">
        <v>25</v>
      </c>
      <c r="C2435" s="3" t="s">
        <v>28</v>
      </c>
      <c r="D2435">
        <v>1780500</v>
      </c>
    </row>
    <row r="2436" spans="1:4" x14ac:dyDescent="0.2">
      <c r="A2436">
        <v>1969</v>
      </c>
      <c r="B2436" s="1" t="s">
        <v>24</v>
      </c>
      <c r="C2436" t="s">
        <v>4</v>
      </c>
      <c r="D2436">
        <v>1645600</v>
      </c>
    </row>
    <row r="2437" spans="1:4" x14ac:dyDescent="0.2">
      <c r="A2437">
        <v>1969</v>
      </c>
      <c r="B2437" s="1" t="s">
        <v>25</v>
      </c>
      <c r="C2437" t="s">
        <v>4</v>
      </c>
      <c r="D2437">
        <v>1719100</v>
      </c>
    </row>
    <row r="2438" spans="1:4" x14ac:dyDescent="0.2">
      <c r="A2438">
        <v>1969</v>
      </c>
      <c r="B2438" s="1" t="s">
        <v>24</v>
      </c>
      <c r="C2438" t="s">
        <v>5</v>
      </c>
      <c r="D2438">
        <v>1850400</v>
      </c>
    </row>
    <row r="2439" spans="1:4" x14ac:dyDescent="0.2">
      <c r="A2439">
        <v>1969</v>
      </c>
      <c r="B2439" s="1" t="s">
        <v>25</v>
      </c>
      <c r="C2439" t="s">
        <v>5</v>
      </c>
      <c r="D2439">
        <v>1874100</v>
      </c>
    </row>
    <row r="2440" spans="1:4" x14ac:dyDescent="0.2">
      <c r="A2440">
        <v>1969</v>
      </c>
      <c r="B2440" s="1" t="s">
        <v>24</v>
      </c>
      <c r="C2440" t="s">
        <v>12</v>
      </c>
      <c r="D2440">
        <v>1513800</v>
      </c>
    </row>
    <row r="2441" spans="1:4" x14ac:dyDescent="0.2">
      <c r="A2441">
        <v>1969</v>
      </c>
      <c r="B2441" s="1" t="s">
        <v>25</v>
      </c>
      <c r="C2441" t="s">
        <v>12</v>
      </c>
      <c r="D2441">
        <v>1550200</v>
      </c>
    </row>
    <row r="2442" spans="1:4" x14ac:dyDescent="0.2">
      <c r="A2442">
        <v>1969</v>
      </c>
      <c r="B2442" s="1" t="s">
        <v>24</v>
      </c>
      <c r="C2442" t="s">
        <v>13</v>
      </c>
      <c r="D2442">
        <v>1422900</v>
      </c>
    </row>
    <row r="2443" spans="1:4" x14ac:dyDescent="0.2">
      <c r="A2443">
        <v>1969</v>
      </c>
      <c r="B2443" s="1" t="s">
        <v>25</v>
      </c>
      <c r="C2443" t="s">
        <v>13</v>
      </c>
      <c r="D2443">
        <v>1481600</v>
      </c>
    </row>
    <row r="2444" spans="1:4" x14ac:dyDescent="0.2">
      <c r="A2444">
        <v>1969</v>
      </c>
      <c r="B2444" s="1" t="s">
        <v>24</v>
      </c>
      <c r="C2444" t="s">
        <v>14</v>
      </c>
      <c r="D2444">
        <v>1415100</v>
      </c>
    </row>
    <row r="2445" spans="1:4" x14ac:dyDescent="0.2">
      <c r="A2445">
        <v>1969</v>
      </c>
      <c r="B2445" s="1" t="s">
        <v>25</v>
      </c>
      <c r="C2445" t="s">
        <v>14</v>
      </c>
      <c r="D2445">
        <v>1444900</v>
      </c>
    </row>
    <row r="2446" spans="1:4" x14ac:dyDescent="0.2">
      <c r="A2446">
        <v>1969</v>
      </c>
      <c r="B2446" s="1" t="s">
        <v>24</v>
      </c>
      <c r="C2446" t="s">
        <v>15</v>
      </c>
      <c r="D2446">
        <v>1500900</v>
      </c>
    </row>
    <row r="2447" spans="1:4" x14ac:dyDescent="0.2">
      <c r="A2447">
        <v>1969</v>
      </c>
      <c r="B2447" s="1" t="s">
        <v>25</v>
      </c>
      <c r="C2447" t="s">
        <v>15</v>
      </c>
      <c r="D2447">
        <v>1499000</v>
      </c>
    </row>
    <row r="2448" spans="1:4" x14ac:dyDescent="0.2">
      <c r="A2448">
        <v>1969</v>
      </c>
      <c r="B2448" s="1" t="s">
        <v>24</v>
      </c>
      <c r="C2448" t="s">
        <v>16</v>
      </c>
      <c r="D2448">
        <v>1701500</v>
      </c>
    </row>
    <row r="2449" spans="1:4" x14ac:dyDescent="0.2">
      <c r="A2449">
        <v>1969</v>
      </c>
      <c r="B2449" s="1" t="s">
        <v>25</v>
      </c>
      <c r="C2449" t="s">
        <v>16</v>
      </c>
      <c r="D2449">
        <v>1657400</v>
      </c>
    </row>
    <row r="2450" spans="1:4" x14ac:dyDescent="0.2">
      <c r="A2450">
        <v>1969</v>
      </c>
      <c r="B2450" s="1" t="s">
        <v>24</v>
      </c>
      <c r="C2450" t="s">
        <v>17</v>
      </c>
      <c r="D2450">
        <v>1398100</v>
      </c>
    </row>
    <row r="2451" spans="1:4" x14ac:dyDescent="0.2">
      <c r="A2451">
        <v>1969</v>
      </c>
      <c r="B2451" s="1" t="s">
        <v>25</v>
      </c>
      <c r="C2451" t="s">
        <v>17</v>
      </c>
      <c r="D2451">
        <v>1328300</v>
      </c>
    </row>
    <row r="2452" spans="1:4" x14ac:dyDescent="0.2">
      <c r="A2452">
        <v>1969</v>
      </c>
      <c r="B2452" s="1" t="s">
        <v>24</v>
      </c>
      <c r="C2452" t="s">
        <v>18</v>
      </c>
      <c r="D2452">
        <v>1581600</v>
      </c>
    </row>
    <row r="2453" spans="1:4" x14ac:dyDescent="0.2">
      <c r="A2453">
        <v>1969</v>
      </c>
      <c r="B2453" s="1" t="s">
        <v>25</v>
      </c>
      <c r="C2453" t="s">
        <v>18</v>
      </c>
      <c r="D2453">
        <v>1469500</v>
      </c>
    </row>
    <row r="2454" spans="1:4" x14ac:dyDescent="0.2">
      <c r="A2454">
        <v>1969</v>
      </c>
      <c r="B2454" s="1" t="s">
        <v>24</v>
      </c>
      <c r="C2454" t="s">
        <v>19</v>
      </c>
      <c r="D2454">
        <v>1507400</v>
      </c>
    </row>
    <row r="2455" spans="1:4" x14ac:dyDescent="0.2">
      <c r="A2455">
        <v>1969</v>
      </c>
      <c r="B2455" s="1" t="s">
        <v>25</v>
      </c>
      <c r="C2455" t="s">
        <v>19</v>
      </c>
      <c r="D2455">
        <v>1325000</v>
      </c>
    </row>
    <row r="2456" spans="1:4" x14ac:dyDescent="0.2">
      <c r="A2456">
        <v>1969</v>
      </c>
      <c r="B2456" s="1" t="s">
        <v>24</v>
      </c>
      <c r="C2456" t="s">
        <v>20</v>
      </c>
      <c r="D2456">
        <v>1324600</v>
      </c>
    </row>
    <row r="2457" spans="1:4" x14ac:dyDescent="0.2">
      <c r="A2457">
        <v>1969</v>
      </c>
      <c r="B2457" s="1" t="s">
        <v>25</v>
      </c>
      <c r="C2457" t="s">
        <v>20</v>
      </c>
      <c r="D2457">
        <v>1032900</v>
      </c>
    </row>
    <row r="2458" spans="1:4" x14ac:dyDescent="0.2">
      <c r="A2458">
        <v>1969</v>
      </c>
      <c r="B2458" s="1" t="s">
        <v>24</v>
      </c>
      <c r="C2458" t="s">
        <v>21</v>
      </c>
      <c r="D2458">
        <v>1047100</v>
      </c>
    </row>
    <row r="2459" spans="1:4" x14ac:dyDescent="0.2">
      <c r="A2459">
        <v>1969</v>
      </c>
      <c r="B2459" s="1" t="s">
        <v>25</v>
      </c>
      <c r="C2459" t="s">
        <v>21</v>
      </c>
      <c r="D2459">
        <v>650000</v>
      </c>
    </row>
    <row r="2460" spans="1:4" x14ac:dyDescent="0.2">
      <c r="A2460">
        <v>1969</v>
      </c>
      <c r="B2460" s="1" t="s">
        <v>24</v>
      </c>
      <c r="C2460" t="s">
        <v>22</v>
      </c>
      <c r="D2460">
        <v>762400</v>
      </c>
    </row>
    <row r="2461" spans="1:4" x14ac:dyDescent="0.2">
      <c r="A2461">
        <v>1969</v>
      </c>
      <c r="B2461" s="1" t="s">
        <v>25</v>
      </c>
      <c r="C2461" t="s">
        <v>22</v>
      </c>
      <c r="D2461">
        <v>409000</v>
      </c>
    </row>
    <row r="2462" spans="1:4" x14ac:dyDescent="0.2">
      <c r="A2462">
        <v>1969</v>
      </c>
      <c r="B2462" s="1" t="s">
        <v>24</v>
      </c>
      <c r="C2462" t="s">
        <v>23</v>
      </c>
      <c r="D2462">
        <v>495800</v>
      </c>
    </row>
    <row r="2463" spans="1:4" x14ac:dyDescent="0.2">
      <c r="A2463">
        <v>1969</v>
      </c>
      <c r="B2463" s="1" t="s">
        <v>25</v>
      </c>
      <c r="C2463" t="s">
        <v>23</v>
      </c>
      <c r="D2463">
        <v>225000</v>
      </c>
    </row>
    <row r="2464" spans="1:4" x14ac:dyDescent="0.2">
      <c r="A2464">
        <v>1969</v>
      </c>
      <c r="B2464" s="1" t="s">
        <v>24</v>
      </c>
      <c r="C2464" t="s">
        <v>31</v>
      </c>
      <c r="D2464">
        <v>286400</v>
      </c>
    </row>
    <row r="2465" spans="1:4" x14ac:dyDescent="0.2">
      <c r="A2465">
        <v>1969</v>
      </c>
      <c r="B2465" s="1" t="s">
        <v>25</v>
      </c>
      <c r="C2465" t="s">
        <v>31</v>
      </c>
      <c r="D2465">
        <v>102600</v>
      </c>
    </row>
    <row r="2466" spans="1:4" x14ac:dyDescent="0.2">
      <c r="A2466">
        <v>1970</v>
      </c>
      <c r="B2466" s="1" t="s">
        <v>24</v>
      </c>
      <c r="C2466" s="1" t="s">
        <v>29</v>
      </c>
      <c r="D2466">
        <v>370100</v>
      </c>
    </row>
    <row r="2467" spans="1:4" x14ac:dyDescent="0.2">
      <c r="A2467">
        <v>1970</v>
      </c>
      <c r="B2467" s="1" t="s">
        <v>25</v>
      </c>
      <c r="C2467" s="1" t="s">
        <v>29</v>
      </c>
      <c r="D2467">
        <v>390200</v>
      </c>
    </row>
    <row r="2468" spans="1:4" x14ac:dyDescent="0.2">
      <c r="A2468">
        <v>1970</v>
      </c>
      <c r="B2468" s="1" t="s">
        <v>24</v>
      </c>
      <c r="C2468" s="2" t="s">
        <v>26</v>
      </c>
      <c r="D2468">
        <v>1598300</v>
      </c>
    </row>
    <row r="2469" spans="1:4" x14ac:dyDescent="0.2">
      <c r="A2469">
        <v>1970</v>
      </c>
      <c r="B2469" s="1" t="s">
        <v>25</v>
      </c>
      <c r="C2469" s="2" t="s">
        <v>26</v>
      </c>
      <c r="D2469">
        <v>1650000</v>
      </c>
    </row>
    <row r="2470" spans="1:4" x14ac:dyDescent="0.2">
      <c r="A2470">
        <v>1970</v>
      </c>
      <c r="B2470" s="1" t="s">
        <v>24</v>
      </c>
      <c r="C2470" s="2" t="s">
        <v>27</v>
      </c>
      <c r="D2470">
        <v>1985600</v>
      </c>
    </row>
    <row r="2471" spans="1:4" x14ac:dyDescent="0.2">
      <c r="A2471">
        <v>1970</v>
      </c>
      <c r="B2471" s="1" t="s">
        <v>25</v>
      </c>
      <c r="C2471" s="2" t="s">
        <v>27</v>
      </c>
      <c r="D2471">
        <v>2065500</v>
      </c>
    </row>
    <row r="2472" spans="1:4" x14ac:dyDescent="0.2">
      <c r="A2472">
        <v>1970</v>
      </c>
      <c r="B2472" s="1" t="s">
        <v>24</v>
      </c>
      <c r="C2472" s="3" t="s">
        <v>28</v>
      </c>
      <c r="D2472">
        <v>1706000</v>
      </c>
    </row>
    <row r="2473" spans="1:4" x14ac:dyDescent="0.2">
      <c r="A2473">
        <v>1970</v>
      </c>
      <c r="B2473" s="1" t="s">
        <v>25</v>
      </c>
      <c r="C2473" s="3" t="s">
        <v>28</v>
      </c>
      <c r="D2473">
        <v>1828100</v>
      </c>
    </row>
    <row r="2474" spans="1:4" x14ac:dyDescent="0.2">
      <c r="A2474">
        <v>1970</v>
      </c>
      <c r="B2474" s="1" t="s">
        <v>24</v>
      </c>
      <c r="C2474" t="s">
        <v>4</v>
      </c>
      <c r="D2474">
        <v>1631000</v>
      </c>
    </row>
    <row r="2475" spans="1:4" x14ac:dyDescent="0.2">
      <c r="A2475">
        <v>1970</v>
      </c>
      <c r="B2475" s="1" t="s">
        <v>25</v>
      </c>
      <c r="C2475" t="s">
        <v>4</v>
      </c>
      <c r="D2475">
        <v>1704200</v>
      </c>
    </row>
    <row r="2476" spans="1:4" x14ac:dyDescent="0.2">
      <c r="A2476">
        <v>1970</v>
      </c>
      <c r="B2476" s="1" t="s">
        <v>24</v>
      </c>
      <c r="C2476" t="s">
        <v>5</v>
      </c>
      <c r="D2476">
        <v>1866000</v>
      </c>
    </row>
    <row r="2477" spans="1:4" x14ac:dyDescent="0.2">
      <c r="A2477">
        <v>1970</v>
      </c>
      <c r="B2477" s="1" t="s">
        <v>25</v>
      </c>
      <c r="C2477" t="s">
        <v>5</v>
      </c>
      <c r="D2477">
        <v>1894100</v>
      </c>
    </row>
    <row r="2478" spans="1:4" x14ac:dyDescent="0.2">
      <c r="A2478">
        <v>1970</v>
      </c>
      <c r="B2478" s="1" t="s">
        <v>24</v>
      </c>
      <c r="C2478" t="s">
        <v>12</v>
      </c>
      <c r="D2478">
        <v>1549600</v>
      </c>
    </row>
    <row r="2479" spans="1:4" x14ac:dyDescent="0.2">
      <c r="A2479">
        <v>1970</v>
      </c>
      <c r="B2479" s="1" t="s">
        <v>25</v>
      </c>
      <c r="C2479" t="s">
        <v>12</v>
      </c>
      <c r="D2479">
        <v>1586100</v>
      </c>
    </row>
    <row r="2480" spans="1:4" x14ac:dyDescent="0.2">
      <c r="A2480">
        <v>1970</v>
      </c>
      <c r="B2480" s="1" t="s">
        <v>24</v>
      </c>
      <c r="C2480" t="s">
        <v>13</v>
      </c>
      <c r="D2480">
        <v>1430100</v>
      </c>
    </row>
    <row r="2481" spans="1:4" x14ac:dyDescent="0.2">
      <c r="A2481">
        <v>1970</v>
      </c>
      <c r="B2481" s="1" t="s">
        <v>25</v>
      </c>
      <c r="C2481" t="s">
        <v>13</v>
      </c>
      <c r="D2481">
        <v>1482600</v>
      </c>
    </row>
    <row r="2482" spans="1:4" x14ac:dyDescent="0.2">
      <c r="A2482">
        <v>1970</v>
      </c>
      <c r="B2482" s="1" t="s">
        <v>24</v>
      </c>
      <c r="C2482" t="s">
        <v>14</v>
      </c>
      <c r="D2482">
        <v>1392500</v>
      </c>
    </row>
    <row r="2483" spans="1:4" x14ac:dyDescent="0.2">
      <c r="A2483">
        <v>1970</v>
      </c>
      <c r="B2483" s="1" t="s">
        <v>25</v>
      </c>
      <c r="C2483" t="s">
        <v>14</v>
      </c>
      <c r="D2483">
        <v>1429200</v>
      </c>
    </row>
    <row r="2484" spans="1:4" x14ac:dyDescent="0.2">
      <c r="A2484">
        <v>1970</v>
      </c>
      <c r="B2484" s="1" t="s">
        <v>24</v>
      </c>
      <c r="C2484" t="s">
        <v>15</v>
      </c>
      <c r="D2484">
        <v>1482500</v>
      </c>
    </row>
    <row r="2485" spans="1:4" x14ac:dyDescent="0.2">
      <c r="A2485">
        <v>1970</v>
      </c>
      <c r="B2485" s="1" t="s">
        <v>25</v>
      </c>
      <c r="C2485" t="s">
        <v>15</v>
      </c>
      <c r="D2485">
        <v>1480600</v>
      </c>
    </row>
    <row r="2486" spans="1:4" x14ac:dyDescent="0.2">
      <c r="A2486">
        <v>1970</v>
      </c>
      <c r="B2486" s="1" t="s">
        <v>24</v>
      </c>
      <c r="C2486" t="s">
        <v>16</v>
      </c>
      <c r="D2486">
        <v>1631300</v>
      </c>
    </row>
    <row r="2487" spans="1:4" x14ac:dyDescent="0.2">
      <c r="A2487">
        <v>1970</v>
      </c>
      <c r="B2487" s="1" t="s">
        <v>25</v>
      </c>
      <c r="C2487" t="s">
        <v>16</v>
      </c>
      <c r="D2487">
        <v>1590700</v>
      </c>
    </row>
    <row r="2488" spans="1:4" x14ac:dyDescent="0.2">
      <c r="A2488">
        <v>1970</v>
      </c>
      <c r="B2488" s="1" t="s">
        <v>24</v>
      </c>
      <c r="C2488" t="s">
        <v>17</v>
      </c>
      <c r="D2488">
        <v>1442100</v>
      </c>
    </row>
    <row r="2489" spans="1:4" x14ac:dyDescent="0.2">
      <c r="A2489">
        <v>1970</v>
      </c>
      <c r="B2489" s="1" t="s">
        <v>25</v>
      </c>
      <c r="C2489" t="s">
        <v>17</v>
      </c>
      <c r="D2489">
        <v>1372600</v>
      </c>
    </row>
    <row r="2490" spans="1:4" x14ac:dyDescent="0.2">
      <c r="A2490">
        <v>1970</v>
      </c>
      <c r="B2490" s="1" t="s">
        <v>24</v>
      </c>
      <c r="C2490" t="s">
        <v>18</v>
      </c>
      <c r="D2490">
        <v>1573200</v>
      </c>
    </row>
    <row r="2491" spans="1:4" x14ac:dyDescent="0.2">
      <c r="A2491">
        <v>1970</v>
      </c>
      <c r="B2491" s="1" t="s">
        <v>25</v>
      </c>
      <c r="C2491" t="s">
        <v>18</v>
      </c>
      <c r="D2491">
        <v>1461200</v>
      </c>
    </row>
    <row r="2492" spans="1:4" x14ac:dyDescent="0.2">
      <c r="A2492">
        <v>1970</v>
      </c>
      <c r="B2492" s="1" t="s">
        <v>24</v>
      </c>
      <c r="C2492" t="s">
        <v>19</v>
      </c>
      <c r="D2492">
        <v>1512400</v>
      </c>
    </row>
    <row r="2493" spans="1:4" x14ac:dyDescent="0.2">
      <c r="A2493">
        <v>1970</v>
      </c>
      <c r="B2493" s="1" t="s">
        <v>25</v>
      </c>
      <c r="C2493" t="s">
        <v>19</v>
      </c>
      <c r="D2493">
        <v>1333100</v>
      </c>
    </row>
    <row r="2494" spans="1:4" x14ac:dyDescent="0.2">
      <c r="A2494">
        <v>1970</v>
      </c>
      <c r="B2494" s="1" t="s">
        <v>24</v>
      </c>
      <c r="C2494" t="s">
        <v>20</v>
      </c>
      <c r="D2494">
        <v>1338500</v>
      </c>
    </row>
    <row r="2495" spans="1:4" x14ac:dyDescent="0.2">
      <c r="A2495">
        <v>1970</v>
      </c>
      <c r="B2495" s="1" t="s">
        <v>25</v>
      </c>
      <c r="C2495" t="s">
        <v>20</v>
      </c>
      <c r="D2495">
        <v>1054000</v>
      </c>
    </row>
    <row r="2496" spans="1:4" x14ac:dyDescent="0.2">
      <c r="A2496">
        <v>1970</v>
      </c>
      <c r="B2496" s="1" t="s">
        <v>24</v>
      </c>
      <c r="C2496" t="s">
        <v>21</v>
      </c>
      <c r="D2496">
        <v>1069700</v>
      </c>
    </row>
    <row r="2497" spans="1:4" x14ac:dyDescent="0.2">
      <c r="A2497">
        <v>1970</v>
      </c>
      <c r="B2497" s="1" t="s">
        <v>25</v>
      </c>
      <c r="C2497" t="s">
        <v>21</v>
      </c>
      <c r="D2497">
        <v>671100</v>
      </c>
    </row>
    <row r="2498" spans="1:4" x14ac:dyDescent="0.2">
      <c r="A2498">
        <v>1970</v>
      </c>
      <c r="B2498" s="1" t="s">
        <v>24</v>
      </c>
      <c r="C2498" t="s">
        <v>22</v>
      </c>
      <c r="D2498">
        <v>773100</v>
      </c>
    </row>
    <row r="2499" spans="1:4" x14ac:dyDescent="0.2">
      <c r="A2499">
        <v>1970</v>
      </c>
      <c r="B2499" s="1" t="s">
        <v>25</v>
      </c>
      <c r="C2499" t="s">
        <v>22</v>
      </c>
      <c r="D2499">
        <v>411700</v>
      </c>
    </row>
    <row r="2500" spans="1:4" x14ac:dyDescent="0.2">
      <c r="A2500">
        <v>1970</v>
      </c>
      <c r="B2500" s="1" t="s">
        <v>24</v>
      </c>
      <c r="C2500" t="s">
        <v>23</v>
      </c>
      <c r="D2500">
        <v>505400</v>
      </c>
    </row>
    <row r="2501" spans="1:4" x14ac:dyDescent="0.2">
      <c r="A2501">
        <v>1970</v>
      </c>
      <c r="B2501" s="1" t="s">
        <v>25</v>
      </c>
      <c r="C2501" t="s">
        <v>23</v>
      </c>
      <c r="D2501">
        <v>230100</v>
      </c>
    </row>
    <row r="2502" spans="1:4" x14ac:dyDescent="0.2">
      <c r="A2502">
        <v>1970</v>
      </c>
      <c r="B2502" s="1" t="s">
        <v>24</v>
      </c>
      <c r="C2502" t="s">
        <v>31</v>
      </c>
      <c r="D2502">
        <v>295700</v>
      </c>
    </row>
    <row r="2503" spans="1:4" x14ac:dyDescent="0.2">
      <c r="A2503">
        <v>1970</v>
      </c>
      <c r="B2503" s="1" t="s">
        <v>25</v>
      </c>
      <c r="C2503" t="s">
        <v>31</v>
      </c>
      <c r="D2503">
        <v>103100</v>
      </c>
    </row>
    <row r="2504" spans="1:4" x14ac:dyDescent="0.2">
      <c r="A2504">
        <v>1971</v>
      </c>
      <c r="B2504" s="1" t="s">
        <v>24</v>
      </c>
      <c r="C2504" s="1" t="s">
        <v>29</v>
      </c>
      <c r="D2504">
        <v>380100</v>
      </c>
    </row>
    <row r="2505" spans="1:4" x14ac:dyDescent="0.2">
      <c r="A2505">
        <v>1971</v>
      </c>
      <c r="B2505" s="1" t="s">
        <v>25</v>
      </c>
      <c r="C2505" s="1" t="s">
        <v>29</v>
      </c>
      <c r="D2505">
        <v>401500</v>
      </c>
    </row>
    <row r="2506" spans="1:4" x14ac:dyDescent="0.2">
      <c r="A2506">
        <v>1971</v>
      </c>
      <c r="B2506" s="1" t="s">
        <v>24</v>
      </c>
      <c r="C2506" s="2" t="s">
        <v>26</v>
      </c>
      <c r="D2506">
        <v>1543700</v>
      </c>
    </row>
    <row r="2507" spans="1:4" x14ac:dyDescent="0.2">
      <c r="A2507">
        <v>1971</v>
      </c>
      <c r="B2507" s="1" t="s">
        <v>25</v>
      </c>
      <c r="C2507" s="2" t="s">
        <v>26</v>
      </c>
      <c r="D2507">
        <v>1626100</v>
      </c>
    </row>
    <row r="2508" spans="1:4" x14ac:dyDescent="0.2">
      <c r="A2508">
        <v>1971</v>
      </c>
      <c r="B2508" s="1" t="s">
        <v>24</v>
      </c>
      <c r="C2508" s="2" t="s">
        <v>27</v>
      </c>
      <c r="D2508">
        <v>1976700</v>
      </c>
    </row>
    <row r="2509" spans="1:4" x14ac:dyDescent="0.2">
      <c r="A2509">
        <v>1971</v>
      </c>
      <c r="B2509" s="1" t="s">
        <v>25</v>
      </c>
      <c r="C2509" s="2" t="s">
        <v>27</v>
      </c>
      <c r="D2509">
        <v>2079000</v>
      </c>
    </row>
    <row r="2510" spans="1:4" x14ac:dyDescent="0.2">
      <c r="A2510">
        <v>1971</v>
      </c>
      <c r="B2510" s="1" t="s">
        <v>24</v>
      </c>
      <c r="C2510" s="3" t="s">
        <v>28</v>
      </c>
      <c r="D2510">
        <v>1771800</v>
      </c>
    </row>
    <row r="2511" spans="1:4" x14ac:dyDescent="0.2">
      <c r="A2511">
        <v>1971</v>
      </c>
      <c r="B2511" s="1" t="s">
        <v>25</v>
      </c>
      <c r="C2511" s="3" t="s">
        <v>28</v>
      </c>
      <c r="D2511">
        <v>1877600</v>
      </c>
    </row>
    <row r="2512" spans="1:4" x14ac:dyDescent="0.2">
      <c r="A2512">
        <v>1971</v>
      </c>
      <c r="B2512" s="1" t="s">
        <v>24</v>
      </c>
      <c r="C2512" t="s">
        <v>4</v>
      </c>
      <c r="D2512">
        <v>1632600</v>
      </c>
    </row>
    <row r="2513" spans="1:4" x14ac:dyDescent="0.2">
      <c r="A2513">
        <v>1971</v>
      </c>
      <c r="B2513" s="1" t="s">
        <v>25</v>
      </c>
      <c r="C2513" t="s">
        <v>4</v>
      </c>
      <c r="D2513">
        <v>1711200</v>
      </c>
    </row>
    <row r="2514" spans="1:4" x14ac:dyDescent="0.2">
      <c r="A2514">
        <v>1971</v>
      </c>
      <c r="B2514" s="1" t="s">
        <v>24</v>
      </c>
      <c r="C2514" t="s">
        <v>5</v>
      </c>
      <c r="D2514">
        <v>1869100</v>
      </c>
    </row>
    <row r="2515" spans="1:4" x14ac:dyDescent="0.2">
      <c r="A2515">
        <v>1971</v>
      </c>
      <c r="B2515" s="1" t="s">
        <v>25</v>
      </c>
      <c r="C2515" t="s">
        <v>5</v>
      </c>
      <c r="D2515">
        <v>1903900</v>
      </c>
    </row>
    <row r="2516" spans="1:4" x14ac:dyDescent="0.2">
      <c r="A2516">
        <v>1971</v>
      </c>
      <c r="B2516" s="1" t="s">
        <v>24</v>
      </c>
      <c r="C2516" t="s">
        <v>12</v>
      </c>
      <c r="D2516">
        <v>1613900</v>
      </c>
    </row>
    <row r="2517" spans="1:4" x14ac:dyDescent="0.2">
      <c r="A2517">
        <v>1971</v>
      </c>
      <c r="B2517" s="1" t="s">
        <v>25</v>
      </c>
      <c r="C2517" t="s">
        <v>12</v>
      </c>
      <c r="D2517">
        <v>1653500</v>
      </c>
    </row>
    <row r="2518" spans="1:4" x14ac:dyDescent="0.2">
      <c r="A2518">
        <v>1971</v>
      </c>
      <c r="B2518" s="1" t="s">
        <v>24</v>
      </c>
      <c r="C2518" t="s">
        <v>13</v>
      </c>
      <c r="D2518">
        <v>1421700</v>
      </c>
    </row>
    <row r="2519" spans="1:4" x14ac:dyDescent="0.2">
      <c r="A2519">
        <v>1971</v>
      </c>
      <c r="B2519" s="1" t="s">
        <v>25</v>
      </c>
      <c r="C2519" t="s">
        <v>13</v>
      </c>
      <c r="D2519">
        <v>1475100</v>
      </c>
    </row>
    <row r="2520" spans="1:4" x14ac:dyDescent="0.2">
      <c r="A2520">
        <v>1971</v>
      </c>
      <c r="B2520" s="1" t="s">
        <v>24</v>
      </c>
      <c r="C2520" t="s">
        <v>14</v>
      </c>
      <c r="D2520">
        <v>1380000</v>
      </c>
    </row>
    <row r="2521" spans="1:4" x14ac:dyDescent="0.2">
      <c r="A2521">
        <v>1971</v>
      </c>
      <c r="B2521" s="1" t="s">
        <v>25</v>
      </c>
      <c r="C2521" t="s">
        <v>14</v>
      </c>
      <c r="D2521">
        <v>1424300</v>
      </c>
    </row>
    <row r="2522" spans="1:4" x14ac:dyDescent="0.2">
      <c r="A2522">
        <v>1971</v>
      </c>
      <c r="B2522" s="1" t="s">
        <v>24</v>
      </c>
      <c r="C2522" t="s">
        <v>15</v>
      </c>
      <c r="D2522">
        <v>1464600</v>
      </c>
    </row>
    <row r="2523" spans="1:4" x14ac:dyDescent="0.2">
      <c r="A2523">
        <v>1971</v>
      </c>
      <c r="B2523" s="1" t="s">
        <v>25</v>
      </c>
      <c r="C2523" t="s">
        <v>15</v>
      </c>
      <c r="D2523">
        <v>1467000</v>
      </c>
    </row>
    <row r="2524" spans="1:4" x14ac:dyDescent="0.2">
      <c r="A2524">
        <v>1971</v>
      </c>
      <c r="B2524" s="1" t="s">
        <v>24</v>
      </c>
      <c r="C2524" t="s">
        <v>16</v>
      </c>
      <c r="D2524">
        <v>1576500</v>
      </c>
    </row>
    <row r="2525" spans="1:4" x14ac:dyDescent="0.2">
      <c r="A2525">
        <v>1971</v>
      </c>
      <c r="B2525" s="1" t="s">
        <v>25</v>
      </c>
      <c r="C2525" t="s">
        <v>16</v>
      </c>
      <c r="D2525">
        <v>1549900</v>
      </c>
    </row>
    <row r="2526" spans="1:4" x14ac:dyDescent="0.2">
      <c r="A2526">
        <v>1971</v>
      </c>
      <c r="B2526" s="1" t="s">
        <v>24</v>
      </c>
      <c r="C2526" t="s">
        <v>17</v>
      </c>
      <c r="D2526">
        <v>1497700</v>
      </c>
    </row>
    <row r="2527" spans="1:4" x14ac:dyDescent="0.2">
      <c r="A2527">
        <v>1971</v>
      </c>
      <c r="B2527" s="1" t="s">
        <v>25</v>
      </c>
      <c r="C2527" t="s">
        <v>17</v>
      </c>
      <c r="D2527">
        <v>1427500</v>
      </c>
    </row>
    <row r="2528" spans="1:4" x14ac:dyDescent="0.2">
      <c r="A2528">
        <v>1971</v>
      </c>
      <c r="B2528" s="1" t="s">
        <v>24</v>
      </c>
      <c r="C2528" t="s">
        <v>18</v>
      </c>
      <c r="D2528">
        <v>1545400</v>
      </c>
    </row>
    <row r="2529" spans="1:4" x14ac:dyDescent="0.2">
      <c r="A2529">
        <v>1971</v>
      </c>
      <c r="B2529" s="1" t="s">
        <v>25</v>
      </c>
      <c r="C2529" t="s">
        <v>18</v>
      </c>
      <c r="D2529">
        <v>1436500</v>
      </c>
    </row>
    <row r="2530" spans="1:4" x14ac:dyDescent="0.2">
      <c r="A2530">
        <v>1971</v>
      </c>
      <c r="B2530" s="1" t="s">
        <v>24</v>
      </c>
      <c r="C2530" t="s">
        <v>19</v>
      </c>
      <c r="D2530">
        <v>1516300</v>
      </c>
    </row>
    <row r="2531" spans="1:4" x14ac:dyDescent="0.2">
      <c r="A2531">
        <v>1971</v>
      </c>
      <c r="B2531" s="1" t="s">
        <v>25</v>
      </c>
      <c r="C2531" t="s">
        <v>19</v>
      </c>
      <c r="D2531">
        <v>1337000</v>
      </c>
    </row>
    <row r="2532" spans="1:4" x14ac:dyDescent="0.2">
      <c r="A2532">
        <v>1971</v>
      </c>
      <c r="B2532" s="1" t="s">
        <v>24</v>
      </c>
      <c r="C2532" t="s">
        <v>20</v>
      </c>
      <c r="D2532">
        <v>1351800</v>
      </c>
    </row>
    <row r="2533" spans="1:4" x14ac:dyDescent="0.2">
      <c r="A2533">
        <v>1971</v>
      </c>
      <c r="B2533" s="1" t="s">
        <v>25</v>
      </c>
      <c r="C2533" t="s">
        <v>20</v>
      </c>
      <c r="D2533">
        <v>1075800</v>
      </c>
    </row>
    <row r="2534" spans="1:4" x14ac:dyDescent="0.2">
      <c r="A2534">
        <v>1971</v>
      </c>
      <c r="B2534" s="1" t="s">
        <v>24</v>
      </c>
      <c r="C2534" t="s">
        <v>21</v>
      </c>
      <c r="D2534">
        <v>1098400</v>
      </c>
    </row>
    <row r="2535" spans="1:4" x14ac:dyDescent="0.2">
      <c r="A2535">
        <v>1971</v>
      </c>
      <c r="B2535" s="1" t="s">
        <v>25</v>
      </c>
      <c r="C2535" t="s">
        <v>21</v>
      </c>
      <c r="D2535">
        <v>702100</v>
      </c>
    </row>
    <row r="2536" spans="1:4" x14ac:dyDescent="0.2">
      <c r="A2536">
        <v>1971</v>
      </c>
      <c r="B2536" s="1" t="s">
        <v>24</v>
      </c>
      <c r="C2536" t="s">
        <v>22</v>
      </c>
      <c r="D2536">
        <v>791700</v>
      </c>
    </row>
    <row r="2537" spans="1:4" x14ac:dyDescent="0.2">
      <c r="A2537">
        <v>1971</v>
      </c>
      <c r="B2537" s="1" t="s">
        <v>25</v>
      </c>
      <c r="C2537" t="s">
        <v>22</v>
      </c>
      <c r="D2537">
        <v>416100</v>
      </c>
    </row>
    <row r="2538" spans="1:4" x14ac:dyDescent="0.2">
      <c r="A2538">
        <v>1971</v>
      </c>
      <c r="B2538" s="1" t="s">
        <v>24</v>
      </c>
      <c r="C2538" t="s">
        <v>23</v>
      </c>
      <c r="D2538">
        <v>497700</v>
      </c>
    </row>
    <row r="2539" spans="1:4" x14ac:dyDescent="0.2">
      <c r="A2539">
        <v>1971</v>
      </c>
      <c r="B2539" s="1" t="s">
        <v>25</v>
      </c>
      <c r="C2539" t="s">
        <v>23</v>
      </c>
      <c r="D2539">
        <v>220500</v>
      </c>
    </row>
    <row r="2540" spans="1:4" x14ac:dyDescent="0.2">
      <c r="A2540">
        <v>1971</v>
      </c>
      <c r="B2540" s="1" t="s">
        <v>24</v>
      </c>
      <c r="C2540" t="s">
        <v>31</v>
      </c>
      <c r="D2540">
        <v>325300</v>
      </c>
    </row>
    <row r="2541" spans="1:4" x14ac:dyDescent="0.2">
      <c r="A2541">
        <v>1971</v>
      </c>
      <c r="B2541" s="1" t="s">
        <v>25</v>
      </c>
      <c r="C2541" t="s">
        <v>31</v>
      </c>
      <c r="D2541">
        <v>112400</v>
      </c>
    </row>
    <row r="2542" spans="1:4" x14ac:dyDescent="0.2">
      <c r="A2542">
        <v>1972</v>
      </c>
      <c r="B2542" s="1" t="s">
        <v>24</v>
      </c>
      <c r="C2542" s="1" t="s">
        <v>29</v>
      </c>
      <c r="D2542">
        <v>358200</v>
      </c>
    </row>
    <row r="2543" spans="1:4" x14ac:dyDescent="0.2">
      <c r="A2543">
        <v>1972</v>
      </c>
      <c r="B2543" s="1" t="s">
        <v>25</v>
      </c>
      <c r="C2543" s="1" t="s">
        <v>29</v>
      </c>
      <c r="D2543">
        <v>376500</v>
      </c>
    </row>
    <row r="2544" spans="1:4" x14ac:dyDescent="0.2">
      <c r="A2544">
        <v>1972</v>
      </c>
      <c r="B2544" s="1" t="s">
        <v>24</v>
      </c>
      <c r="C2544" s="2" t="s">
        <v>26</v>
      </c>
      <c r="D2544">
        <v>1519100</v>
      </c>
    </row>
    <row r="2545" spans="1:4" x14ac:dyDescent="0.2">
      <c r="A2545">
        <v>1972</v>
      </c>
      <c r="B2545" s="1" t="s">
        <v>25</v>
      </c>
      <c r="C2545" s="2" t="s">
        <v>26</v>
      </c>
      <c r="D2545">
        <v>1600500</v>
      </c>
    </row>
    <row r="2546" spans="1:4" x14ac:dyDescent="0.2">
      <c r="A2546">
        <v>1972</v>
      </c>
      <c r="B2546" s="1" t="s">
        <v>24</v>
      </c>
      <c r="C2546" s="2" t="s">
        <v>27</v>
      </c>
      <c r="D2546">
        <v>1989700</v>
      </c>
    </row>
    <row r="2547" spans="1:4" x14ac:dyDescent="0.2">
      <c r="A2547">
        <v>1972</v>
      </c>
      <c r="B2547" s="1" t="s">
        <v>25</v>
      </c>
      <c r="C2547" s="2" t="s">
        <v>27</v>
      </c>
      <c r="D2547">
        <v>2097300</v>
      </c>
    </row>
    <row r="2548" spans="1:4" x14ac:dyDescent="0.2">
      <c r="A2548">
        <v>1972</v>
      </c>
      <c r="B2548" s="1" t="s">
        <v>24</v>
      </c>
      <c r="C2548" s="3" t="s">
        <v>28</v>
      </c>
      <c r="D2548">
        <v>1826600</v>
      </c>
    </row>
    <row r="2549" spans="1:4" x14ac:dyDescent="0.2">
      <c r="A2549">
        <v>1972</v>
      </c>
      <c r="B2549" s="1" t="s">
        <v>25</v>
      </c>
      <c r="C2549" s="3" t="s">
        <v>28</v>
      </c>
      <c r="D2549">
        <v>1925500</v>
      </c>
    </row>
    <row r="2550" spans="1:4" x14ac:dyDescent="0.2">
      <c r="A2550">
        <v>1972</v>
      </c>
      <c r="B2550" s="1" t="s">
        <v>24</v>
      </c>
      <c r="C2550" t="s">
        <v>4</v>
      </c>
      <c r="D2550">
        <v>1646700</v>
      </c>
    </row>
    <row r="2551" spans="1:4" x14ac:dyDescent="0.2">
      <c r="A2551">
        <v>1972</v>
      </c>
      <c r="B2551" s="1" t="s">
        <v>25</v>
      </c>
      <c r="C2551" t="s">
        <v>4</v>
      </c>
      <c r="D2551">
        <v>1731900</v>
      </c>
    </row>
    <row r="2552" spans="1:4" x14ac:dyDescent="0.2">
      <c r="A2552">
        <v>1972</v>
      </c>
      <c r="B2552" s="1" t="s">
        <v>24</v>
      </c>
      <c r="C2552" t="s">
        <v>5</v>
      </c>
      <c r="D2552">
        <v>1774500</v>
      </c>
    </row>
    <row r="2553" spans="1:4" x14ac:dyDescent="0.2">
      <c r="A2553">
        <v>1972</v>
      </c>
      <c r="B2553" s="1" t="s">
        <v>25</v>
      </c>
      <c r="C2553" t="s">
        <v>5</v>
      </c>
      <c r="D2553">
        <v>1811600</v>
      </c>
    </row>
    <row r="2554" spans="1:4" x14ac:dyDescent="0.2">
      <c r="A2554">
        <v>1972</v>
      </c>
      <c r="B2554" s="1" t="s">
        <v>24</v>
      </c>
      <c r="C2554" t="s">
        <v>12</v>
      </c>
      <c r="D2554">
        <v>1746600</v>
      </c>
    </row>
    <row r="2555" spans="1:4" x14ac:dyDescent="0.2">
      <c r="A2555">
        <v>1972</v>
      </c>
      <c r="B2555" s="1" t="s">
        <v>25</v>
      </c>
      <c r="C2555" t="s">
        <v>12</v>
      </c>
      <c r="D2555">
        <v>1789600</v>
      </c>
    </row>
    <row r="2556" spans="1:4" x14ac:dyDescent="0.2">
      <c r="A2556">
        <v>1972</v>
      </c>
      <c r="B2556" s="1" t="s">
        <v>24</v>
      </c>
      <c r="C2556" t="s">
        <v>13</v>
      </c>
      <c r="D2556">
        <v>1425600</v>
      </c>
    </row>
    <row r="2557" spans="1:4" x14ac:dyDescent="0.2">
      <c r="A2557">
        <v>1972</v>
      </c>
      <c r="B2557" s="1" t="s">
        <v>25</v>
      </c>
      <c r="C2557" t="s">
        <v>13</v>
      </c>
      <c r="D2557">
        <v>1472200</v>
      </c>
    </row>
    <row r="2558" spans="1:4" x14ac:dyDescent="0.2">
      <c r="A2558">
        <v>1972</v>
      </c>
      <c r="B2558" s="1" t="s">
        <v>24</v>
      </c>
      <c r="C2558" t="s">
        <v>14</v>
      </c>
      <c r="D2558">
        <v>1380000</v>
      </c>
    </row>
    <row r="2559" spans="1:4" x14ac:dyDescent="0.2">
      <c r="A2559">
        <v>1972</v>
      </c>
      <c r="B2559" s="1" t="s">
        <v>25</v>
      </c>
      <c r="C2559" t="s">
        <v>14</v>
      </c>
      <c r="D2559">
        <v>1426100</v>
      </c>
    </row>
    <row r="2560" spans="1:4" x14ac:dyDescent="0.2">
      <c r="A2560">
        <v>1972</v>
      </c>
      <c r="B2560" s="1" t="s">
        <v>24</v>
      </c>
      <c r="C2560" t="s">
        <v>15</v>
      </c>
      <c r="D2560">
        <v>1446300</v>
      </c>
    </row>
    <row r="2561" spans="1:4" x14ac:dyDescent="0.2">
      <c r="A2561">
        <v>1972</v>
      </c>
      <c r="B2561" s="1" t="s">
        <v>25</v>
      </c>
      <c r="C2561" t="s">
        <v>15</v>
      </c>
      <c r="D2561">
        <v>1455700</v>
      </c>
    </row>
    <row r="2562" spans="1:4" x14ac:dyDescent="0.2">
      <c r="A2562">
        <v>1972</v>
      </c>
      <c r="B2562" s="1" t="s">
        <v>24</v>
      </c>
      <c r="C2562" t="s">
        <v>16</v>
      </c>
      <c r="D2562">
        <v>1533300</v>
      </c>
    </row>
    <row r="2563" spans="1:4" x14ac:dyDescent="0.2">
      <c r="A2563">
        <v>1972</v>
      </c>
      <c r="B2563" s="1" t="s">
        <v>25</v>
      </c>
      <c r="C2563" t="s">
        <v>16</v>
      </c>
      <c r="D2563">
        <v>1513400</v>
      </c>
    </row>
    <row r="2564" spans="1:4" x14ac:dyDescent="0.2">
      <c r="A2564">
        <v>1972</v>
      </c>
      <c r="B2564" s="1" t="s">
        <v>24</v>
      </c>
      <c r="C2564" t="s">
        <v>17</v>
      </c>
      <c r="D2564">
        <v>1551000</v>
      </c>
    </row>
    <row r="2565" spans="1:4" x14ac:dyDescent="0.2">
      <c r="A2565">
        <v>1972</v>
      </c>
      <c r="B2565" s="1" t="s">
        <v>25</v>
      </c>
      <c r="C2565" t="s">
        <v>17</v>
      </c>
      <c r="D2565">
        <v>1482300</v>
      </c>
    </row>
    <row r="2566" spans="1:4" x14ac:dyDescent="0.2">
      <c r="A2566">
        <v>1972</v>
      </c>
      <c r="B2566" s="1" t="s">
        <v>24</v>
      </c>
      <c r="C2566" t="s">
        <v>18</v>
      </c>
      <c r="D2566">
        <v>1503600</v>
      </c>
    </row>
    <row r="2567" spans="1:4" x14ac:dyDescent="0.2">
      <c r="A2567">
        <v>1972</v>
      </c>
      <c r="B2567" s="1" t="s">
        <v>25</v>
      </c>
      <c r="C2567" t="s">
        <v>18</v>
      </c>
      <c r="D2567">
        <v>1392200</v>
      </c>
    </row>
    <row r="2568" spans="1:4" x14ac:dyDescent="0.2">
      <c r="A2568">
        <v>1972</v>
      </c>
      <c r="B2568" s="1" t="s">
        <v>24</v>
      </c>
      <c r="C2568" t="s">
        <v>19</v>
      </c>
      <c r="D2568">
        <v>1510400</v>
      </c>
    </row>
    <row r="2569" spans="1:4" x14ac:dyDescent="0.2">
      <c r="A2569">
        <v>1972</v>
      </c>
      <c r="B2569" s="1" t="s">
        <v>25</v>
      </c>
      <c r="C2569" t="s">
        <v>19</v>
      </c>
      <c r="D2569">
        <v>1335800</v>
      </c>
    </row>
    <row r="2570" spans="1:4" x14ac:dyDescent="0.2">
      <c r="A2570">
        <v>1972</v>
      </c>
      <c r="B2570" s="1" t="s">
        <v>24</v>
      </c>
      <c r="C2570" t="s">
        <v>20</v>
      </c>
      <c r="D2570">
        <v>1366400</v>
      </c>
    </row>
    <row r="2571" spans="1:4" x14ac:dyDescent="0.2">
      <c r="A2571">
        <v>1972</v>
      </c>
      <c r="B2571" s="1" t="s">
        <v>25</v>
      </c>
      <c r="C2571" t="s">
        <v>20</v>
      </c>
      <c r="D2571">
        <v>1091400</v>
      </c>
    </row>
    <row r="2572" spans="1:4" x14ac:dyDescent="0.2">
      <c r="A2572">
        <v>1972</v>
      </c>
      <c r="B2572" s="1" t="s">
        <v>24</v>
      </c>
      <c r="C2572" t="s">
        <v>21</v>
      </c>
      <c r="D2572">
        <v>1115600</v>
      </c>
    </row>
    <row r="2573" spans="1:4" x14ac:dyDescent="0.2">
      <c r="A2573">
        <v>1972</v>
      </c>
      <c r="B2573" s="1" t="s">
        <v>25</v>
      </c>
      <c r="C2573" t="s">
        <v>21</v>
      </c>
      <c r="D2573">
        <v>730000</v>
      </c>
    </row>
    <row r="2574" spans="1:4" x14ac:dyDescent="0.2">
      <c r="A2574">
        <v>1972</v>
      </c>
      <c r="B2574" s="1" t="s">
        <v>24</v>
      </c>
      <c r="C2574" t="s">
        <v>22</v>
      </c>
      <c r="D2574">
        <v>803900</v>
      </c>
    </row>
    <row r="2575" spans="1:4" x14ac:dyDescent="0.2">
      <c r="A2575">
        <v>1972</v>
      </c>
      <c r="B2575" s="1" t="s">
        <v>25</v>
      </c>
      <c r="C2575" t="s">
        <v>22</v>
      </c>
      <c r="D2575">
        <v>420300</v>
      </c>
    </row>
    <row r="2576" spans="1:4" x14ac:dyDescent="0.2">
      <c r="A2576">
        <v>1972</v>
      </c>
      <c r="B2576" s="1" t="s">
        <v>24</v>
      </c>
      <c r="C2576" t="s">
        <v>23</v>
      </c>
      <c r="D2576">
        <v>506100</v>
      </c>
    </row>
    <row r="2577" spans="1:4" x14ac:dyDescent="0.2">
      <c r="A2577">
        <v>1972</v>
      </c>
      <c r="B2577" s="1" t="s">
        <v>25</v>
      </c>
      <c r="C2577" t="s">
        <v>23</v>
      </c>
      <c r="D2577">
        <v>222600</v>
      </c>
    </row>
    <row r="2578" spans="1:4" x14ac:dyDescent="0.2">
      <c r="A2578">
        <v>1972</v>
      </c>
      <c r="B2578" s="1" t="s">
        <v>24</v>
      </c>
      <c r="C2578" t="s">
        <v>31</v>
      </c>
      <c r="D2578">
        <v>334900</v>
      </c>
    </row>
    <row r="2579" spans="1:4" x14ac:dyDescent="0.2">
      <c r="A2579">
        <v>1972</v>
      </c>
      <c r="B2579" s="1" t="s">
        <v>25</v>
      </c>
      <c r="C2579" t="s">
        <v>31</v>
      </c>
      <c r="D2579">
        <v>113700</v>
      </c>
    </row>
    <row r="2580" spans="1:4" x14ac:dyDescent="0.2">
      <c r="A2580">
        <v>1973</v>
      </c>
      <c r="B2580" s="1" t="s">
        <v>24</v>
      </c>
      <c r="C2580" s="1" t="s">
        <v>29</v>
      </c>
      <c r="D2580">
        <v>334000</v>
      </c>
    </row>
    <row r="2581" spans="1:4" x14ac:dyDescent="0.2">
      <c r="A2581">
        <v>1973</v>
      </c>
      <c r="B2581" s="1" t="s">
        <v>25</v>
      </c>
      <c r="C2581" s="1" t="s">
        <v>29</v>
      </c>
      <c r="D2581">
        <v>355000</v>
      </c>
    </row>
    <row r="2582" spans="1:4" x14ac:dyDescent="0.2">
      <c r="A2582">
        <v>1973</v>
      </c>
      <c r="B2582" s="1" t="s">
        <v>24</v>
      </c>
      <c r="C2582" s="2" t="s">
        <v>26</v>
      </c>
      <c r="D2582">
        <v>1485500</v>
      </c>
    </row>
    <row r="2583" spans="1:4" x14ac:dyDescent="0.2">
      <c r="A2583">
        <v>1973</v>
      </c>
      <c r="B2583" s="1" t="s">
        <v>25</v>
      </c>
      <c r="C2583" s="2" t="s">
        <v>26</v>
      </c>
      <c r="D2583">
        <v>1565000</v>
      </c>
    </row>
    <row r="2584" spans="1:4" x14ac:dyDescent="0.2">
      <c r="A2584">
        <v>1973</v>
      </c>
      <c r="B2584" s="1" t="s">
        <v>24</v>
      </c>
      <c r="C2584" s="2" t="s">
        <v>27</v>
      </c>
      <c r="D2584">
        <v>1985200</v>
      </c>
    </row>
    <row r="2585" spans="1:4" x14ac:dyDescent="0.2">
      <c r="A2585">
        <v>1973</v>
      </c>
      <c r="B2585" s="1" t="s">
        <v>25</v>
      </c>
      <c r="C2585" s="2" t="s">
        <v>27</v>
      </c>
      <c r="D2585">
        <v>2092800</v>
      </c>
    </row>
    <row r="2586" spans="1:4" x14ac:dyDescent="0.2">
      <c r="A2586">
        <v>1973</v>
      </c>
      <c r="B2586" s="1" t="s">
        <v>24</v>
      </c>
      <c r="C2586" s="3" t="s">
        <v>28</v>
      </c>
      <c r="D2586">
        <v>1877800</v>
      </c>
    </row>
    <row r="2587" spans="1:4" x14ac:dyDescent="0.2">
      <c r="A2587">
        <v>1973</v>
      </c>
      <c r="B2587" s="1" t="s">
        <v>25</v>
      </c>
      <c r="C2587" s="3" t="s">
        <v>28</v>
      </c>
      <c r="D2587">
        <v>1975000</v>
      </c>
    </row>
    <row r="2588" spans="1:4" x14ac:dyDescent="0.2">
      <c r="A2588">
        <v>1973</v>
      </c>
      <c r="B2588" s="1" t="s">
        <v>24</v>
      </c>
      <c r="C2588" t="s">
        <v>4</v>
      </c>
      <c r="D2588">
        <v>1669500</v>
      </c>
    </row>
    <row r="2589" spans="1:4" x14ac:dyDescent="0.2">
      <c r="A2589">
        <v>1973</v>
      </c>
      <c r="B2589" s="1" t="s">
        <v>25</v>
      </c>
      <c r="C2589" t="s">
        <v>4</v>
      </c>
      <c r="D2589">
        <v>1753100</v>
      </c>
    </row>
    <row r="2590" spans="1:4" x14ac:dyDescent="0.2">
      <c r="A2590">
        <v>1973</v>
      </c>
      <c r="B2590" s="1" t="s">
        <v>24</v>
      </c>
      <c r="C2590" t="s">
        <v>5</v>
      </c>
      <c r="D2590">
        <v>1717900</v>
      </c>
    </row>
    <row r="2591" spans="1:4" x14ac:dyDescent="0.2">
      <c r="A2591">
        <v>1973</v>
      </c>
      <c r="B2591" s="1" t="s">
        <v>25</v>
      </c>
      <c r="C2591" t="s">
        <v>5</v>
      </c>
      <c r="D2591">
        <v>1761700</v>
      </c>
    </row>
    <row r="2592" spans="1:4" x14ac:dyDescent="0.2">
      <c r="A2592">
        <v>1973</v>
      </c>
      <c r="B2592" s="1" t="s">
        <v>24</v>
      </c>
      <c r="C2592" t="s">
        <v>12</v>
      </c>
      <c r="D2592">
        <v>1819500</v>
      </c>
    </row>
    <row r="2593" spans="1:4" x14ac:dyDescent="0.2">
      <c r="A2593">
        <v>1973</v>
      </c>
      <c r="B2593" s="1" t="s">
        <v>25</v>
      </c>
      <c r="C2593" t="s">
        <v>12</v>
      </c>
      <c r="D2593">
        <v>1856900</v>
      </c>
    </row>
    <row r="2594" spans="1:4" x14ac:dyDescent="0.2">
      <c r="A2594">
        <v>1973</v>
      </c>
      <c r="B2594" s="1" t="s">
        <v>24</v>
      </c>
      <c r="C2594" t="s">
        <v>13</v>
      </c>
      <c r="D2594">
        <v>1455000</v>
      </c>
    </row>
    <row r="2595" spans="1:4" x14ac:dyDescent="0.2">
      <c r="A2595">
        <v>1973</v>
      </c>
      <c r="B2595" s="1" t="s">
        <v>25</v>
      </c>
      <c r="C2595" t="s">
        <v>13</v>
      </c>
      <c r="D2595">
        <v>1496600</v>
      </c>
    </row>
    <row r="2596" spans="1:4" x14ac:dyDescent="0.2">
      <c r="A2596">
        <v>1973</v>
      </c>
      <c r="B2596" s="1" t="s">
        <v>24</v>
      </c>
      <c r="C2596" t="s">
        <v>14</v>
      </c>
      <c r="D2596">
        <v>1393400</v>
      </c>
    </row>
    <row r="2597" spans="1:4" x14ac:dyDescent="0.2">
      <c r="A2597">
        <v>1973</v>
      </c>
      <c r="B2597" s="1" t="s">
        <v>25</v>
      </c>
      <c r="C2597" t="s">
        <v>14</v>
      </c>
      <c r="D2597">
        <v>1441600</v>
      </c>
    </row>
    <row r="2598" spans="1:4" x14ac:dyDescent="0.2">
      <c r="A2598">
        <v>1973</v>
      </c>
      <c r="B2598" s="1" t="s">
        <v>24</v>
      </c>
      <c r="C2598" t="s">
        <v>15</v>
      </c>
      <c r="D2598">
        <v>1425200</v>
      </c>
    </row>
    <row r="2599" spans="1:4" x14ac:dyDescent="0.2">
      <c r="A2599">
        <v>1973</v>
      </c>
      <c r="B2599" s="1" t="s">
        <v>25</v>
      </c>
      <c r="C2599" t="s">
        <v>15</v>
      </c>
      <c r="D2599">
        <v>1441600</v>
      </c>
    </row>
    <row r="2600" spans="1:4" x14ac:dyDescent="0.2">
      <c r="A2600">
        <v>1973</v>
      </c>
      <c r="B2600" s="1" t="s">
        <v>24</v>
      </c>
      <c r="C2600" t="s">
        <v>16</v>
      </c>
      <c r="D2600">
        <v>1503200</v>
      </c>
    </row>
    <row r="2601" spans="1:4" x14ac:dyDescent="0.2">
      <c r="A2601">
        <v>1973</v>
      </c>
      <c r="B2601" s="1" t="s">
        <v>25</v>
      </c>
      <c r="C2601" t="s">
        <v>16</v>
      </c>
      <c r="D2601">
        <v>1489700</v>
      </c>
    </row>
    <row r="2602" spans="1:4" x14ac:dyDescent="0.2">
      <c r="A2602">
        <v>1973</v>
      </c>
      <c r="B2602" s="1" t="s">
        <v>24</v>
      </c>
      <c r="C2602" t="s">
        <v>17</v>
      </c>
      <c r="D2602">
        <v>1614500</v>
      </c>
    </row>
    <row r="2603" spans="1:4" x14ac:dyDescent="0.2">
      <c r="A2603">
        <v>1973</v>
      </c>
      <c r="B2603" s="1" t="s">
        <v>25</v>
      </c>
      <c r="C2603" t="s">
        <v>17</v>
      </c>
      <c r="D2603">
        <v>1548900</v>
      </c>
    </row>
    <row r="2604" spans="1:4" x14ac:dyDescent="0.2">
      <c r="A2604">
        <v>1973</v>
      </c>
      <c r="B2604" s="1" t="s">
        <v>24</v>
      </c>
      <c r="C2604" t="s">
        <v>18</v>
      </c>
      <c r="D2604">
        <v>1425100</v>
      </c>
    </row>
    <row r="2605" spans="1:4" x14ac:dyDescent="0.2">
      <c r="A2605">
        <v>1973</v>
      </c>
      <c r="B2605" s="1" t="s">
        <v>25</v>
      </c>
      <c r="C2605" t="s">
        <v>18</v>
      </c>
      <c r="D2605">
        <v>1317400</v>
      </c>
    </row>
    <row r="2606" spans="1:4" x14ac:dyDescent="0.2">
      <c r="A2606">
        <v>1973</v>
      </c>
      <c r="B2606" s="1" t="s">
        <v>24</v>
      </c>
      <c r="C2606" t="s">
        <v>19</v>
      </c>
      <c r="D2606">
        <v>1506700</v>
      </c>
    </row>
    <row r="2607" spans="1:4" x14ac:dyDescent="0.2">
      <c r="A2607">
        <v>1973</v>
      </c>
      <c r="B2607" s="1" t="s">
        <v>25</v>
      </c>
      <c r="C2607" t="s">
        <v>19</v>
      </c>
      <c r="D2607">
        <v>1335000</v>
      </c>
    </row>
    <row r="2608" spans="1:4" x14ac:dyDescent="0.2">
      <c r="A2608">
        <v>1973</v>
      </c>
      <c r="B2608" s="1" t="s">
        <v>24</v>
      </c>
      <c r="C2608" t="s">
        <v>20</v>
      </c>
      <c r="D2608">
        <v>1379700</v>
      </c>
    </row>
    <row r="2609" spans="1:4" x14ac:dyDescent="0.2">
      <c r="A2609">
        <v>1973</v>
      </c>
      <c r="B2609" s="1" t="s">
        <v>25</v>
      </c>
      <c r="C2609" t="s">
        <v>20</v>
      </c>
      <c r="D2609">
        <v>1107500</v>
      </c>
    </row>
    <row r="2610" spans="1:4" x14ac:dyDescent="0.2">
      <c r="A2610">
        <v>1973</v>
      </c>
      <c r="B2610" s="1" t="s">
        <v>24</v>
      </c>
      <c r="C2610" t="s">
        <v>21</v>
      </c>
      <c r="D2610">
        <v>1137000</v>
      </c>
    </row>
    <row r="2611" spans="1:4" x14ac:dyDescent="0.2">
      <c r="A2611">
        <v>1973</v>
      </c>
      <c r="B2611" s="1" t="s">
        <v>25</v>
      </c>
      <c r="C2611" t="s">
        <v>21</v>
      </c>
      <c r="D2611">
        <v>761100</v>
      </c>
    </row>
    <row r="2612" spans="1:4" x14ac:dyDescent="0.2">
      <c r="A2612">
        <v>1973</v>
      </c>
      <c r="B2612" s="1" t="s">
        <v>24</v>
      </c>
      <c r="C2612" t="s">
        <v>22</v>
      </c>
      <c r="D2612">
        <v>813800</v>
      </c>
    </row>
    <row r="2613" spans="1:4" x14ac:dyDescent="0.2">
      <c r="A2613">
        <v>1973</v>
      </c>
      <c r="B2613" s="1" t="s">
        <v>25</v>
      </c>
      <c r="C2613" t="s">
        <v>22</v>
      </c>
      <c r="D2613">
        <v>423400</v>
      </c>
    </row>
    <row r="2614" spans="1:4" x14ac:dyDescent="0.2">
      <c r="A2614">
        <v>1973</v>
      </c>
      <c r="B2614" s="1" t="s">
        <v>24</v>
      </c>
      <c r="C2614" t="s">
        <v>23</v>
      </c>
      <c r="D2614">
        <v>510800</v>
      </c>
    </row>
    <row r="2615" spans="1:4" x14ac:dyDescent="0.2">
      <c r="A2615">
        <v>1973</v>
      </c>
      <c r="B2615" s="1" t="s">
        <v>25</v>
      </c>
      <c r="C2615" t="s">
        <v>23</v>
      </c>
      <c r="D2615">
        <v>223700</v>
      </c>
    </row>
    <row r="2616" spans="1:4" x14ac:dyDescent="0.2">
      <c r="A2616">
        <v>1973</v>
      </c>
      <c r="B2616" s="1" t="s">
        <v>24</v>
      </c>
      <c r="C2616" t="s">
        <v>31</v>
      </c>
      <c r="D2616">
        <v>344700</v>
      </c>
    </row>
    <row r="2617" spans="1:4" x14ac:dyDescent="0.2">
      <c r="A2617">
        <v>1973</v>
      </c>
      <c r="B2617" s="1" t="s">
        <v>25</v>
      </c>
      <c r="C2617" t="s">
        <v>31</v>
      </c>
      <c r="D2617">
        <v>114500</v>
      </c>
    </row>
    <row r="2618" spans="1:4" x14ac:dyDescent="0.2">
      <c r="A2618">
        <v>1974</v>
      </c>
      <c r="B2618" s="1" t="s">
        <v>24</v>
      </c>
      <c r="C2618" s="1" t="s">
        <v>29</v>
      </c>
      <c r="D2618">
        <v>309600</v>
      </c>
    </row>
    <row r="2619" spans="1:4" x14ac:dyDescent="0.2">
      <c r="A2619">
        <v>1974</v>
      </c>
      <c r="B2619" s="1" t="s">
        <v>25</v>
      </c>
      <c r="C2619" s="1" t="s">
        <v>29</v>
      </c>
      <c r="D2619">
        <v>327500</v>
      </c>
    </row>
    <row r="2620" spans="1:4" x14ac:dyDescent="0.2">
      <c r="A2620">
        <v>1974</v>
      </c>
      <c r="B2620" s="1" t="s">
        <v>24</v>
      </c>
      <c r="C2620" s="2" t="s">
        <v>26</v>
      </c>
      <c r="D2620">
        <v>1428900</v>
      </c>
    </row>
    <row r="2621" spans="1:4" x14ac:dyDescent="0.2">
      <c r="A2621">
        <v>1974</v>
      </c>
      <c r="B2621" s="1" t="s">
        <v>25</v>
      </c>
      <c r="C2621" s="2" t="s">
        <v>26</v>
      </c>
      <c r="D2621">
        <v>1509500</v>
      </c>
    </row>
    <row r="2622" spans="1:4" x14ac:dyDescent="0.2">
      <c r="A2622">
        <v>1974</v>
      </c>
      <c r="B2622" s="1" t="s">
        <v>24</v>
      </c>
      <c r="C2622" s="2" t="s">
        <v>27</v>
      </c>
      <c r="D2622">
        <v>1962600</v>
      </c>
    </row>
    <row r="2623" spans="1:4" x14ac:dyDescent="0.2">
      <c r="A2623">
        <v>1974</v>
      </c>
      <c r="B2623" s="1" t="s">
        <v>25</v>
      </c>
      <c r="C2623" s="2" t="s">
        <v>27</v>
      </c>
      <c r="D2623">
        <v>2065600</v>
      </c>
    </row>
    <row r="2624" spans="1:4" x14ac:dyDescent="0.2">
      <c r="A2624">
        <v>1974</v>
      </c>
      <c r="B2624" s="1" t="s">
        <v>24</v>
      </c>
      <c r="C2624" s="3" t="s">
        <v>28</v>
      </c>
      <c r="D2624">
        <v>1926200</v>
      </c>
    </row>
    <row r="2625" spans="1:4" x14ac:dyDescent="0.2">
      <c r="A2625">
        <v>1974</v>
      </c>
      <c r="B2625" s="1" t="s">
        <v>25</v>
      </c>
      <c r="C2625" s="3" t="s">
        <v>28</v>
      </c>
      <c r="D2625">
        <v>2029200</v>
      </c>
    </row>
    <row r="2626" spans="1:4" x14ac:dyDescent="0.2">
      <c r="A2626">
        <v>1974</v>
      </c>
      <c r="B2626" s="1" t="s">
        <v>24</v>
      </c>
      <c r="C2626" t="s">
        <v>4</v>
      </c>
      <c r="D2626">
        <v>1697500</v>
      </c>
    </row>
    <row r="2627" spans="1:4" x14ac:dyDescent="0.2">
      <c r="A2627">
        <v>1974</v>
      </c>
      <c r="B2627" s="1" t="s">
        <v>25</v>
      </c>
      <c r="C2627" t="s">
        <v>4</v>
      </c>
      <c r="D2627">
        <v>1779500</v>
      </c>
    </row>
    <row r="2628" spans="1:4" x14ac:dyDescent="0.2">
      <c r="A2628">
        <v>1974</v>
      </c>
      <c r="B2628" s="1" t="s">
        <v>24</v>
      </c>
      <c r="C2628" t="s">
        <v>5</v>
      </c>
      <c r="D2628">
        <v>1689100</v>
      </c>
    </row>
    <row r="2629" spans="1:4" x14ac:dyDescent="0.2">
      <c r="A2629">
        <v>1974</v>
      </c>
      <c r="B2629" s="1" t="s">
        <v>25</v>
      </c>
      <c r="C2629" t="s">
        <v>5</v>
      </c>
      <c r="D2629">
        <v>1740200</v>
      </c>
    </row>
    <row r="2630" spans="1:4" x14ac:dyDescent="0.2">
      <c r="A2630">
        <v>1974</v>
      </c>
      <c r="B2630" s="1" t="s">
        <v>24</v>
      </c>
      <c r="C2630" t="s">
        <v>12</v>
      </c>
      <c r="D2630">
        <v>1841100</v>
      </c>
    </row>
    <row r="2631" spans="1:4" x14ac:dyDescent="0.2">
      <c r="A2631">
        <v>1974</v>
      </c>
      <c r="B2631" s="1" t="s">
        <v>25</v>
      </c>
      <c r="C2631" t="s">
        <v>12</v>
      </c>
      <c r="D2631">
        <v>1879300</v>
      </c>
    </row>
    <row r="2632" spans="1:4" x14ac:dyDescent="0.2">
      <c r="A2632">
        <v>1974</v>
      </c>
      <c r="B2632" s="1" t="s">
        <v>24</v>
      </c>
      <c r="C2632" t="s">
        <v>13</v>
      </c>
      <c r="D2632">
        <v>1489000</v>
      </c>
    </row>
    <row r="2633" spans="1:4" x14ac:dyDescent="0.2">
      <c r="A2633">
        <v>1974</v>
      </c>
      <c r="B2633" s="1" t="s">
        <v>25</v>
      </c>
      <c r="C2633" t="s">
        <v>13</v>
      </c>
      <c r="D2633">
        <v>1534300</v>
      </c>
    </row>
    <row r="2634" spans="1:4" x14ac:dyDescent="0.2">
      <c r="A2634">
        <v>1974</v>
      </c>
      <c r="B2634" s="1" t="s">
        <v>24</v>
      </c>
      <c r="C2634" t="s">
        <v>14</v>
      </c>
      <c r="D2634">
        <v>1408400</v>
      </c>
    </row>
    <row r="2635" spans="1:4" x14ac:dyDescent="0.2">
      <c r="A2635">
        <v>1974</v>
      </c>
      <c r="B2635" s="1" t="s">
        <v>25</v>
      </c>
      <c r="C2635" t="s">
        <v>14</v>
      </c>
      <c r="D2635">
        <v>1457100</v>
      </c>
    </row>
    <row r="2636" spans="1:4" x14ac:dyDescent="0.2">
      <c r="A2636">
        <v>1974</v>
      </c>
      <c r="B2636" s="1" t="s">
        <v>24</v>
      </c>
      <c r="C2636" t="s">
        <v>15</v>
      </c>
      <c r="D2636">
        <v>1398400</v>
      </c>
    </row>
    <row r="2637" spans="1:4" x14ac:dyDescent="0.2">
      <c r="A2637">
        <v>1974</v>
      </c>
      <c r="B2637" s="1" t="s">
        <v>25</v>
      </c>
      <c r="C2637" t="s">
        <v>15</v>
      </c>
      <c r="D2637">
        <v>1420800</v>
      </c>
    </row>
    <row r="2638" spans="1:4" x14ac:dyDescent="0.2">
      <c r="A2638">
        <v>1974</v>
      </c>
      <c r="B2638" s="1" t="s">
        <v>24</v>
      </c>
      <c r="C2638" t="s">
        <v>16</v>
      </c>
      <c r="D2638">
        <v>1476600</v>
      </c>
    </row>
    <row r="2639" spans="1:4" x14ac:dyDescent="0.2">
      <c r="A2639">
        <v>1974</v>
      </c>
      <c r="B2639" s="1" t="s">
        <v>25</v>
      </c>
      <c r="C2639" t="s">
        <v>16</v>
      </c>
      <c r="D2639">
        <v>1466400</v>
      </c>
    </row>
    <row r="2640" spans="1:4" x14ac:dyDescent="0.2">
      <c r="A2640">
        <v>1974</v>
      </c>
      <c r="B2640" s="1" t="s">
        <v>24</v>
      </c>
      <c r="C2640" t="s">
        <v>17</v>
      </c>
      <c r="D2640">
        <v>1664600</v>
      </c>
    </row>
    <row r="2641" spans="1:4" x14ac:dyDescent="0.2">
      <c r="A2641">
        <v>1974</v>
      </c>
      <c r="B2641" s="1" t="s">
        <v>25</v>
      </c>
      <c r="C2641" t="s">
        <v>17</v>
      </c>
      <c r="D2641">
        <v>1602100</v>
      </c>
    </row>
    <row r="2642" spans="1:4" x14ac:dyDescent="0.2">
      <c r="A2642">
        <v>1974</v>
      </c>
      <c r="B2642" s="1" t="s">
        <v>24</v>
      </c>
      <c r="C2642" t="s">
        <v>18</v>
      </c>
      <c r="D2642">
        <v>1350800</v>
      </c>
    </row>
    <row r="2643" spans="1:4" x14ac:dyDescent="0.2">
      <c r="A2643">
        <v>1974</v>
      </c>
      <c r="B2643" s="1" t="s">
        <v>25</v>
      </c>
      <c r="C2643" t="s">
        <v>18</v>
      </c>
      <c r="D2643">
        <v>1248500</v>
      </c>
    </row>
    <row r="2644" spans="1:4" x14ac:dyDescent="0.2">
      <c r="A2644">
        <v>1974</v>
      </c>
      <c r="B2644" s="1" t="s">
        <v>24</v>
      </c>
      <c r="C2644" t="s">
        <v>19</v>
      </c>
      <c r="D2644">
        <v>1503600</v>
      </c>
    </row>
    <row r="2645" spans="1:4" x14ac:dyDescent="0.2">
      <c r="A2645">
        <v>1974</v>
      </c>
      <c r="B2645" s="1" t="s">
        <v>25</v>
      </c>
      <c r="C2645" t="s">
        <v>19</v>
      </c>
      <c r="D2645">
        <v>1332300</v>
      </c>
    </row>
    <row r="2646" spans="1:4" x14ac:dyDescent="0.2">
      <c r="A2646">
        <v>1974</v>
      </c>
      <c r="B2646" s="1" t="s">
        <v>24</v>
      </c>
      <c r="C2646" t="s">
        <v>20</v>
      </c>
      <c r="D2646">
        <v>1390900</v>
      </c>
    </row>
    <row r="2647" spans="1:4" x14ac:dyDescent="0.2">
      <c r="A2647">
        <v>1974</v>
      </c>
      <c r="B2647" s="1" t="s">
        <v>25</v>
      </c>
      <c r="C2647" t="s">
        <v>20</v>
      </c>
      <c r="D2647">
        <v>1122000</v>
      </c>
    </row>
    <row r="2648" spans="1:4" x14ac:dyDescent="0.2">
      <c r="A2648">
        <v>1974</v>
      </c>
      <c r="B2648" s="1" t="s">
        <v>24</v>
      </c>
      <c r="C2648" t="s">
        <v>21</v>
      </c>
      <c r="D2648">
        <v>1158900</v>
      </c>
    </row>
    <row r="2649" spans="1:4" x14ac:dyDescent="0.2">
      <c r="A2649">
        <v>1974</v>
      </c>
      <c r="B2649" s="1" t="s">
        <v>25</v>
      </c>
      <c r="C2649" t="s">
        <v>21</v>
      </c>
      <c r="D2649">
        <v>789200</v>
      </c>
    </row>
    <row r="2650" spans="1:4" x14ac:dyDescent="0.2">
      <c r="A2650">
        <v>1974</v>
      </c>
      <c r="B2650" s="1" t="s">
        <v>24</v>
      </c>
      <c r="C2650" t="s">
        <v>22</v>
      </c>
      <c r="D2650">
        <v>827300</v>
      </c>
    </row>
    <row r="2651" spans="1:4" x14ac:dyDescent="0.2">
      <c r="A2651">
        <v>1974</v>
      </c>
      <c r="B2651" s="1" t="s">
        <v>25</v>
      </c>
      <c r="C2651" t="s">
        <v>22</v>
      </c>
      <c r="D2651">
        <v>430400</v>
      </c>
    </row>
    <row r="2652" spans="1:4" x14ac:dyDescent="0.2">
      <c r="A2652">
        <v>1974</v>
      </c>
      <c r="B2652" s="1" t="s">
        <v>24</v>
      </c>
      <c r="C2652" t="s">
        <v>23</v>
      </c>
      <c r="D2652">
        <v>516000</v>
      </c>
    </row>
    <row r="2653" spans="1:4" x14ac:dyDescent="0.2">
      <c r="A2653">
        <v>1974</v>
      </c>
      <c r="B2653" s="1" t="s">
        <v>25</v>
      </c>
      <c r="C2653" t="s">
        <v>23</v>
      </c>
      <c r="D2653">
        <v>224000</v>
      </c>
    </row>
    <row r="2654" spans="1:4" x14ac:dyDescent="0.2">
      <c r="A2654">
        <v>1974</v>
      </c>
      <c r="B2654" s="1" t="s">
        <v>24</v>
      </c>
      <c r="C2654" t="s">
        <v>31</v>
      </c>
      <c r="D2654">
        <v>353900</v>
      </c>
    </row>
    <row r="2655" spans="1:4" x14ac:dyDescent="0.2">
      <c r="A2655">
        <v>1974</v>
      </c>
      <c r="B2655" s="1" t="s">
        <v>25</v>
      </c>
      <c r="C2655" t="s">
        <v>31</v>
      </c>
      <c r="D2655">
        <v>116600</v>
      </c>
    </row>
    <row r="2656" spans="1:4" x14ac:dyDescent="0.2">
      <c r="A2656">
        <v>1975</v>
      </c>
      <c r="B2656" s="1" t="s">
        <v>24</v>
      </c>
      <c r="C2656" s="1" t="s">
        <v>29</v>
      </c>
      <c r="D2656">
        <v>297700</v>
      </c>
    </row>
    <row r="2657" spans="1:4" x14ac:dyDescent="0.2">
      <c r="A2657">
        <v>1975</v>
      </c>
      <c r="B2657" s="1" t="s">
        <v>25</v>
      </c>
      <c r="C2657" s="1" t="s">
        <v>29</v>
      </c>
      <c r="D2657">
        <v>314600</v>
      </c>
    </row>
    <row r="2658" spans="1:4" x14ac:dyDescent="0.2">
      <c r="A2658">
        <v>1975</v>
      </c>
      <c r="B2658" s="1" t="s">
        <v>24</v>
      </c>
      <c r="C2658" s="2" t="s">
        <v>26</v>
      </c>
      <c r="D2658">
        <v>1365800</v>
      </c>
    </row>
    <row r="2659" spans="1:4" x14ac:dyDescent="0.2">
      <c r="A2659">
        <v>1975</v>
      </c>
      <c r="B2659" s="1" t="s">
        <v>25</v>
      </c>
      <c r="C2659" s="2" t="s">
        <v>26</v>
      </c>
      <c r="D2659">
        <v>1444500</v>
      </c>
    </row>
    <row r="2660" spans="1:4" x14ac:dyDescent="0.2">
      <c r="A2660">
        <v>1975</v>
      </c>
      <c r="B2660" s="1" t="s">
        <v>24</v>
      </c>
      <c r="C2660" s="2" t="s">
        <v>27</v>
      </c>
      <c r="D2660">
        <v>1920000</v>
      </c>
    </row>
    <row r="2661" spans="1:4" x14ac:dyDescent="0.2">
      <c r="A2661">
        <v>1975</v>
      </c>
      <c r="B2661" s="1" t="s">
        <v>25</v>
      </c>
      <c r="C2661" s="2" t="s">
        <v>27</v>
      </c>
      <c r="D2661">
        <v>2022100</v>
      </c>
    </row>
    <row r="2662" spans="1:4" x14ac:dyDescent="0.2">
      <c r="A2662">
        <v>1975</v>
      </c>
      <c r="B2662" s="1" t="s">
        <v>24</v>
      </c>
      <c r="C2662" s="3" t="s">
        <v>28</v>
      </c>
      <c r="D2662">
        <v>1965700</v>
      </c>
    </row>
    <row r="2663" spans="1:4" x14ac:dyDescent="0.2">
      <c r="A2663">
        <v>1975</v>
      </c>
      <c r="B2663" s="1" t="s">
        <v>25</v>
      </c>
      <c r="C2663" s="3" t="s">
        <v>28</v>
      </c>
      <c r="D2663">
        <v>2072900</v>
      </c>
    </row>
    <row r="2664" spans="1:4" x14ac:dyDescent="0.2">
      <c r="A2664">
        <v>1975</v>
      </c>
      <c r="B2664" s="1" t="s">
        <v>24</v>
      </c>
      <c r="C2664" t="s">
        <v>4</v>
      </c>
      <c r="D2664">
        <v>1745600</v>
      </c>
    </row>
    <row r="2665" spans="1:4" x14ac:dyDescent="0.2">
      <c r="A2665">
        <v>1975</v>
      </c>
      <c r="B2665" s="1" t="s">
        <v>25</v>
      </c>
      <c r="C2665" t="s">
        <v>4</v>
      </c>
      <c r="D2665">
        <v>1829500</v>
      </c>
    </row>
    <row r="2666" spans="1:4" x14ac:dyDescent="0.2">
      <c r="A2666">
        <v>1975</v>
      </c>
      <c r="B2666" s="1" t="s">
        <v>24</v>
      </c>
      <c r="C2666" t="s">
        <v>5</v>
      </c>
      <c r="D2666">
        <v>1667100</v>
      </c>
    </row>
    <row r="2667" spans="1:4" x14ac:dyDescent="0.2">
      <c r="A2667">
        <v>1975</v>
      </c>
      <c r="B2667" s="1" t="s">
        <v>25</v>
      </c>
      <c r="C2667" t="s">
        <v>5</v>
      </c>
      <c r="D2667">
        <v>1721300</v>
      </c>
    </row>
    <row r="2668" spans="1:4" x14ac:dyDescent="0.2">
      <c r="A2668">
        <v>1975</v>
      </c>
      <c r="B2668" s="1" t="s">
        <v>24</v>
      </c>
      <c r="C2668" t="s">
        <v>12</v>
      </c>
      <c r="D2668">
        <v>1854100</v>
      </c>
    </row>
    <row r="2669" spans="1:4" x14ac:dyDescent="0.2">
      <c r="A2669">
        <v>1975</v>
      </c>
      <c r="B2669" s="1" t="s">
        <v>25</v>
      </c>
      <c r="C2669" t="s">
        <v>12</v>
      </c>
      <c r="D2669">
        <v>1896600</v>
      </c>
    </row>
    <row r="2670" spans="1:4" x14ac:dyDescent="0.2">
      <c r="A2670">
        <v>1975</v>
      </c>
      <c r="B2670" s="1" t="s">
        <v>24</v>
      </c>
      <c r="C2670" t="s">
        <v>13</v>
      </c>
      <c r="D2670">
        <v>1524200</v>
      </c>
    </row>
    <row r="2671" spans="1:4" x14ac:dyDescent="0.2">
      <c r="A2671">
        <v>1975</v>
      </c>
      <c r="B2671" s="1" t="s">
        <v>25</v>
      </c>
      <c r="C2671" t="s">
        <v>13</v>
      </c>
      <c r="D2671">
        <v>1571400</v>
      </c>
    </row>
    <row r="2672" spans="1:4" x14ac:dyDescent="0.2">
      <c r="A2672">
        <v>1975</v>
      </c>
      <c r="B2672" s="1" t="s">
        <v>24</v>
      </c>
      <c r="C2672" t="s">
        <v>14</v>
      </c>
      <c r="D2672">
        <v>1414900</v>
      </c>
    </row>
    <row r="2673" spans="1:4" x14ac:dyDescent="0.2">
      <c r="A2673">
        <v>1975</v>
      </c>
      <c r="B2673" s="1" t="s">
        <v>25</v>
      </c>
      <c r="C2673" t="s">
        <v>14</v>
      </c>
      <c r="D2673">
        <v>1462900</v>
      </c>
    </row>
    <row r="2674" spans="1:4" x14ac:dyDescent="0.2">
      <c r="A2674">
        <v>1975</v>
      </c>
      <c r="B2674" s="1" t="s">
        <v>24</v>
      </c>
      <c r="C2674" t="s">
        <v>15</v>
      </c>
      <c r="D2674">
        <v>1375200</v>
      </c>
    </row>
    <row r="2675" spans="1:4" x14ac:dyDescent="0.2">
      <c r="A2675">
        <v>1975</v>
      </c>
      <c r="B2675" s="1" t="s">
        <v>25</v>
      </c>
      <c r="C2675" t="s">
        <v>15</v>
      </c>
      <c r="D2675">
        <v>1408700</v>
      </c>
    </row>
    <row r="2676" spans="1:4" x14ac:dyDescent="0.2">
      <c r="A2676">
        <v>1975</v>
      </c>
      <c r="B2676" s="1" t="s">
        <v>24</v>
      </c>
      <c r="C2676" t="s">
        <v>16</v>
      </c>
      <c r="D2676">
        <v>1459300</v>
      </c>
    </row>
    <row r="2677" spans="1:4" x14ac:dyDescent="0.2">
      <c r="A2677">
        <v>1975</v>
      </c>
      <c r="B2677" s="1" t="s">
        <v>25</v>
      </c>
      <c r="C2677" t="s">
        <v>16</v>
      </c>
      <c r="D2677">
        <v>1451900</v>
      </c>
    </row>
    <row r="2678" spans="1:4" x14ac:dyDescent="0.2">
      <c r="A2678">
        <v>1975</v>
      </c>
      <c r="B2678" s="1" t="s">
        <v>24</v>
      </c>
      <c r="C2678" t="s">
        <v>17</v>
      </c>
      <c r="D2678">
        <v>1592600</v>
      </c>
    </row>
    <row r="2679" spans="1:4" x14ac:dyDescent="0.2">
      <c r="A2679">
        <v>1975</v>
      </c>
      <c r="B2679" s="1" t="s">
        <v>25</v>
      </c>
      <c r="C2679" t="s">
        <v>17</v>
      </c>
      <c r="D2679">
        <v>1541400</v>
      </c>
    </row>
    <row r="2680" spans="1:4" x14ac:dyDescent="0.2">
      <c r="A2680">
        <v>1975</v>
      </c>
      <c r="B2680" s="1" t="s">
        <v>24</v>
      </c>
      <c r="C2680" t="s">
        <v>18</v>
      </c>
      <c r="D2680">
        <v>1396300</v>
      </c>
    </row>
    <row r="2681" spans="1:4" x14ac:dyDescent="0.2">
      <c r="A2681">
        <v>1975</v>
      </c>
      <c r="B2681" s="1" t="s">
        <v>25</v>
      </c>
      <c r="C2681" t="s">
        <v>18</v>
      </c>
      <c r="D2681">
        <v>1296500</v>
      </c>
    </row>
    <row r="2682" spans="1:4" x14ac:dyDescent="0.2">
      <c r="A2682">
        <v>1975</v>
      </c>
      <c r="B2682" s="1" t="s">
        <v>24</v>
      </c>
      <c r="C2682" t="s">
        <v>19</v>
      </c>
      <c r="D2682">
        <v>1498000</v>
      </c>
    </row>
    <row r="2683" spans="1:4" x14ac:dyDescent="0.2">
      <c r="A2683">
        <v>1975</v>
      </c>
      <c r="B2683" s="1" t="s">
        <v>25</v>
      </c>
      <c r="C2683" t="s">
        <v>19</v>
      </c>
      <c r="D2683">
        <v>1325500</v>
      </c>
    </row>
    <row r="2684" spans="1:4" x14ac:dyDescent="0.2">
      <c r="A2684">
        <v>1975</v>
      </c>
      <c r="B2684" s="1" t="s">
        <v>24</v>
      </c>
      <c r="C2684" t="s">
        <v>20</v>
      </c>
      <c r="D2684">
        <v>1394400</v>
      </c>
    </row>
    <row r="2685" spans="1:4" x14ac:dyDescent="0.2">
      <c r="A2685">
        <v>1975</v>
      </c>
      <c r="B2685" s="1" t="s">
        <v>25</v>
      </c>
      <c r="C2685" t="s">
        <v>20</v>
      </c>
      <c r="D2685">
        <v>1132300</v>
      </c>
    </row>
    <row r="2686" spans="1:4" x14ac:dyDescent="0.2">
      <c r="A2686">
        <v>1975</v>
      </c>
      <c r="B2686" s="1" t="s">
        <v>24</v>
      </c>
      <c r="C2686" t="s">
        <v>21</v>
      </c>
      <c r="D2686">
        <v>1173300</v>
      </c>
    </row>
    <row r="2687" spans="1:4" x14ac:dyDescent="0.2">
      <c r="A2687">
        <v>1975</v>
      </c>
      <c r="B2687" s="1" t="s">
        <v>25</v>
      </c>
      <c r="C2687" t="s">
        <v>21</v>
      </c>
      <c r="D2687">
        <v>809900</v>
      </c>
    </row>
    <row r="2688" spans="1:4" x14ac:dyDescent="0.2">
      <c r="A2688">
        <v>1975</v>
      </c>
      <c r="B2688" s="1" t="s">
        <v>24</v>
      </c>
      <c r="C2688" t="s">
        <v>22</v>
      </c>
      <c r="D2688">
        <v>848900</v>
      </c>
    </row>
    <row r="2689" spans="1:4" x14ac:dyDescent="0.2">
      <c r="A2689">
        <v>1975</v>
      </c>
      <c r="B2689" s="1" t="s">
        <v>25</v>
      </c>
      <c r="C2689" t="s">
        <v>22</v>
      </c>
      <c r="D2689">
        <v>445600</v>
      </c>
    </row>
    <row r="2690" spans="1:4" x14ac:dyDescent="0.2">
      <c r="A2690">
        <v>1975</v>
      </c>
      <c r="B2690" s="1" t="s">
        <v>24</v>
      </c>
      <c r="C2690" t="s">
        <v>23</v>
      </c>
      <c r="D2690">
        <v>524800</v>
      </c>
    </row>
    <row r="2691" spans="1:4" x14ac:dyDescent="0.2">
      <c r="A2691">
        <v>1975</v>
      </c>
      <c r="B2691" s="1" t="s">
        <v>25</v>
      </c>
      <c r="C2691" t="s">
        <v>23</v>
      </c>
      <c r="D2691">
        <v>226100</v>
      </c>
    </row>
    <row r="2692" spans="1:4" x14ac:dyDescent="0.2">
      <c r="A2692">
        <v>1975</v>
      </c>
      <c r="B2692" s="1" t="s">
        <v>24</v>
      </c>
      <c r="C2692" t="s">
        <v>31</v>
      </c>
      <c r="D2692">
        <v>360500</v>
      </c>
    </row>
    <row r="2693" spans="1:4" x14ac:dyDescent="0.2">
      <c r="A2693">
        <v>1975</v>
      </c>
      <c r="B2693" s="1" t="s">
        <v>25</v>
      </c>
      <c r="C2693" t="s">
        <v>31</v>
      </c>
      <c r="D2693">
        <v>117700</v>
      </c>
    </row>
    <row r="2694" spans="1:4" x14ac:dyDescent="0.2">
      <c r="A2694">
        <v>1976</v>
      </c>
      <c r="B2694" s="1" t="s">
        <v>24</v>
      </c>
      <c r="C2694" s="1" t="s">
        <v>29</v>
      </c>
      <c r="D2694">
        <v>284600</v>
      </c>
    </row>
    <row r="2695" spans="1:4" x14ac:dyDescent="0.2">
      <c r="A2695">
        <v>1976</v>
      </c>
      <c r="B2695" s="1" t="s">
        <v>25</v>
      </c>
      <c r="C2695" s="1" t="s">
        <v>29</v>
      </c>
      <c r="D2695">
        <v>300100</v>
      </c>
    </row>
    <row r="2696" spans="1:4" x14ac:dyDescent="0.2">
      <c r="A2696">
        <v>1976</v>
      </c>
      <c r="B2696" s="1" t="s">
        <v>24</v>
      </c>
      <c r="C2696" s="2" t="s">
        <v>26</v>
      </c>
      <c r="D2696">
        <v>1284000</v>
      </c>
    </row>
    <row r="2697" spans="1:4" x14ac:dyDescent="0.2">
      <c r="A2697">
        <v>1976</v>
      </c>
      <c r="B2697" s="1" t="s">
        <v>25</v>
      </c>
      <c r="C2697" s="2" t="s">
        <v>26</v>
      </c>
      <c r="D2697">
        <v>1357600</v>
      </c>
    </row>
    <row r="2698" spans="1:4" x14ac:dyDescent="0.2">
      <c r="A2698">
        <v>1976</v>
      </c>
      <c r="B2698" s="1" t="s">
        <v>24</v>
      </c>
      <c r="C2698" s="2" t="s">
        <v>27</v>
      </c>
      <c r="D2698">
        <v>1895100</v>
      </c>
    </row>
    <row r="2699" spans="1:4" x14ac:dyDescent="0.2">
      <c r="A2699">
        <v>1976</v>
      </c>
      <c r="B2699" s="1" t="s">
        <v>25</v>
      </c>
      <c r="C2699" s="2" t="s">
        <v>27</v>
      </c>
      <c r="D2699">
        <v>2000300</v>
      </c>
    </row>
    <row r="2700" spans="1:4" x14ac:dyDescent="0.2">
      <c r="A2700">
        <v>1976</v>
      </c>
      <c r="B2700" s="1" t="s">
        <v>24</v>
      </c>
      <c r="C2700" s="3" t="s">
        <v>28</v>
      </c>
      <c r="D2700">
        <v>1980800</v>
      </c>
    </row>
    <row r="2701" spans="1:4" x14ac:dyDescent="0.2">
      <c r="A2701">
        <v>1976</v>
      </c>
      <c r="B2701" s="1" t="s">
        <v>25</v>
      </c>
      <c r="C2701" s="3" t="s">
        <v>28</v>
      </c>
      <c r="D2701">
        <v>2090500</v>
      </c>
    </row>
    <row r="2702" spans="1:4" x14ac:dyDescent="0.2">
      <c r="A2702">
        <v>1976</v>
      </c>
      <c r="B2702" s="1" t="s">
        <v>24</v>
      </c>
      <c r="C2702" t="s">
        <v>4</v>
      </c>
      <c r="D2702">
        <v>1799600</v>
      </c>
    </row>
    <row r="2703" spans="1:4" x14ac:dyDescent="0.2">
      <c r="A2703">
        <v>1976</v>
      </c>
      <c r="B2703" s="1" t="s">
        <v>25</v>
      </c>
      <c r="C2703" t="s">
        <v>4</v>
      </c>
      <c r="D2703">
        <v>1881500</v>
      </c>
    </row>
    <row r="2704" spans="1:4" x14ac:dyDescent="0.2">
      <c r="A2704">
        <v>1976</v>
      </c>
      <c r="B2704" s="1" t="s">
        <v>24</v>
      </c>
      <c r="C2704" t="s">
        <v>5</v>
      </c>
      <c r="D2704">
        <v>1667100</v>
      </c>
    </row>
    <row r="2705" spans="1:4" x14ac:dyDescent="0.2">
      <c r="A2705">
        <v>1976</v>
      </c>
      <c r="B2705" s="1" t="s">
        <v>25</v>
      </c>
      <c r="C2705" t="s">
        <v>5</v>
      </c>
      <c r="D2705">
        <v>1728300</v>
      </c>
    </row>
    <row r="2706" spans="1:4" x14ac:dyDescent="0.2">
      <c r="A2706">
        <v>1976</v>
      </c>
      <c r="B2706" s="1" t="s">
        <v>24</v>
      </c>
      <c r="C2706" t="s">
        <v>12</v>
      </c>
      <c r="D2706">
        <v>1858900</v>
      </c>
    </row>
    <row r="2707" spans="1:4" x14ac:dyDescent="0.2">
      <c r="A2707">
        <v>1976</v>
      </c>
      <c r="B2707" s="1" t="s">
        <v>25</v>
      </c>
      <c r="C2707" t="s">
        <v>12</v>
      </c>
      <c r="D2707">
        <v>1899500</v>
      </c>
    </row>
    <row r="2708" spans="1:4" x14ac:dyDescent="0.2">
      <c r="A2708">
        <v>1976</v>
      </c>
      <c r="B2708" s="1" t="s">
        <v>24</v>
      </c>
      <c r="C2708" t="s">
        <v>13</v>
      </c>
      <c r="D2708">
        <v>1588000</v>
      </c>
    </row>
    <row r="2709" spans="1:4" x14ac:dyDescent="0.2">
      <c r="A2709">
        <v>1976</v>
      </c>
      <c r="B2709" s="1" t="s">
        <v>25</v>
      </c>
      <c r="C2709" t="s">
        <v>13</v>
      </c>
      <c r="D2709">
        <v>1632300</v>
      </c>
    </row>
    <row r="2710" spans="1:4" x14ac:dyDescent="0.2">
      <c r="A2710">
        <v>1976</v>
      </c>
      <c r="B2710" s="1" t="s">
        <v>24</v>
      </c>
      <c r="C2710" t="s">
        <v>14</v>
      </c>
      <c r="D2710">
        <v>1401400</v>
      </c>
    </row>
    <row r="2711" spans="1:4" x14ac:dyDescent="0.2">
      <c r="A2711">
        <v>1976</v>
      </c>
      <c r="B2711" s="1" t="s">
        <v>25</v>
      </c>
      <c r="C2711" t="s">
        <v>14</v>
      </c>
      <c r="D2711">
        <v>1443500</v>
      </c>
    </row>
    <row r="2712" spans="1:4" x14ac:dyDescent="0.2">
      <c r="A2712">
        <v>1976</v>
      </c>
      <c r="B2712" s="1" t="s">
        <v>24</v>
      </c>
      <c r="C2712" t="s">
        <v>15</v>
      </c>
      <c r="D2712">
        <v>1363200</v>
      </c>
    </row>
    <row r="2713" spans="1:4" x14ac:dyDescent="0.2">
      <c r="A2713">
        <v>1976</v>
      </c>
      <c r="B2713" s="1" t="s">
        <v>25</v>
      </c>
      <c r="C2713" t="s">
        <v>15</v>
      </c>
      <c r="D2713">
        <v>1399500</v>
      </c>
    </row>
    <row r="2714" spans="1:4" x14ac:dyDescent="0.2">
      <c r="A2714">
        <v>1976</v>
      </c>
      <c r="B2714" s="1" t="s">
        <v>24</v>
      </c>
      <c r="C2714" t="s">
        <v>16</v>
      </c>
      <c r="D2714">
        <v>1441700</v>
      </c>
    </row>
    <row r="2715" spans="1:4" x14ac:dyDescent="0.2">
      <c r="A2715">
        <v>1976</v>
      </c>
      <c r="B2715" s="1" t="s">
        <v>25</v>
      </c>
      <c r="C2715" t="s">
        <v>16</v>
      </c>
      <c r="D2715">
        <v>1436900</v>
      </c>
    </row>
    <row r="2716" spans="1:4" x14ac:dyDescent="0.2">
      <c r="A2716">
        <v>1976</v>
      </c>
      <c r="B2716" s="1" t="s">
        <v>24</v>
      </c>
      <c r="C2716" t="s">
        <v>17</v>
      </c>
      <c r="D2716">
        <v>1537500</v>
      </c>
    </row>
    <row r="2717" spans="1:4" x14ac:dyDescent="0.2">
      <c r="A2717">
        <v>1976</v>
      </c>
      <c r="B2717" s="1" t="s">
        <v>25</v>
      </c>
      <c r="C2717" t="s">
        <v>17</v>
      </c>
      <c r="D2717">
        <v>1496700</v>
      </c>
    </row>
    <row r="2718" spans="1:4" x14ac:dyDescent="0.2">
      <c r="A2718">
        <v>1976</v>
      </c>
      <c r="B2718" s="1" t="s">
        <v>24</v>
      </c>
      <c r="C2718" t="s">
        <v>18</v>
      </c>
      <c r="D2718">
        <v>1448300</v>
      </c>
    </row>
    <row r="2719" spans="1:4" x14ac:dyDescent="0.2">
      <c r="A2719">
        <v>1976</v>
      </c>
      <c r="B2719" s="1" t="s">
        <v>25</v>
      </c>
      <c r="C2719" t="s">
        <v>18</v>
      </c>
      <c r="D2719">
        <v>1346300</v>
      </c>
    </row>
    <row r="2720" spans="1:4" x14ac:dyDescent="0.2">
      <c r="A2720">
        <v>1976</v>
      </c>
      <c r="B2720" s="1" t="s">
        <v>24</v>
      </c>
      <c r="C2720" t="s">
        <v>19</v>
      </c>
      <c r="D2720">
        <v>1473400</v>
      </c>
    </row>
    <row r="2721" spans="1:4" x14ac:dyDescent="0.2">
      <c r="A2721">
        <v>1976</v>
      </c>
      <c r="B2721" s="1" t="s">
        <v>25</v>
      </c>
      <c r="C2721" t="s">
        <v>19</v>
      </c>
      <c r="D2721">
        <v>1303500</v>
      </c>
    </row>
    <row r="2722" spans="1:4" x14ac:dyDescent="0.2">
      <c r="A2722">
        <v>1976</v>
      </c>
      <c r="B2722" s="1" t="s">
        <v>24</v>
      </c>
      <c r="C2722" t="s">
        <v>20</v>
      </c>
      <c r="D2722">
        <v>1394200</v>
      </c>
    </row>
    <row r="2723" spans="1:4" x14ac:dyDescent="0.2">
      <c r="A2723">
        <v>1976</v>
      </c>
      <c r="B2723" s="1" t="s">
        <v>25</v>
      </c>
      <c r="C2723" t="s">
        <v>20</v>
      </c>
      <c r="D2723">
        <v>1135800</v>
      </c>
    </row>
    <row r="2724" spans="1:4" x14ac:dyDescent="0.2">
      <c r="A2724">
        <v>1976</v>
      </c>
      <c r="B2724" s="1" t="s">
        <v>24</v>
      </c>
      <c r="C2724" t="s">
        <v>21</v>
      </c>
      <c r="D2724">
        <v>1183000</v>
      </c>
    </row>
    <row r="2725" spans="1:4" x14ac:dyDescent="0.2">
      <c r="A2725">
        <v>1976</v>
      </c>
      <c r="B2725" s="1" t="s">
        <v>25</v>
      </c>
      <c r="C2725" t="s">
        <v>21</v>
      </c>
      <c r="D2725">
        <v>827300</v>
      </c>
    </row>
    <row r="2726" spans="1:4" x14ac:dyDescent="0.2">
      <c r="A2726">
        <v>1976</v>
      </c>
      <c r="B2726" s="1" t="s">
        <v>24</v>
      </c>
      <c r="C2726" t="s">
        <v>22</v>
      </c>
      <c r="D2726">
        <v>869200</v>
      </c>
    </row>
    <row r="2727" spans="1:4" x14ac:dyDescent="0.2">
      <c r="A2727">
        <v>1976</v>
      </c>
      <c r="B2727" s="1" t="s">
        <v>25</v>
      </c>
      <c r="C2727" t="s">
        <v>22</v>
      </c>
      <c r="D2727">
        <v>464800</v>
      </c>
    </row>
    <row r="2728" spans="1:4" x14ac:dyDescent="0.2">
      <c r="A2728">
        <v>1976</v>
      </c>
      <c r="B2728" s="1" t="s">
        <v>24</v>
      </c>
      <c r="C2728" t="s">
        <v>23</v>
      </c>
      <c r="D2728">
        <v>533500</v>
      </c>
    </row>
    <row r="2729" spans="1:4" x14ac:dyDescent="0.2">
      <c r="A2729">
        <v>1976</v>
      </c>
      <c r="B2729" s="1" t="s">
        <v>25</v>
      </c>
      <c r="C2729" t="s">
        <v>23</v>
      </c>
      <c r="D2729">
        <v>225500</v>
      </c>
    </row>
    <row r="2730" spans="1:4" x14ac:dyDescent="0.2">
      <c r="A2730">
        <v>1976</v>
      </c>
      <c r="B2730" s="1" t="s">
        <v>24</v>
      </c>
      <c r="C2730" t="s">
        <v>31</v>
      </c>
      <c r="D2730">
        <v>366600</v>
      </c>
    </row>
    <row r="2731" spans="1:4" x14ac:dyDescent="0.2">
      <c r="A2731">
        <v>1976</v>
      </c>
      <c r="B2731" s="1" t="s">
        <v>25</v>
      </c>
      <c r="C2731" t="s">
        <v>31</v>
      </c>
      <c r="D2731">
        <v>119200</v>
      </c>
    </row>
    <row r="2732" spans="1:4" x14ac:dyDescent="0.2">
      <c r="A2732">
        <v>1977</v>
      </c>
      <c r="B2732" s="1" t="s">
        <v>24</v>
      </c>
      <c r="C2732" s="1" t="s">
        <v>29</v>
      </c>
      <c r="D2732">
        <v>271800</v>
      </c>
    </row>
    <row r="2733" spans="1:4" x14ac:dyDescent="0.2">
      <c r="A2733">
        <v>1977</v>
      </c>
      <c r="B2733" s="1" t="s">
        <v>25</v>
      </c>
      <c r="C2733" s="1" t="s">
        <v>29</v>
      </c>
      <c r="D2733">
        <v>287000</v>
      </c>
    </row>
    <row r="2734" spans="1:4" x14ac:dyDescent="0.2">
      <c r="A2734">
        <v>1977</v>
      </c>
      <c r="B2734" s="1" t="s">
        <v>24</v>
      </c>
      <c r="C2734" s="2" t="s">
        <v>26</v>
      </c>
      <c r="D2734">
        <v>1211300</v>
      </c>
    </row>
    <row r="2735" spans="1:4" x14ac:dyDescent="0.2">
      <c r="A2735">
        <v>1977</v>
      </c>
      <c r="B2735" s="1" t="s">
        <v>25</v>
      </c>
      <c r="C2735" s="2" t="s">
        <v>26</v>
      </c>
      <c r="D2735">
        <v>1280800</v>
      </c>
    </row>
    <row r="2736" spans="1:4" x14ac:dyDescent="0.2">
      <c r="A2736">
        <v>1977</v>
      </c>
      <c r="B2736" s="1" t="s">
        <v>24</v>
      </c>
      <c r="C2736" s="2" t="s">
        <v>27</v>
      </c>
      <c r="D2736">
        <v>1849500</v>
      </c>
    </row>
    <row r="2737" spans="1:4" x14ac:dyDescent="0.2">
      <c r="A2737">
        <v>1977</v>
      </c>
      <c r="B2737" s="1" t="s">
        <v>25</v>
      </c>
      <c r="C2737" s="2" t="s">
        <v>27</v>
      </c>
      <c r="D2737">
        <v>1951300</v>
      </c>
    </row>
    <row r="2738" spans="1:4" x14ac:dyDescent="0.2">
      <c r="A2738">
        <v>1977</v>
      </c>
      <c r="B2738" s="1" t="s">
        <v>24</v>
      </c>
      <c r="C2738" s="3" t="s">
        <v>28</v>
      </c>
      <c r="D2738">
        <v>1987700</v>
      </c>
    </row>
    <row r="2739" spans="1:4" x14ac:dyDescent="0.2">
      <c r="A2739">
        <v>1977</v>
      </c>
      <c r="B2739" s="1" t="s">
        <v>25</v>
      </c>
      <c r="C2739" s="3" t="s">
        <v>28</v>
      </c>
      <c r="D2739">
        <v>2102900</v>
      </c>
    </row>
    <row r="2740" spans="1:4" x14ac:dyDescent="0.2">
      <c r="A2740">
        <v>1977</v>
      </c>
      <c r="B2740" s="1" t="s">
        <v>24</v>
      </c>
      <c r="C2740" t="s">
        <v>4</v>
      </c>
      <c r="D2740">
        <v>1852900</v>
      </c>
    </row>
    <row r="2741" spans="1:4" x14ac:dyDescent="0.2">
      <c r="A2741">
        <v>1977</v>
      </c>
      <c r="B2741" s="1" t="s">
        <v>25</v>
      </c>
      <c r="C2741" t="s">
        <v>4</v>
      </c>
      <c r="D2741">
        <v>1929500</v>
      </c>
    </row>
    <row r="2742" spans="1:4" x14ac:dyDescent="0.2">
      <c r="A2742">
        <v>1977</v>
      </c>
      <c r="B2742" s="1" t="s">
        <v>24</v>
      </c>
      <c r="C2742" t="s">
        <v>5</v>
      </c>
      <c r="D2742">
        <v>1683300</v>
      </c>
    </row>
    <row r="2743" spans="1:4" x14ac:dyDescent="0.2">
      <c r="A2743">
        <v>1977</v>
      </c>
      <c r="B2743" s="1" t="s">
        <v>25</v>
      </c>
      <c r="C2743" t="s">
        <v>5</v>
      </c>
      <c r="D2743">
        <v>1749200</v>
      </c>
    </row>
    <row r="2744" spans="1:4" x14ac:dyDescent="0.2">
      <c r="A2744">
        <v>1977</v>
      </c>
      <c r="B2744" s="1" t="s">
        <v>24</v>
      </c>
      <c r="C2744" t="s">
        <v>12</v>
      </c>
      <c r="D2744">
        <v>1769300</v>
      </c>
    </row>
    <row r="2745" spans="1:4" x14ac:dyDescent="0.2">
      <c r="A2745">
        <v>1977</v>
      </c>
      <c r="B2745" s="1" t="s">
        <v>25</v>
      </c>
      <c r="C2745" t="s">
        <v>12</v>
      </c>
      <c r="D2745">
        <v>1801800</v>
      </c>
    </row>
    <row r="2746" spans="1:4" x14ac:dyDescent="0.2">
      <c r="A2746">
        <v>1977</v>
      </c>
      <c r="B2746" s="1" t="s">
        <v>24</v>
      </c>
      <c r="C2746" t="s">
        <v>13</v>
      </c>
      <c r="D2746">
        <v>1721500</v>
      </c>
    </row>
    <row r="2747" spans="1:4" x14ac:dyDescent="0.2">
      <c r="A2747">
        <v>1977</v>
      </c>
      <c r="B2747" s="1" t="s">
        <v>25</v>
      </c>
      <c r="C2747" t="s">
        <v>13</v>
      </c>
      <c r="D2747">
        <v>1765400</v>
      </c>
    </row>
    <row r="2748" spans="1:4" x14ac:dyDescent="0.2">
      <c r="A2748">
        <v>1977</v>
      </c>
      <c r="B2748" s="1" t="s">
        <v>24</v>
      </c>
      <c r="C2748" t="s">
        <v>14</v>
      </c>
      <c r="D2748">
        <v>1405200</v>
      </c>
    </row>
    <row r="2749" spans="1:4" x14ac:dyDescent="0.2">
      <c r="A2749">
        <v>1977</v>
      </c>
      <c r="B2749" s="1" t="s">
        <v>25</v>
      </c>
      <c r="C2749" t="s">
        <v>14</v>
      </c>
      <c r="D2749">
        <v>1441600</v>
      </c>
    </row>
    <row r="2750" spans="1:4" x14ac:dyDescent="0.2">
      <c r="A2750">
        <v>1977</v>
      </c>
      <c r="B2750" s="1" t="s">
        <v>24</v>
      </c>
      <c r="C2750" t="s">
        <v>15</v>
      </c>
      <c r="D2750">
        <v>1362500</v>
      </c>
    </row>
    <row r="2751" spans="1:4" x14ac:dyDescent="0.2">
      <c r="A2751">
        <v>1977</v>
      </c>
      <c r="B2751" s="1" t="s">
        <v>25</v>
      </c>
      <c r="C2751" t="s">
        <v>15</v>
      </c>
      <c r="D2751">
        <v>1401300</v>
      </c>
    </row>
    <row r="2752" spans="1:4" x14ac:dyDescent="0.2">
      <c r="A2752">
        <v>1977</v>
      </c>
      <c r="B2752" s="1" t="s">
        <v>24</v>
      </c>
      <c r="C2752" t="s">
        <v>16</v>
      </c>
      <c r="D2752">
        <v>1424400</v>
      </c>
    </row>
    <row r="2753" spans="1:4" x14ac:dyDescent="0.2">
      <c r="A2753">
        <v>1977</v>
      </c>
      <c r="B2753" s="1" t="s">
        <v>25</v>
      </c>
      <c r="C2753" t="s">
        <v>16</v>
      </c>
      <c r="D2753">
        <v>1424300</v>
      </c>
    </row>
    <row r="2754" spans="1:4" x14ac:dyDescent="0.2">
      <c r="A2754">
        <v>1977</v>
      </c>
      <c r="B2754" s="1" t="s">
        <v>24</v>
      </c>
      <c r="C2754" t="s">
        <v>17</v>
      </c>
      <c r="D2754">
        <v>1495700</v>
      </c>
    </row>
    <row r="2755" spans="1:4" x14ac:dyDescent="0.2">
      <c r="A2755">
        <v>1977</v>
      </c>
      <c r="B2755" s="1" t="s">
        <v>25</v>
      </c>
      <c r="C2755" t="s">
        <v>17</v>
      </c>
      <c r="D2755">
        <v>1460000</v>
      </c>
    </row>
    <row r="2756" spans="1:4" x14ac:dyDescent="0.2">
      <c r="A2756">
        <v>1977</v>
      </c>
      <c r="B2756" s="1" t="s">
        <v>24</v>
      </c>
      <c r="C2756" t="s">
        <v>18</v>
      </c>
      <c r="D2756">
        <v>1501000</v>
      </c>
    </row>
    <row r="2757" spans="1:4" x14ac:dyDescent="0.2">
      <c r="A2757">
        <v>1977</v>
      </c>
      <c r="B2757" s="1" t="s">
        <v>25</v>
      </c>
      <c r="C2757" t="s">
        <v>18</v>
      </c>
      <c r="D2757">
        <v>1399600</v>
      </c>
    </row>
    <row r="2758" spans="1:4" x14ac:dyDescent="0.2">
      <c r="A2758">
        <v>1977</v>
      </c>
      <c r="B2758" s="1" t="s">
        <v>24</v>
      </c>
      <c r="C2758" t="s">
        <v>19</v>
      </c>
      <c r="D2758">
        <v>1431700</v>
      </c>
    </row>
    <row r="2759" spans="1:4" x14ac:dyDescent="0.2">
      <c r="A2759">
        <v>1977</v>
      </c>
      <c r="B2759" s="1" t="s">
        <v>25</v>
      </c>
      <c r="C2759" t="s">
        <v>19</v>
      </c>
      <c r="D2759">
        <v>1263700</v>
      </c>
    </row>
    <row r="2760" spans="1:4" x14ac:dyDescent="0.2">
      <c r="A2760">
        <v>1977</v>
      </c>
      <c r="B2760" s="1" t="s">
        <v>24</v>
      </c>
      <c r="C2760" t="s">
        <v>20</v>
      </c>
      <c r="D2760">
        <v>1392500</v>
      </c>
    </row>
    <row r="2761" spans="1:4" x14ac:dyDescent="0.2">
      <c r="A2761">
        <v>1977</v>
      </c>
      <c r="B2761" s="1" t="s">
        <v>25</v>
      </c>
      <c r="C2761" t="s">
        <v>20</v>
      </c>
      <c r="D2761">
        <v>1138000</v>
      </c>
    </row>
    <row r="2762" spans="1:4" x14ac:dyDescent="0.2">
      <c r="A2762">
        <v>1977</v>
      </c>
      <c r="B2762" s="1" t="s">
        <v>24</v>
      </c>
      <c r="C2762" t="s">
        <v>21</v>
      </c>
      <c r="D2762">
        <v>1197400</v>
      </c>
    </row>
    <row r="2763" spans="1:4" x14ac:dyDescent="0.2">
      <c r="A2763">
        <v>1977</v>
      </c>
      <c r="B2763" s="1" t="s">
        <v>25</v>
      </c>
      <c r="C2763" t="s">
        <v>21</v>
      </c>
      <c r="D2763">
        <v>843900</v>
      </c>
    </row>
    <row r="2764" spans="1:4" x14ac:dyDescent="0.2">
      <c r="A2764">
        <v>1977</v>
      </c>
      <c r="B2764" s="1" t="s">
        <v>24</v>
      </c>
      <c r="C2764" t="s">
        <v>22</v>
      </c>
      <c r="D2764">
        <v>886900</v>
      </c>
    </row>
    <row r="2765" spans="1:4" x14ac:dyDescent="0.2">
      <c r="A2765">
        <v>1977</v>
      </c>
      <c r="B2765" s="1" t="s">
        <v>25</v>
      </c>
      <c r="C2765" t="s">
        <v>22</v>
      </c>
      <c r="D2765">
        <v>486400</v>
      </c>
    </row>
    <row r="2766" spans="1:4" x14ac:dyDescent="0.2">
      <c r="A2766">
        <v>1977</v>
      </c>
      <c r="B2766" s="1" t="s">
        <v>24</v>
      </c>
      <c r="C2766" t="s">
        <v>23</v>
      </c>
      <c r="D2766">
        <v>544200</v>
      </c>
    </row>
    <row r="2767" spans="1:4" x14ac:dyDescent="0.2">
      <c r="A2767">
        <v>1977</v>
      </c>
      <c r="B2767" s="1" t="s">
        <v>25</v>
      </c>
      <c r="C2767" t="s">
        <v>23</v>
      </c>
      <c r="D2767">
        <v>229400</v>
      </c>
    </row>
    <row r="2768" spans="1:4" x14ac:dyDescent="0.2">
      <c r="A2768">
        <v>1977</v>
      </c>
      <c r="B2768" s="1" t="s">
        <v>24</v>
      </c>
      <c r="C2768" t="s">
        <v>31</v>
      </c>
      <c r="D2768">
        <v>375400</v>
      </c>
    </row>
    <row r="2769" spans="1:4" x14ac:dyDescent="0.2">
      <c r="A2769">
        <v>1977</v>
      </c>
      <c r="B2769" s="1" t="s">
        <v>25</v>
      </c>
      <c r="C2769" t="s">
        <v>31</v>
      </c>
      <c r="D2769">
        <v>120100</v>
      </c>
    </row>
    <row r="2770" spans="1:4" x14ac:dyDescent="0.2">
      <c r="A2770">
        <v>1978</v>
      </c>
      <c r="B2770" s="1" t="s">
        <v>24</v>
      </c>
      <c r="C2770" s="1" t="s">
        <v>29</v>
      </c>
      <c r="D2770">
        <v>276500</v>
      </c>
    </row>
    <row r="2771" spans="1:4" x14ac:dyDescent="0.2">
      <c r="A2771">
        <v>1978</v>
      </c>
      <c r="B2771" s="1" t="s">
        <v>25</v>
      </c>
      <c r="C2771" s="1" t="s">
        <v>29</v>
      </c>
      <c r="D2771">
        <v>291400</v>
      </c>
    </row>
    <row r="2772" spans="1:4" x14ac:dyDescent="0.2">
      <c r="A2772">
        <v>1978</v>
      </c>
      <c r="B2772" s="1" t="s">
        <v>24</v>
      </c>
      <c r="C2772" s="2" t="s">
        <v>26</v>
      </c>
      <c r="D2772">
        <v>1153800</v>
      </c>
    </row>
    <row r="2773" spans="1:4" x14ac:dyDescent="0.2">
      <c r="A2773">
        <v>1978</v>
      </c>
      <c r="B2773" s="1" t="s">
        <v>25</v>
      </c>
      <c r="C2773" s="2" t="s">
        <v>26</v>
      </c>
      <c r="D2773">
        <v>1217400</v>
      </c>
    </row>
    <row r="2774" spans="1:4" x14ac:dyDescent="0.2">
      <c r="A2774">
        <v>1978</v>
      </c>
      <c r="B2774" s="1" t="s">
        <v>24</v>
      </c>
      <c r="C2774" s="2" t="s">
        <v>27</v>
      </c>
      <c r="D2774">
        <v>1795200</v>
      </c>
    </row>
    <row r="2775" spans="1:4" x14ac:dyDescent="0.2">
      <c r="A2775">
        <v>1978</v>
      </c>
      <c r="B2775" s="1" t="s">
        <v>25</v>
      </c>
      <c r="C2775" s="2" t="s">
        <v>27</v>
      </c>
      <c r="D2775">
        <v>1895600</v>
      </c>
    </row>
    <row r="2776" spans="1:4" x14ac:dyDescent="0.2">
      <c r="A2776">
        <v>1978</v>
      </c>
      <c r="B2776" s="1" t="s">
        <v>24</v>
      </c>
      <c r="C2776" s="3" t="s">
        <v>28</v>
      </c>
      <c r="D2776">
        <v>1979000</v>
      </c>
    </row>
    <row r="2777" spans="1:4" x14ac:dyDescent="0.2">
      <c r="A2777">
        <v>1978</v>
      </c>
      <c r="B2777" s="1" t="s">
        <v>25</v>
      </c>
      <c r="C2777" s="3" t="s">
        <v>28</v>
      </c>
      <c r="D2777">
        <v>2091800</v>
      </c>
    </row>
    <row r="2778" spans="1:4" x14ac:dyDescent="0.2">
      <c r="A2778">
        <v>1978</v>
      </c>
      <c r="B2778" s="1" t="s">
        <v>24</v>
      </c>
      <c r="C2778" t="s">
        <v>4</v>
      </c>
      <c r="D2778">
        <v>1902600</v>
      </c>
    </row>
    <row r="2779" spans="1:4" x14ac:dyDescent="0.2">
      <c r="A2779">
        <v>1978</v>
      </c>
      <c r="B2779" s="1" t="s">
        <v>25</v>
      </c>
      <c r="C2779" t="s">
        <v>4</v>
      </c>
      <c r="D2779">
        <v>1979800</v>
      </c>
    </row>
    <row r="2780" spans="1:4" x14ac:dyDescent="0.2">
      <c r="A2780">
        <v>1978</v>
      </c>
      <c r="B2780" s="1" t="s">
        <v>24</v>
      </c>
      <c r="C2780" t="s">
        <v>5</v>
      </c>
      <c r="D2780">
        <v>1708100</v>
      </c>
    </row>
    <row r="2781" spans="1:4" x14ac:dyDescent="0.2">
      <c r="A2781">
        <v>1978</v>
      </c>
      <c r="B2781" s="1" t="s">
        <v>25</v>
      </c>
      <c r="C2781" t="s">
        <v>5</v>
      </c>
      <c r="D2781">
        <v>1769800</v>
      </c>
    </row>
    <row r="2782" spans="1:4" x14ac:dyDescent="0.2">
      <c r="A2782">
        <v>1978</v>
      </c>
      <c r="B2782" s="1" t="s">
        <v>24</v>
      </c>
      <c r="C2782" t="s">
        <v>12</v>
      </c>
      <c r="D2782">
        <v>1717800</v>
      </c>
    </row>
    <row r="2783" spans="1:4" x14ac:dyDescent="0.2">
      <c r="A2783">
        <v>1978</v>
      </c>
      <c r="B2783" s="1" t="s">
        <v>25</v>
      </c>
      <c r="C2783" t="s">
        <v>12</v>
      </c>
      <c r="D2783">
        <v>1748200</v>
      </c>
    </row>
    <row r="2784" spans="1:4" x14ac:dyDescent="0.2">
      <c r="A2784">
        <v>1978</v>
      </c>
      <c r="B2784" s="1" t="s">
        <v>24</v>
      </c>
      <c r="C2784" t="s">
        <v>13</v>
      </c>
      <c r="D2784">
        <v>1792100</v>
      </c>
    </row>
    <row r="2785" spans="1:4" x14ac:dyDescent="0.2">
      <c r="A2785">
        <v>1978</v>
      </c>
      <c r="B2785" s="1" t="s">
        <v>25</v>
      </c>
      <c r="C2785" t="s">
        <v>13</v>
      </c>
      <c r="D2785">
        <v>1831900</v>
      </c>
    </row>
    <row r="2786" spans="1:4" x14ac:dyDescent="0.2">
      <c r="A2786">
        <v>1978</v>
      </c>
      <c r="B2786" s="1" t="s">
        <v>24</v>
      </c>
      <c r="C2786" t="s">
        <v>14</v>
      </c>
      <c r="D2786">
        <v>1432400</v>
      </c>
    </row>
    <row r="2787" spans="1:4" x14ac:dyDescent="0.2">
      <c r="A2787">
        <v>1978</v>
      </c>
      <c r="B2787" s="1" t="s">
        <v>25</v>
      </c>
      <c r="C2787" t="s">
        <v>14</v>
      </c>
      <c r="D2787">
        <v>1464100</v>
      </c>
    </row>
    <row r="2788" spans="1:4" x14ac:dyDescent="0.2">
      <c r="A2788">
        <v>1978</v>
      </c>
      <c r="B2788" s="1" t="s">
        <v>24</v>
      </c>
      <c r="C2788" t="s">
        <v>15</v>
      </c>
      <c r="D2788">
        <v>1376400</v>
      </c>
    </row>
    <row r="2789" spans="1:4" x14ac:dyDescent="0.2">
      <c r="A2789">
        <v>1978</v>
      </c>
      <c r="B2789" s="1" t="s">
        <v>25</v>
      </c>
      <c r="C2789" t="s">
        <v>15</v>
      </c>
      <c r="D2789">
        <v>1415800</v>
      </c>
    </row>
    <row r="2790" spans="1:4" x14ac:dyDescent="0.2">
      <c r="A2790">
        <v>1978</v>
      </c>
      <c r="B2790" s="1" t="s">
        <v>24</v>
      </c>
      <c r="C2790" t="s">
        <v>16</v>
      </c>
      <c r="D2790">
        <v>1405300</v>
      </c>
    </row>
    <row r="2791" spans="1:4" x14ac:dyDescent="0.2">
      <c r="A2791">
        <v>1978</v>
      </c>
      <c r="B2791" s="1" t="s">
        <v>25</v>
      </c>
      <c r="C2791" t="s">
        <v>16</v>
      </c>
      <c r="D2791">
        <v>1409500</v>
      </c>
    </row>
    <row r="2792" spans="1:4" x14ac:dyDescent="0.2">
      <c r="A2792">
        <v>1978</v>
      </c>
      <c r="B2792" s="1" t="s">
        <v>24</v>
      </c>
      <c r="C2792" t="s">
        <v>17</v>
      </c>
      <c r="D2792">
        <v>1466100</v>
      </c>
    </row>
    <row r="2793" spans="1:4" x14ac:dyDescent="0.2">
      <c r="A2793">
        <v>1978</v>
      </c>
      <c r="B2793" s="1" t="s">
        <v>25</v>
      </c>
      <c r="C2793" t="s">
        <v>17</v>
      </c>
      <c r="D2793">
        <v>1435500</v>
      </c>
    </row>
    <row r="2794" spans="1:4" x14ac:dyDescent="0.2">
      <c r="A2794">
        <v>1978</v>
      </c>
      <c r="B2794" s="1" t="s">
        <v>24</v>
      </c>
      <c r="C2794" t="s">
        <v>18</v>
      </c>
      <c r="D2794">
        <v>1561100</v>
      </c>
    </row>
    <row r="2795" spans="1:4" x14ac:dyDescent="0.2">
      <c r="A2795">
        <v>1978</v>
      </c>
      <c r="B2795" s="1" t="s">
        <v>25</v>
      </c>
      <c r="C2795" t="s">
        <v>18</v>
      </c>
      <c r="D2795">
        <v>1460500</v>
      </c>
    </row>
    <row r="2796" spans="1:4" x14ac:dyDescent="0.2">
      <c r="A2796">
        <v>1978</v>
      </c>
      <c r="B2796" s="1" t="s">
        <v>24</v>
      </c>
      <c r="C2796" t="s">
        <v>19</v>
      </c>
      <c r="D2796">
        <v>1356100</v>
      </c>
    </row>
    <row r="2797" spans="1:4" x14ac:dyDescent="0.2">
      <c r="A2797">
        <v>1978</v>
      </c>
      <c r="B2797" s="1" t="s">
        <v>25</v>
      </c>
      <c r="C2797" t="s">
        <v>19</v>
      </c>
      <c r="D2797">
        <v>1192900</v>
      </c>
    </row>
    <row r="2798" spans="1:4" x14ac:dyDescent="0.2">
      <c r="A2798">
        <v>1978</v>
      </c>
      <c r="B2798" s="1" t="s">
        <v>24</v>
      </c>
      <c r="C2798" t="s">
        <v>20</v>
      </c>
      <c r="D2798">
        <v>1391900</v>
      </c>
    </row>
    <row r="2799" spans="1:4" x14ac:dyDescent="0.2">
      <c r="A2799">
        <v>1978</v>
      </c>
      <c r="B2799" s="1" t="s">
        <v>25</v>
      </c>
      <c r="C2799" t="s">
        <v>20</v>
      </c>
      <c r="D2799">
        <v>1140100</v>
      </c>
    </row>
    <row r="2800" spans="1:4" x14ac:dyDescent="0.2">
      <c r="A2800">
        <v>1978</v>
      </c>
      <c r="B2800" s="1" t="s">
        <v>24</v>
      </c>
      <c r="C2800" t="s">
        <v>21</v>
      </c>
      <c r="D2800">
        <v>1212100</v>
      </c>
    </row>
    <row r="2801" spans="1:4" x14ac:dyDescent="0.2">
      <c r="A2801">
        <v>1978</v>
      </c>
      <c r="B2801" s="1" t="s">
        <v>25</v>
      </c>
      <c r="C2801" t="s">
        <v>21</v>
      </c>
      <c r="D2801">
        <v>859600</v>
      </c>
    </row>
    <row r="2802" spans="1:4" x14ac:dyDescent="0.2">
      <c r="A2802">
        <v>1978</v>
      </c>
      <c r="B2802" s="1" t="s">
        <v>24</v>
      </c>
      <c r="C2802" t="s">
        <v>22</v>
      </c>
      <c r="D2802">
        <v>909500</v>
      </c>
    </row>
    <row r="2803" spans="1:4" x14ac:dyDescent="0.2">
      <c r="A2803">
        <v>1978</v>
      </c>
      <c r="B2803" s="1" t="s">
        <v>25</v>
      </c>
      <c r="C2803" t="s">
        <v>22</v>
      </c>
      <c r="D2803">
        <v>509000</v>
      </c>
    </row>
    <row r="2804" spans="1:4" x14ac:dyDescent="0.2">
      <c r="A2804">
        <v>1978</v>
      </c>
      <c r="B2804" s="1" t="s">
        <v>24</v>
      </c>
      <c r="C2804" t="s">
        <v>23</v>
      </c>
      <c r="D2804">
        <v>554100</v>
      </c>
    </row>
    <row r="2805" spans="1:4" x14ac:dyDescent="0.2">
      <c r="A2805">
        <v>1978</v>
      </c>
      <c r="B2805" s="1" t="s">
        <v>25</v>
      </c>
      <c r="C2805" t="s">
        <v>23</v>
      </c>
      <c r="D2805">
        <v>232500</v>
      </c>
    </row>
    <row r="2806" spans="1:4" x14ac:dyDescent="0.2">
      <c r="A2806">
        <v>1978</v>
      </c>
      <c r="B2806" s="1" t="s">
        <v>24</v>
      </c>
      <c r="C2806" t="s">
        <v>31</v>
      </c>
      <c r="D2806">
        <v>385100</v>
      </c>
    </row>
    <row r="2807" spans="1:4" x14ac:dyDescent="0.2">
      <c r="A2807">
        <v>1978</v>
      </c>
      <c r="B2807" s="1" t="s">
        <v>25</v>
      </c>
      <c r="C2807" t="s">
        <v>31</v>
      </c>
      <c r="D2807">
        <v>121900</v>
      </c>
    </row>
    <row r="2808" spans="1:4" x14ac:dyDescent="0.2">
      <c r="A2808">
        <v>1979</v>
      </c>
      <c r="B2808" s="1" t="s">
        <v>24</v>
      </c>
      <c r="C2808" s="1" t="s">
        <v>29</v>
      </c>
      <c r="D2808">
        <v>300100</v>
      </c>
    </row>
    <row r="2809" spans="1:4" x14ac:dyDescent="0.2">
      <c r="A2809">
        <v>1979</v>
      </c>
      <c r="B2809" s="1" t="s">
        <v>25</v>
      </c>
      <c r="C2809" s="1" t="s">
        <v>29</v>
      </c>
      <c r="D2809">
        <v>317200</v>
      </c>
    </row>
    <row r="2810" spans="1:4" x14ac:dyDescent="0.2">
      <c r="A2810">
        <v>1979</v>
      </c>
      <c r="B2810" s="1" t="s">
        <v>24</v>
      </c>
      <c r="C2810" s="2" t="s">
        <v>26</v>
      </c>
      <c r="D2810">
        <v>1124100</v>
      </c>
    </row>
    <row r="2811" spans="1:4" x14ac:dyDescent="0.2">
      <c r="A2811">
        <v>1979</v>
      </c>
      <c r="B2811" s="1" t="s">
        <v>25</v>
      </c>
      <c r="C2811" s="2" t="s">
        <v>26</v>
      </c>
      <c r="D2811">
        <v>1184900</v>
      </c>
    </row>
    <row r="2812" spans="1:4" x14ac:dyDescent="0.2">
      <c r="A2812">
        <v>1979</v>
      </c>
      <c r="B2812" s="1" t="s">
        <v>24</v>
      </c>
      <c r="C2812" s="2" t="s">
        <v>27</v>
      </c>
      <c r="D2812">
        <v>1717700</v>
      </c>
    </row>
    <row r="2813" spans="1:4" x14ac:dyDescent="0.2">
      <c r="A2813">
        <v>1979</v>
      </c>
      <c r="B2813" s="1" t="s">
        <v>25</v>
      </c>
      <c r="C2813" s="2" t="s">
        <v>27</v>
      </c>
      <c r="D2813">
        <v>1818300</v>
      </c>
    </row>
    <row r="2814" spans="1:4" x14ac:dyDescent="0.2">
      <c r="A2814">
        <v>1979</v>
      </c>
      <c r="B2814" s="1" t="s">
        <v>24</v>
      </c>
      <c r="C2814" s="3" t="s">
        <v>28</v>
      </c>
      <c r="D2814">
        <v>1957200</v>
      </c>
    </row>
    <row r="2815" spans="1:4" x14ac:dyDescent="0.2">
      <c r="A2815">
        <v>1979</v>
      </c>
      <c r="B2815" s="1" t="s">
        <v>25</v>
      </c>
      <c r="C2815" s="3" t="s">
        <v>28</v>
      </c>
      <c r="D2815">
        <v>2065400</v>
      </c>
    </row>
    <row r="2816" spans="1:4" x14ac:dyDescent="0.2">
      <c r="A2816">
        <v>1979</v>
      </c>
      <c r="B2816" s="1" t="s">
        <v>24</v>
      </c>
      <c r="C2816" t="s">
        <v>4</v>
      </c>
      <c r="D2816">
        <v>1952900</v>
      </c>
    </row>
    <row r="2817" spans="1:4" x14ac:dyDescent="0.2">
      <c r="A2817">
        <v>1979</v>
      </c>
      <c r="B2817" s="1" t="s">
        <v>25</v>
      </c>
      <c r="C2817" t="s">
        <v>4</v>
      </c>
      <c r="D2817">
        <v>2040800</v>
      </c>
    </row>
    <row r="2818" spans="1:4" x14ac:dyDescent="0.2">
      <c r="A2818">
        <v>1979</v>
      </c>
      <c r="B2818" s="1" t="s">
        <v>24</v>
      </c>
      <c r="C2818" t="s">
        <v>5</v>
      </c>
      <c r="D2818">
        <v>1736000</v>
      </c>
    </row>
    <row r="2819" spans="1:4" x14ac:dyDescent="0.2">
      <c r="A2819">
        <v>1979</v>
      </c>
      <c r="B2819" s="1" t="s">
        <v>25</v>
      </c>
      <c r="C2819" t="s">
        <v>5</v>
      </c>
      <c r="D2819">
        <v>1798700</v>
      </c>
    </row>
    <row r="2820" spans="1:4" x14ac:dyDescent="0.2">
      <c r="A2820">
        <v>1979</v>
      </c>
      <c r="B2820" s="1" t="s">
        <v>24</v>
      </c>
      <c r="C2820" t="s">
        <v>12</v>
      </c>
      <c r="D2820">
        <v>1692700</v>
      </c>
    </row>
    <row r="2821" spans="1:4" x14ac:dyDescent="0.2">
      <c r="A2821">
        <v>1979</v>
      </c>
      <c r="B2821" s="1" t="s">
        <v>25</v>
      </c>
      <c r="C2821" t="s">
        <v>12</v>
      </c>
      <c r="D2821">
        <v>1726800</v>
      </c>
    </row>
    <row r="2822" spans="1:4" x14ac:dyDescent="0.2">
      <c r="A2822">
        <v>1979</v>
      </c>
      <c r="B2822" s="1" t="s">
        <v>24</v>
      </c>
      <c r="C2822" t="s">
        <v>13</v>
      </c>
      <c r="D2822">
        <v>1821800</v>
      </c>
    </row>
    <row r="2823" spans="1:4" x14ac:dyDescent="0.2">
      <c r="A2823">
        <v>1979</v>
      </c>
      <c r="B2823" s="1" t="s">
        <v>25</v>
      </c>
      <c r="C2823" t="s">
        <v>13</v>
      </c>
      <c r="D2823">
        <v>1859100</v>
      </c>
    </row>
    <row r="2824" spans="1:4" x14ac:dyDescent="0.2">
      <c r="A2824">
        <v>1979</v>
      </c>
      <c r="B2824" s="1" t="s">
        <v>24</v>
      </c>
      <c r="C2824" t="s">
        <v>14</v>
      </c>
      <c r="D2824">
        <v>1474500</v>
      </c>
    </row>
    <row r="2825" spans="1:4" x14ac:dyDescent="0.2">
      <c r="A2825">
        <v>1979</v>
      </c>
      <c r="B2825" s="1" t="s">
        <v>25</v>
      </c>
      <c r="C2825" t="s">
        <v>14</v>
      </c>
      <c r="D2825">
        <v>1509000</v>
      </c>
    </row>
    <row r="2826" spans="1:4" x14ac:dyDescent="0.2">
      <c r="A2826">
        <v>1979</v>
      </c>
      <c r="B2826" s="1" t="s">
        <v>24</v>
      </c>
      <c r="C2826" t="s">
        <v>15</v>
      </c>
      <c r="D2826">
        <v>1395700</v>
      </c>
    </row>
    <row r="2827" spans="1:4" x14ac:dyDescent="0.2">
      <c r="A2827">
        <v>1979</v>
      </c>
      <c r="B2827" s="1" t="s">
        <v>25</v>
      </c>
      <c r="C2827" t="s">
        <v>15</v>
      </c>
      <c r="D2827">
        <v>1431900</v>
      </c>
    </row>
    <row r="2828" spans="1:4" x14ac:dyDescent="0.2">
      <c r="A2828">
        <v>1979</v>
      </c>
      <c r="B2828" s="1" t="s">
        <v>24</v>
      </c>
      <c r="C2828" t="s">
        <v>16</v>
      </c>
      <c r="D2828">
        <v>1381300</v>
      </c>
    </row>
    <row r="2829" spans="1:4" x14ac:dyDescent="0.2">
      <c r="A2829">
        <v>1979</v>
      </c>
      <c r="B2829" s="1" t="s">
        <v>25</v>
      </c>
      <c r="C2829" t="s">
        <v>16</v>
      </c>
      <c r="D2829">
        <v>1393700</v>
      </c>
    </row>
    <row r="2830" spans="1:4" x14ac:dyDescent="0.2">
      <c r="A2830">
        <v>1979</v>
      </c>
      <c r="B2830" s="1" t="s">
        <v>24</v>
      </c>
      <c r="C2830" t="s">
        <v>17</v>
      </c>
      <c r="D2830">
        <v>1443300</v>
      </c>
    </row>
    <row r="2831" spans="1:4" x14ac:dyDescent="0.2">
      <c r="A2831">
        <v>1979</v>
      </c>
      <c r="B2831" s="1" t="s">
        <v>25</v>
      </c>
      <c r="C2831" t="s">
        <v>17</v>
      </c>
      <c r="D2831">
        <v>1416600</v>
      </c>
    </row>
    <row r="2832" spans="1:4" x14ac:dyDescent="0.2">
      <c r="A2832">
        <v>1979</v>
      </c>
      <c r="B2832" s="1" t="s">
        <v>24</v>
      </c>
      <c r="C2832" t="s">
        <v>18</v>
      </c>
      <c r="D2832">
        <v>1609300</v>
      </c>
    </row>
    <row r="2833" spans="1:4" x14ac:dyDescent="0.2">
      <c r="A2833">
        <v>1979</v>
      </c>
      <c r="B2833" s="1" t="s">
        <v>25</v>
      </c>
      <c r="C2833" t="s">
        <v>18</v>
      </c>
      <c r="D2833">
        <v>1510500</v>
      </c>
    </row>
    <row r="2834" spans="1:4" x14ac:dyDescent="0.2">
      <c r="A2834">
        <v>1979</v>
      </c>
      <c r="B2834" s="1" t="s">
        <v>24</v>
      </c>
      <c r="C2834" t="s">
        <v>19</v>
      </c>
      <c r="D2834">
        <v>1286000</v>
      </c>
    </row>
    <row r="2835" spans="1:4" x14ac:dyDescent="0.2">
      <c r="A2835">
        <v>1979</v>
      </c>
      <c r="B2835" s="1" t="s">
        <v>25</v>
      </c>
      <c r="C2835" t="s">
        <v>19</v>
      </c>
      <c r="D2835">
        <v>1133100</v>
      </c>
    </row>
    <row r="2836" spans="1:4" x14ac:dyDescent="0.2">
      <c r="A2836">
        <v>1979</v>
      </c>
      <c r="B2836" s="1" t="s">
        <v>24</v>
      </c>
      <c r="C2836" t="s">
        <v>20</v>
      </c>
      <c r="D2836">
        <v>1391800</v>
      </c>
    </row>
    <row r="2837" spans="1:4" x14ac:dyDescent="0.2">
      <c r="A2837">
        <v>1979</v>
      </c>
      <c r="B2837" s="1" t="s">
        <v>25</v>
      </c>
      <c r="C2837" t="s">
        <v>20</v>
      </c>
      <c r="D2837">
        <v>1141700</v>
      </c>
    </row>
    <row r="2838" spans="1:4" x14ac:dyDescent="0.2">
      <c r="A2838">
        <v>1979</v>
      </c>
      <c r="B2838" s="1" t="s">
        <v>24</v>
      </c>
      <c r="C2838" t="s">
        <v>21</v>
      </c>
      <c r="D2838">
        <v>1223500</v>
      </c>
    </row>
    <row r="2839" spans="1:4" x14ac:dyDescent="0.2">
      <c r="A2839">
        <v>1979</v>
      </c>
      <c r="B2839" s="1" t="s">
        <v>25</v>
      </c>
      <c r="C2839" t="s">
        <v>21</v>
      </c>
      <c r="D2839">
        <v>874500</v>
      </c>
    </row>
    <row r="2840" spans="1:4" x14ac:dyDescent="0.2">
      <c r="A2840">
        <v>1979</v>
      </c>
      <c r="B2840" s="1" t="s">
        <v>24</v>
      </c>
      <c r="C2840" t="s">
        <v>22</v>
      </c>
      <c r="D2840">
        <v>930100</v>
      </c>
    </row>
    <row r="2841" spans="1:4" x14ac:dyDescent="0.2">
      <c r="A2841">
        <v>1979</v>
      </c>
      <c r="B2841" s="1" t="s">
        <v>25</v>
      </c>
      <c r="C2841" t="s">
        <v>22</v>
      </c>
      <c r="D2841">
        <v>530700</v>
      </c>
    </row>
    <row r="2842" spans="1:4" x14ac:dyDescent="0.2">
      <c r="A2842">
        <v>1979</v>
      </c>
      <c r="B2842" s="1" t="s">
        <v>24</v>
      </c>
      <c r="C2842" t="s">
        <v>23</v>
      </c>
      <c r="D2842">
        <v>565200</v>
      </c>
    </row>
    <row r="2843" spans="1:4" x14ac:dyDescent="0.2">
      <c r="A2843">
        <v>1979</v>
      </c>
      <c r="B2843" s="1" t="s">
        <v>25</v>
      </c>
      <c r="C2843" t="s">
        <v>23</v>
      </c>
      <c r="D2843">
        <v>236900</v>
      </c>
    </row>
    <row r="2844" spans="1:4" x14ac:dyDescent="0.2">
      <c r="A2844">
        <v>1979</v>
      </c>
      <c r="B2844" s="1" t="s">
        <v>24</v>
      </c>
      <c r="C2844" t="s">
        <v>31</v>
      </c>
      <c r="D2844">
        <v>391900</v>
      </c>
    </row>
    <row r="2845" spans="1:4" x14ac:dyDescent="0.2">
      <c r="A2845">
        <v>1979</v>
      </c>
      <c r="B2845" s="1" t="s">
        <v>25</v>
      </c>
      <c r="C2845" t="s">
        <v>31</v>
      </c>
      <c r="D2845">
        <v>123300</v>
      </c>
    </row>
    <row r="2846" spans="1:4" x14ac:dyDescent="0.2">
      <c r="A2846">
        <v>1980</v>
      </c>
      <c r="B2846" s="1" t="s">
        <v>24</v>
      </c>
      <c r="C2846" s="1" t="s">
        <v>29</v>
      </c>
      <c r="D2846">
        <v>311000</v>
      </c>
    </row>
    <row r="2847" spans="1:4" x14ac:dyDescent="0.2">
      <c r="A2847">
        <v>1980</v>
      </c>
      <c r="B2847" s="1" t="s">
        <v>25</v>
      </c>
      <c r="C2847" s="1" t="s">
        <v>29</v>
      </c>
      <c r="D2847">
        <v>327900</v>
      </c>
    </row>
    <row r="2848" spans="1:4" x14ac:dyDescent="0.2">
      <c r="A2848">
        <v>1980</v>
      </c>
      <c r="B2848" s="1" t="s">
        <v>24</v>
      </c>
      <c r="C2848" s="2" t="s">
        <v>26</v>
      </c>
      <c r="D2848">
        <v>1127600</v>
      </c>
    </row>
    <row r="2849" spans="1:4" x14ac:dyDescent="0.2">
      <c r="A2849">
        <v>1980</v>
      </c>
      <c r="B2849" s="1" t="s">
        <v>25</v>
      </c>
      <c r="C2849" s="2" t="s">
        <v>26</v>
      </c>
      <c r="D2849">
        <v>1188900</v>
      </c>
    </row>
    <row r="2850" spans="1:4" x14ac:dyDescent="0.2">
      <c r="A2850">
        <v>1980</v>
      </c>
      <c r="B2850" s="1" t="s">
        <v>24</v>
      </c>
      <c r="C2850" s="2" t="s">
        <v>27</v>
      </c>
      <c r="D2850">
        <v>1646300</v>
      </c>
    </row>
    <row r="2851" spans="1:4" x14ac:dyDescent="0.2">
      <c r="A2851">
        <v>1980</v>
      </c>
      <c r="B2851" s="1" t="s">
        <v>25</v>
      </c>
      <c r="C2851" s="2" t="s">
        <v>27</v>
      </c>
      <c r="D2851">
        <v>1740000</v>
      </c>
    </row>
    <row r="2852" spans="1:4" x14ac:dyDescent="0.2">
      <c r="A2852">
        <v>1980</v>
      </c>
      <c r="B2852" s="1" t="s">
        <v>24</v>
      </c>
      <c r="C2852" s="3" t="s">
        <v>28</v>
      </c>
      <c r="D2852">
        <v>1918700</v>
      </c>
    </row>
    <row r="2853" spans="1:4" x14ac:dyDescent="0.2">
      <c r="A2853">
        <v>1980</v>
      </c>
      <c r="B2853" s="1" t="s">
        <v>25</v>
      </c>
      <c r="C2853" s="3" t="s">
        <v>28</v>
      </c>
      <c r="D2853">
        <v>2022300</v>
      </c>
    </row>
    <row r="2854" spans="1:4" x14ac:dyDescent="0.2">
      <c r="A2854">
        <v>1980</v>
      </c>
      <c r="B2854" s="1" t="s">
        <v>24</v>
      </c>
      <c r="C2854" t="s">
        <v>4</v>
      </c>
      <c r="D2854">
        <v>1996300</v>
      </c>
    </row>
    <row r="2855" spans="1:4" x14ac:dyDescent="0.2">
      <c r="A2855">
        <v>1980</v>
      </c>
      <c r="B2855" s="1" t="s">
        <v>25</v>
      </c>
      <c r="C2855" t="s">
        <v>4</v>
      </c>
      <c r="D2855">
        <v>2091000</v>
      </c>
    </row>
    <row r="2856" spans="1:4" x14ac:dyDescent="0.2">
      <c r="A2856">
        <v>1980</v>
      </c>
      <c r="B2856" s="1" t="s">
        <v>24</v>
      </c>
      <c r="C2856" t="s">
        <v>5</v>
      </c>
      <c r="D2856">
        <v>1788500</v>
      </c>
    </row>
    <row r="2857" spans="1:4" x14ac:dyDescent="0.2">
      <c r="A2857">
        <v>1980</v>
      </c>
      <c r="B2857" s="1" t="s">
        <v>25</v>
      </c>
      <c r="C2857" t="s">
        <v>5</v>
      </c>
      <c r="D2857">
        <v>1845900</v>
      </c>
    </row>
    <row r="2858" spans="1:4" x14ac:dyDescent="0.2">
      <c r="A2858">
        <v>1980</v>
      </c>
      <c r="B2858" s="1" t="s">
        <v>24</v>
      </c>
      <c r="C2858" t="s">
        <v>12</v>
      </c>
      <c r="D2858">
        <v>1672900</v>
      </c>
    </row>
    <row r="2859" spans="1:4" x14ac:dyDescent="0.2">
      <c r="A2859">
        <v>1980</v>
      </c>
      <c r="B2859" s="1" t="s">
        <v>25</v>
      </c>
      <c r="C2859" t="s">
        <v>12</v>
      </c>
      <c r="D2859">
        <v>1705400</v>
      </c>
    </row>
    <row r="2860" spans="1:4" x14ac:dyDescent="0.2">
      <c r="A2860">
        <v>1980</v>
      </c>
      <c r="B2860" s="1" t="s">
        <v>24</v>
      </c>
      <c r="C2860" t="s">
        <v>13</v>
      </c>
      <c r="D2860">
        <v>1842800</v>
      </c>
    </row>
    <row r="2861" spans="1:4" x14ac:dyDescent="0.2">
      <c r="A2861">
        <v>1980</v>
      </c>
      <c r="B2861" s="1" t="s">
        <v>25</v>
      </c>
      <c r="C2861" t="s">
        <v>13</v>
      </c>
      <c r="D2861">
        <v>1873400</v>
      </c>
    </row>
    <row r="2862" spans="1:4" x14ac:dyDescent="0.2">
      <c r="A2862">
        <v>1980</v>
      </c>
      <c r="B2862" s="1" t="s">
        <v>24</v>
      </c>
      <c r="C2862" t="s">
        <v>14</v>
      </c>
      <c r="D2862">
        <v>1516600</v>
      </c>
    </row>
    <row r="2863" spans="1:4" x14ac:dyDescent="0.2">
      <c r="A2863">
        <v>1980</v>
      </c>
      <c r="B2863" s="1" t="s">
        <v>25</v>
      </c>
      <c r="C2863" t="s">
        <v>14</v>
      </c>
      <c r="D2863">
        <v>1549900</v>
      </c>
    </row>
    <row r="2864" spans="1:4" x14ac:dyDescent="0.2">
      <c r="A2864">
        <v>1980</v>
      </c>
      <c r="B2864" s="1" t="s">
        <v>24</v>
      </c>
      <c r="C2864" t="s">
        <v>15</v>
      </c>
      <c r="D2864">
        <v>1405200</v>
      </c>
    </row>
    <row r="2865" spans="1:4" x14ac:dyDescent="0.2">
      <c r="A2865">
        <v>1980</v>
      </c>
      <c r="B2865" s="1" t="s">
        <v>25</v>
      </c>
      <c r="C2865" t="s">
        <v>15</v>
      </c>
      <c r="D2865">
        <v>1438500</v>
      </c>
    </row>
    <row r="2866" spans="1:4" x14ac:dyDescent="0.2">
      <c r="A2866">
        <v>1980</v>
      </c>
      <c r="B2866" s="1" t="s">
        <v>24</v>
      </c>
      <c r="C2866" t="s">
        <v>16</v>
      </c>
      <c r="D2866">
        <v>1363400</v>
      </c>
    </row>
    <row r="2867" spans="1:4" x14ac:dyDescent="0.2">
      <c r="A2867">
        <v>1980</v>
      </c>
      <c r="B2867" s="1" t="s">
        <v>25</v>
      </c>
      <c r="C2867" t="s">
        <v>16</v>
      </c>
      <c r="D2867">
        <v>1382000</v>
      </c>
    </row>
    <row r="2868" spans="1:4" x14ac:dyDescent="0.2">
      <c r="A2868">
        <v>1980</v>
      </c>
      <c r="B2868" s="1" t="s">
        <v>24</v>
      </c>
      <c r="C2868" t="s">
        <v>17</v>
      </c>
      <c r="D2868">
        <v>1430300</v>
      </c>
    </row>
    <row r="2869" spans="1:4" x14ac:dyDescent="0.2">
      <c r="A2869">
        <v>1980</v>
      </c>
      <c r="B2869" s="1" t="s">
        <v>25</v>
      </c>
      <c r="C2869" t="s">
        <v>17</v>
      </c>
      <c r="D2869">
        <v>1404100</v>
      </c>
    </row>
    <row r="2870" spans="1:4" x14ac:dyDescent="0.2">
      <c r="A2870">
        <v>1980</v>
      </c>
      <c r="B2870" s="1" t="s">
        <v>24</v>
      </c>
      <c r="C2870" t="s">
        <v>18</v>
      </c>
      <c r="D2870">
        <v>1541300</v>
      </c>
    </row>
    <row r="2871" spans="1:4" x14ac:dyDescent="0.2">
      <c r="A2871">
        <v>1980</v>
      </c>
      <c r="B2871" s="1" t="s">
        <v>25</v>
      </c>
      <c r="C2871" t="s">
        <v>18</v>
      </c>
      <c r="D2871">
        <v>1453700</v>
      </c>
    </row>
    <row r="2872" spans="1:4" x14ac:dyDescent="0.2">
      <c r="A2872">
        <v>1980</v>
      </c>
      <c r="B2872" s="1" t="s">
        <v>24</v>
      </c>
      <c r="C2872" t="s">
        <v>19</v>
      </c>
      <c r="D2872">
        <v>1331600</v>
      </c>
    </row>
    <row r="2873" spans="1:4" x14ac:dyDescent="0.2">
      <c r="A2873">
        <v>1980</v>
      </c>
      <c r="B2873" s="1" t="s">
        <v>25</v>
      </c>
      <c r="C2873" t="s">
        <v>19</v>
      </c>
      <c r="D2873">
        <v>1182100</v>
      </c>
    </row>
    <row r="2874" spans="1:4" x14ac:dyDescent="0.2">
      <c r="A2874">
        <v>1980</v>
      </c>
      <c r="B2874" s="1" t="s">
        <v>24</v>
      </c>
      <c r="C2874" t="s">
        <v>20</v>
      </c>
      <c r="D2874">
        <v>1389700</v>
      </c>
    </row>
    <row r="2875" spans="1:4" x14ac:dyDescent="0.2">
      <c r="A2875">
        <v>1980</v>
      </c>
      <c r="B2875" s="1" t="s">
        <v>25</v>
      </c>
      <c r="C2875" t="s">
        <v>20</v>
      </c>
      <c r="D2875">
        <v>1139900</v>
      </c>
    </row>
    <row r="2876" spans="1:4" x14ac:dyDescent="0.2">
      <c r="A2876">
        <v>1980</v>
      </c>
      <c r="B2876" s="1" t="s">
        <v>24</v>
      </c>
      <c r="C2876" t="s">
        <v>21</v>
      </c>
      <c r="D2876">
        <v>1230100</v>
      </c>
    </row>
    <row r="2877" spans="1:4" x14ac:dyDescent="0.2">
      <c r="A2877">
        <v>1980</v>
      </c>
      <c r="B2877" s="1" t="s">
        <v>25</v>
      </c>
      <c r="C2877" t="s">
        <v>21</v>
      </c>
      <c r="D2877">
        <v>888500</v>
      </c>
    </row>
    <row r="2878" spans="1:4" x14ac:dyDescent="0.2">
      <c r="A2878">
        <v>1980</v>
      </c>
      <c r="B2878" s="1" t="s">
        <v>24</v>
      </c>
      <c r="C2878" t="s">
        <v>22</v>
      </c>
      <c r="D2878">
        <v>947100</v>
      </c>
    </row>
    <row r="2879" spans="1:4" x14ac:dyDescent="0.2">
      <c r="A2879">
        <v>1980</v>
      </c>
      <c r="B2879" s="1" t="s">
        <v>25</v>
      </c>
      <c r="C2879" t="s">
        <v>22</v>
      </c>
      <c r="D2879">
        <v>548900</v>
      </c>
    </row>
    <row r="2880" spans="1:4" x14ac:dyDescent="0.2">
      <c r="A2880">
        <v>1980</v>
      </c>
      <c r="B2880" s="1" t="s">
        <v>24</v>
      </c>
      <c r="C2880" t="s">
        <v>23</v>
      </c>
      <c r="D2880">
        <v>585100</v>
      </c>
    </row>
    <row r="2881" spans="1:4" x14ac:dyDescent="0.2">
      <c r="A2881">
        <v>1980</v>
      </c>
      <c r="B2881" s="1" t="s">
        <v>25</v>
      </c>
      <c r="C2881" t="s">
        <v>23</v>
      </c>
      <c r="D2881">
        <v>246500</v>
      </c>
    </row>
    <row r="2882" spans="1:4" x14ac:dyDescent="0.2">
      <c r="A2882">
        <v>1980</v>
      </c>
      <c r="B2882" s="1" t="s">
        <v>24</v>
      </c>
      <c r="C2882" t="s">
        <v>31</v>
      </c>
      <c r="D2882">
        <v>403000</v>
      </c>
    </row>
    <row r="2883" spans="1:4" x14ac:dyDescent="0.2">
      <c r="A2883">
        <v>1980</v>
      </c>
      <c r="B2883" s="1" t="s">
        <v>25</v>
      </c>
      <c r="C2883" t="s">
        <v>31</v>
      </c>
      <c r="D2883">
        <v>126600</v>
      </c>
    </row>
    <row r="2884" spans="1:4" x14ac:dyDescent="0.2">
      <c r="A2884">
        <v>1981</v>
      </c>
      <c r="B2884" s="1" t="s">
        <v>24</v>
      </c>
      <c r="C2884" s="1" t="s">
        <v>29</v>
      </c>
      <c r="D2884">
        <v>309600</v>
      </c>
    </row>
    <row r="2885" spans="1:4" x14ac:dyDescent="0.2">
      <c r="A2885">
        <v>1981</v>
      </c>
      <c r="B2885" s="1" t="s">
        <v>25</v>
      </c>
      <c r="C2885" s="1" t="s">
        <v>29</v>
      </c>
      <c r="D2885">
        <v>324400</v>
      </c>
    </row>
    <row r="2886" spans="1:4" x14ac:dyDescent="0.2">
      <c r="A2886">
        <v>1981</v>
      </c>
      <c r="B2886" s="1" t="s">
        <v>24</v>
      </c>
      <c r="C2886" s="2" t="s">
        <v>26</v>
      </c>
      <c r="D2886">
        <v>1153900</v>
      </c>
    </row>
    <row r="2887" spans="1:4" x14ac:dyDescent="0.2">
      <c r="A2887">
        <v>1981</v>
      </c>
      <c r="B2887" s="1" t="s">
        <v>25</v>
      </c>
      <c r="C2887" s="2" t="s">
        <v>26</v>
      </c>
      <c r="D2887">
        <v>1217600</v>
      </c>
    </row>
    <row r="2888" spans="1:4" x14ac:dyDescent="0.2">
      <c r="A2888">
        <v>1981</v>
      </c>
      <c r="B2888" s="1" t="s">
        <v>24</v>
      </c>
      <c r="C2888" s="2" t="s">
        <v>27</v>
      </c>
      <c r="D2888">
        <v>1554300</v>
      </c>
    </row>
    <row r="2889" spans="1:4" x14ac:dyDescent="0.2">
      <c r="A2889">
        <v>1981</v>
      </c>
      <c r="B2889" s="1" t="s">
        <v>25</v>
      </c>
      <c r="C2889" s="2" t="s">
        <v>27</v>
      </c>
      <c r="D2889">
        <v>1642000</v>
      </c>
    </row>
    <row r="2890" spans="1:4" x14ac:dyDescent="0.2">
      <c r="A2890">
        <v>1981</v>
      </c>
      <c r="B2890" s="1" t="s">
        <v>24</v>
      </c>
      <c r="C2890" s="3" t="s">
        <v>28</v>
      </c>
      <c r="D2890">
        <v>1892100</v>
      </c>
    </row>
    <row r="2891" spans="1:4" x14ac:dyDescent="0.2">
      <c r="A2891">
        <v>1981</v>
      </c>
      <c r="B2891" s="1" t="s">
        <v>25</v>
      </c>
      <c r="C2891" s="3" t="s">
        <v>28</v>
      </c>
      <c r="D2891">
        <v>1996600</v>
      </c>
    </row>
    <row r="2892" spans="1:4" x14ac:dyDescent="0.2">
      <c r="A2892">
        <v>1981</v>
      </c>
      <c r="B2892" s="1" t="s">
        <v>24</v>
      </c>
      <c r="C2892" t="s">
        <v>4</v>
      </c>
      <c r="D2892">
        <v>2015400</v>
      </c>
    </row>
    <row r="2893" spans="1:4" x14ac:dyDescent="0.2">
      <c r="A2893">
        <v>1981</v>
      </c>
      <c r="B2893" s="1" t="s">
        <v>25</v>
      </c>
      <c r="C2893" t="s">
        <v>4</v>
      </c>
      <c r="D2893">
        <v>2114400</v>
      </c>
    </row>
    <row r="2894" spans="1:4" x14ac:dyDescent="0.2">
      <c r="A2894">
        <v>1981</v>
      </c>
      <c r="B2894" s="1" t="s">
        <v>24</v>
      </c>
      <c r="C2894" t="s">
        <v>5</v>
      </c>
      <c r="D2894">
        <v>1847300</v>
      </c>
    </row>
    <row r="2895" spans="1:4" x14ac:dyDescent="0.2">
      <c r="A2895">
        <v>1981</v>
      </c>
      <c r="B2895" s="1" t="s">
        <v>25</v>
      </c>
      <c r="C2895" t="s">
        <v>5</v>
      </c>
      <c r="D2895">
        <v>1896400</v>
      </c>
    </row>
    <row r="2896" spans="1:4" x14ac:dyDescent="0.2">
      <c r="A2896">
        <v>1981</v>
      </c>
      <c r="B2896" s="1" t="s">
        <v>24</v>
      </c>
      <c r="C2896" t="s">
        <v>12</v>
      </c>
      <c r="D2896">
        <v>1671400</v>
      </c>
    </row>
    <row r="2897" spans="1:4" x14ac:dyDescent="0.2">
      <c r="A2897">
        <v>1981</v>
      </c>
      <c r="B2897" s="1" t="s">
        <v>25</v>
      </c>
      <c r="C2897" t="s">
        <v>12</v>
      </c>
      <c r="D2897">
        <v>1700100</v>
      </c>
    </row>
    <row r="2898" spans="1:4" x14ac:dyDescent="0.2">
      <c r="A2898">
        <v>1981</v>
      </c>
      <c r="B2898" s="1" t="s">
        <v>24</v>
      </c>
      <c r="C2898" t="s">
        <v>13</v>
      </c>
      <c r="D2898">
        <v>1845800</v>
      </c>
    </row>
    <row r="2899" spans="1:4" x14ac:dyDescent="0.2">
      <c r="A2899">
        <v>1981</v>
      </c>
      <c r="B2899" s="1" t="s">
        <v>25</v>
      </c>
      <c r="C2899" t="s">
        <v>13</v>
      </c>
      <c r="D2899">
        <v>1869000</v>
      </c>
    </row>
    <row r="2900" spans="1:4" x14ac:dyDescent="0.2">
      <c r="A2900">
        <v>1981</v>
      </c>
      <c r="B2900" s="1" t="s">
        <v>24</v>
      </c>
      <c r="C2900" t="s">
        <v>14</v>
      </c>
      <c r="D2900">
        <v>1579400</v>
      </c>
    </row>
    <row r="2901" spans="1:4" x14ac:dyDescent="0.2">
      <c r="A2901">
        <v>1981</v>
      </c>
      <c r="B2901" s="1" t="s">
        <v>25</v>
      </c>
      <c r="C2901" t="s">
        <v>14</v>
      </c>
      <c r="D2901">
        <v>1605900</v>
      </c>
    </row>
    <row r="2902" spans="1:4" x14ac:dyDescent="0.2">
      <c r="A2902">
        <v>1981</v>
      </c>
      <c r="B2902" s="1" t="s">
        <v>24</v>
      </c>
      <c r="C2902" t="s">
        <v>15</v>
      </c>
      <c r="D2902">
        <v>1392700</v>
      </c>
    </row>
    <row r="2903" spans="1:4" x14ac:dyDescent="0.2">
      <c r="A2903">
        <v>1981</v>
      </c>
      <c r="B2903" s="1" t="s">
        <v>25</v>
      </c>
      <c r="C2903" t="s">
        <v>15</v>
      </c>
      <c r="D2903">
        <v>1418000</v>
      </c>
    </row>
    <row r="2904" spans="1:4" x14ac:dyDescent="0.2">
      <c r="A2904">
        <v>1981</v>
      </c>
      <c r="B2904" s="1" t="s">
        <v>24</v>
      </c>
      <c r="C2904" t="s">
        <v>16</v>
      </c>
      <c r="D2904">
        <v>1352700</v>
      </c>
    </row>
    <row r="2905" spans="1:4" x14ac:dyDescent="0.2">
      <c r="A2905">
        <v>1981</v>
      </c>
      <c r="B2905" s="1" t="s">
        <v>25</v>
      </c>
      <c r="C2905" t="s">
        <v>16</v>
      </c>
      <c r="D2905">
        <v>1370000</v>
      </c>
    </row>
    <row r="2906" spans="1:4" x14ac:dyDescent="0.2">
      <c r="A2906">
        <v>1981</v>
      </c>
      <c r="B2906" s="1" t="s">
        <v>24</v>
      </c>
      <c r="C2906" t="s">
        <v>17</v>
      </c>
      <c r="D2906">
        <v>1415200</v>
      </c>
    </row>
    <row r="2907" spans="1:4" x14ac:dyDescent="0.2">
      <c r="A2907">
        <v>1981</v>
      </c>
      <c r="B2907" s="1" t="s">
        <v>25</v>
      </c>
      <c r="C2907" t="s">
        <v>17</v>
      </c>
      <c r="D2907">
        <v>1393800</v>
      </c>
    </row>
    <row r="2908" spans="1:4" x14ac:dyDescent="0.2">
      <c r="A2908">
        <v>1981</v>
      </c>
      <c r="B2908" s="1" t="s">
        <v>24</v>
      </c>
      <c r="C2908" t="s">
        <v>18</v>
      </c>
      <c r="D2908">
        <v>1486800</v>
      </c>
    </row>
    <row r="2909" spans="1:4" x14ac:dyDescent="0.2">
      <c r="A2909">
        <v>1981</v>
      </c>
      <c r="B2909" s="1" t="s">
        <v>25</v>
      </c>
      <c r="C2909" t="s">
        <v>18</v>
      </c>
      <c r="D2909">
        <v>1414500</v>
      </c>
    </row>
    <row r="2910" spans="1:4" x14ac:dyDescent="0.2">
      <c r="A2910">
        <v>1981</v>
      </c>
      <c r="B2910" s="1" t="s">
        <v>24</v>
      </c>
      <c r="C2910" t="s">
        <v>19</v>
      </c>
      <c r="D2910">
        <v>1379900</v>
      </c>
    </row>
    <row r="2911" spans="1:4" x14ac:dyDescent="0.2">
      <c r="A2911">
        <v>1981</v>
      </c>
      <c r="B2911" s="1" t="s">
        <v>25</v>
      </c>
      <c r="C2911" t="s">
        <v>19</v>
      </c>
      <c r="D2911">
        <v>1226800</v>
      </c>
    </row>
    <row r="2912" spans="1:4" x14ac:dyDescent="0.2">
      <c r="A2912">
        <v>1981</v>
      </c>
      <c r="B2912" s="1" t="s">
        <v>24</v>
      </c>
      <c r="C2912" t="s">
        <v>20</v>
      </c>
      <c r="D2912">
        <v>1365500</v>
      </c>
    </row>
    <row r="2913" spans="1:4" x14ac:dyDescent="0.2">
      <c r="A2913">
        <v>1981</v>
      </c>
      <c r="B2913" s="1" t="s">
        <v>25</v>
      </c>
      <c r="C2913" t="s">
        <v>20</v>
      </c>
      <c r="D2913">
        <v>1124400</v>
      </c>
    </row>
    <row r="2914" spans="1:4" x14ac:dyDescent="0.2">
      <c r="A2914">
        <v>1981</v>
      </c>
      <c r="B2914" s="1" t="s">
        <v>24</v>
      </c>
      <c r="C2914" t="s">
        <v>21</v>
      </c>
      <c r="D2914">
        <v>1233800</v>
      </c>
    </row>
    <row r="2915" spans="1:4" x14ac:dyDescent="0.2">
      <c r="A2915">
        <v>1981</v>
      </c>
      <c r="B2915" s="1" t="s">
        <v>25</v>
      </c>
      <c r="C2915" t="s">
        <v>21</v>
      </c>
      <c r="D2915">
        <v>895400</v>
      </c>
    </row>
    <row r="2916" spans="1:4" x14ac:dyDescent="0.2">
      <c r="A2916">
        <v>1981</v>
      </c>
      <c r="B2916" s="1" t="s">
        <v>24</v>
      </c>
      <c r="C2916" t="s">
        <v>22</v>
      </c>
      <c r="D2916">
        <v>959300</v>
      </c>
    </row>
    <row r="2917" spans="1:4" x14ac:dyDescent="0.2">
      <c r="A2917">
        <v>1981</v>
      </c>
      <c r="B2917" s="1" t="s">
        <v>25</v>
      </c>
      <c r="C2917" t="s">
        <v>22</v>
      </c>
      <c r="D2917">
        <v>564700</v>
      </c>
    </row>
    <row r="2918" spans="1:4" x14ac:dyDescent="0.2">
      <c r="A2918">
        <v>1981</v>
      </c>
      <c r="B2918" s="1" t="s">
        <v>24</v>
      </c>
      <c r="C2918" t="s">
        <v>23</v>
      </c>
      <c r="D2918">
        <v>604500</v>
      </c>
    </row>
    <row r="2919" spans="1:4" x14ac:dyDescent="0.2">
      <c r="A2919">
        <v>1981</v>
      </c>
      <c r="B2919" s="1" t="s">
        <v>25</v>
      </c>
      <c r="C2919" t="s">
        <v>23</v>
      </c>
      <c r="D2919">
        <v>260100</v>
      </c>
    </row>
    <row r="2920" spans="1:4" x14ac:dyDescent="0.2">
      <c r="A2920">
        <v>1981</v>
      </c>
      <c r="B2920" s="1" t="s">
        <v>24</v>
      </c>
      <c r="C2920" t="s">
        <v>31</v>
      </c>
      <c r="D2920">
        <v>414600</v>
      </c>
    </row>
    <row r="2921" spans="1:4" x14ac:dyDescent="0.2">
      <c r="A2921">
        <v>1981</v>
      </c>
      <c r="B2921" s="1" t="s">
        <v>25</v>
      </c>
      <c r="C2921" t="s">
        <v>31</v>
      </c>
      <c r="D2921">
        <v>126000</v>
      </c>
    </row>
    <row r="2922" spans="1:4" x14ac:dyDescent="0.2">
      <c r="A2922">
        <v>1982</v>
      </c>
      <c r="B2922" s="1" t="s">
        <v>24</v>
      </c>
      <c r="C2922" s="1" t="s">
        <v>29</v>
      </c>
      <c r="D2922">
        <v>302100</v>
      </c>
    </row>
    <row r="2923" spans="1:4" x14ac:dyDescent="0.2">
      <c r="A2923">
        <v>1982</v>
      </c>
      <c r="B2923" s="1" t="s">
        <v>24</v>
      </c>
      <c r="C2923" s="2" t="s">
        <v>26</v>
      </c>
      <c r="D2923">
        <v>1189500</v>
      </c>
    </row>
    <row r="2924" spans="1:4" x14ac:dyDescent="0.2">
      <c r="A2924">
        <v>1982</v>
      </c>
      <c r="B2924" s="1" t="s">
        <v>24</v>
      </c>
      <c r="C2924" s="2" t="s">
        <v>27</v>
      </c>
      <c r="D2924">
        <v>1474000</v>
      </c>
    </row>
    <row r="2925" spans="1:4" x14ac:dyDescent="0.2">
      <c r="A2925">
        <v>1982</v>
      </c>
      <c r="B2925" s="1" t="s">
        <v>24</v>
      </c>
      <c r="C2925" s="3" t="s">
        <v>28</v>
      </c>
      <c r="D2925">
        <v>1844500</v>
      </c>
    </row>
    <row r="2926" spans="1:4" x14ac:dyDescent="0.2">
      <c r="A2926">
        <v>1982</v>
      </c>
      <c r="B2926" s="1" t="s">
        <v>24</v>
      </c>
      <c r="C2926" t="s">
        <v>4</v>
      </c>
      <c r="D2926">
        <v>2020700</v>
      </c>
    </row>
    <row r="2927" spans="1:4" x14ac:dyDescent="0.2">
      <c r="A2927">
        <v>1982</v>
      </c>
      <c r="B2927" s="1" t="s">
        <v>24</v>
      </c>
      <c r="C2927" t="s">
        <v>5</v>
      </c>
      <c r="D2927">
        <v>1893300</v>
      </c>
    </row>
    <row r="2928" spans="1:4" x14ac:dyDescent="0.2">
      <c r="A2928">
        <v>1982</v>
      </c>
      <c r="B2928" s="1" t="s">
        <v>24</v>
      </c>
      <c r="C2928" t="s">
        <v>12</v>
      </c>
      <c r="D2928">
        <v>1677400</v>
      </c>
    </row>
    <row r="2929" spans="1:4" x14ac:dyDescent="0.2">
      <c r="A2929">
        <v>1982</v>
      </c>
      <c r="B2929" s="1" t="s">
        <v>24</v>
      </c>
      <c r="C2929" t="s">
        <v>13</v>
      </c>
      <c r="D2929">
        <v>1748400</v>
      </c>
    </row>
    <row r="2930" spans="1:4" x14ac:dyDescent="0.2">
      <c r="A2930">
        <v>1982</v>
      </c>
      <c r="B2930" s="1" t="s">
        <v>24</v>
      </c>
      <c r="C2930" t="s">
        <v>14</v>
      </c>
      <c r="D2930">
        <v>1711000</v>
      </c>
    </row>
    <row r="2931" spans="1:4" x14ac:dyDescent="0.2">
      <c r="A2931">
        <v>1982</v>
      </c>
      <c r="B2931" s="1" t="s">
        <v>24</v>
      </c>
      <c r="C2931" t="s">
        <v>15</v>
      </c>
      <c r="D2931">
        <v>1394700</v>
      </c>
    </row>
    <row r="2932" spans="1:4" x14ac:dyDescent="0.2">
      <c r="A2932">
        <v>1982</v>
      </c>
      <c r="B2932" s="1" t="s">
        <v>24</v>
      </c>
      <c r="C2932" t="s">
        <v>16</v>
      </c>
      <c r="D2932">
        <v>1351400</v>
      </c>
    </row>
    <row r="2933" spans="1:4" x14ac:dyDescent="0.2">
      <c r="A2933">
        <v>1982</v>
      </c>
      <c r="B2933" s="1" t="s">
        <v>24</v>
      </c>
      <c r="C2933" t="s">
        <v>17</v>
      </c>
      <c r="D2933">
        <v>1399600</v>
      </c>
    </row>
    <row r="2934" spans="1:4" x14ac:dyDescent="0.2">
      <c r="A2934">
        <v>1982</v>
      </c>
      <c r="B2934" s="1" t="s">
        <v>24</v>
      </c>
      <c r="C2934" t="s">
        <v>18</v>
      </c>
      <c r="D2934">
        <v>1446100</v>
      </c>
    </row>
    <row r="2935" spans="1:4" x14ac:dyDescent="0.2">
      <c r="A2935">
        <v>1982</v>
      </c>
      <c r="B2935" s="1" t="s">
        <v>24</v>
      </c>
      <c r="C2935" t="s">
        <v>19</v>
      </c>
      <c r="D2935">
        <v>1429800</v>
      </c>
    </row>
    <row r="2936" spans="1:4" x14ac:dyDescent="0.2">
      <c r="A2936">
        <v>1982</v>
      </c>
      <c r="B2936" s="1" t="s">
        <v>24</v>
      </c>
      <c r="C2936" t="s">
        <v>20</v>
      </c>
      <c r="D2936">
        <v>1323400</v>
      </c>
    </row>
    <row r="2937" spans="1:4" x14ac:dyDescent="0.2">
      <c r="A2937">
        <v>1982</v>
      </c>
      <c r="B2937" s="1" t="s">
        <v>24</v>
      </c>
      <c r="C2937" t="s">
        <v>21</v>
      </c>
      <c r="D2937">
        <v>1233000</v>
      </c>
    </row>
    <row r="2938" spans="1:4" x14ac:dyDescent="0.2">
      <c r="A2938">
        <v>1982</v>
      </c>
      <c r="B2938" s="1" t="s">
        <v>24</v>
      </c>
      <c r="C2938" t="s">
        <v>22</v>
      </c>
      <c r="D2938">
        <v>972400</v>
      </c>
    </row>
    <row r="2939" spans="1:4" x14ac:dyDescent="0.2">
      <c r="A2939">
        <v>1982</v>
      </c>
      <c r="B2939" s="1" t="s">
        <v>24</v>
      </c>
      <c r="C2939" t="s">
        <v>23</v>
      </c>
      <c r="D2939">
        <v>623500</v>
      </c>
    </row>
    <row r="2940" spans="1:4" x14ac:dyDescent="0.2">
      <c r="A2940">
        <v>1982</v>
      </c>
      <c r="B2940" s="1" t="s">
        <v>24</v>
      </c>
      <c r="C2940" t="s">
        <v>31</v>
      </c>
      <c r="D2940">
        <v>427600</v>
      </c>
    </row>
    <row r="2941" spans="1:4" x14ac:dyDescent="0.2">
      <c r="A2941">
        <v>1983</v>
      </c>
      <c r="B2941" s="1" t="s">
        <v>24</v>
      </c>
      <c r="C2941" s="1" t="s">
        <v>29</v>
      </c>
      <c r="D2941">
        <v>303600</v>
      </c>
    </row>
    <row r="2942" spans="1:4" x14ac:dyDescent="0.2">
      <c r="A2942">
        <v>1983</v>
      </c>
      <c r="B2942" s="1" t="s">
        <v>24</v>
      </c>
      <c r="C2942" s="2" t="s">
        <v>26</v>
      </c>
      <c r="D2942">
        <v>1215600</v>
      </c>
    </row>
    <row r="2943" spans="1:4" x14ac:dyDescent="0.2">
      <c r="A2943">
        <v>1983</v>
      </c>
      <c r="B2943" s="1" t="s">
        <v>24</v>
      </c>
      <c r="C2943" s="2" t="s">
        <v>27</v>
      </c>
      <c r="D2943">
        <v>1421200</v>
      </c>
    </row>
    <row r="2944" spans="1:4" x14ac:dyDescent="0.2">
      <c r="A2944">
        <v>1983</v>
      </c>
      <c r="B2944" s="1" t="s">
        <v>24</v>
      </c>
      <c r="C2944" s="3" t="s">
        <v>28</v>
      </c>
      <c r="D2944">
        <v>1787900</v>
      </c>
    </row>
    <row r="2945" spans="1:4" x14ac:dyDescent="0.2">
      <c r="A2945">
        <v>1983</v>
      </c>
      <c r="B2945" s="1" t="s">
        <v>24</v>
      </c>
      <c r="C2945" t="s">
        <v>4</v>
      </c>
      <c r="D2945">
        <v>2008900</v>
      </c>
    </row>
    <row r="2946" spans="1:4" x14ac:dyDescent="0.2">
      <c r="A2946">
        <v>1983</v>
      </c>
      <c r="B2946" s="1" t="s">
        <v>24</v>
      </c>
      <c r="C2946" t="s">
        <v>5</v>
      </c>
      <c r="D2946">
        <v>1946300</v>
      </c>
    </row>
    <row r="2947" spans="1:4" x14ac:dyDescent="0.2">
      <c r="A2947">
        <v>1983</v>
      </c>
      <c r="B2947" s="1" t="s">
        <v>24</v>
      </c>
      <c r="C2947" t="s">
        <v>12</v>
      </c>
      <c r="D2947">
        <v>1694600</v>
      </c>
    </row>
    <row r="2948" spans="1:4" x14ac:dyDescent="0.2">
      <c r="A2948">
        <v>1983</v>
      </c>
      <c r="B2948" s="1" t="s">
        <v>24</v>
      </c>
      <c r="C2948" t="s">
        <v>13</v>
      </c>
      <c r="D2948">
        <v>1692700</v>
      </c>
    </row>
    <row r="2949" spans="1:4" x14ac:dyDescent="0.2">
      <c r="A2949">
        <v>1983</v>
      </c>
      <c r="B2949" s="1" t="s">
        <v>24</v>
      </c>
      <c r="C2949" t="s">
        <v>14</v>
      </c>
      <c r="D2949">
        <v>1784000</v>
      </c>
    </row>
    <row r="2950" spans="1:4" x14ac:dyDescent="0.2">
      <c r="A2950">
        <v>1983</v>
      </c>
      <c r="B2950" s="1" t="s">
        <v>24</v>
      </c>
      <c r="C2950" t="s">
        <v>15</v>
      </c>
      <c r="D2950">
        <v>1419300</v>
      </c>
    </row>
    <row r="2951" spans="1:4" x14ac:dyDescent="0.2">
      <c r="A2951">
        <v>1983</v>
      </c>
      <c r="B2951" s="1" t="s">
        <v>24</v>
      </c>
      <c r="C2951" t="s">
        <v>16</v>
      </c>
      <c r="D2951">
        <v>1364300</v>
      </c>
    </row>
    <row r="2952" spans="1:4" x14ac:dyDescent="0.2">
      <c r="A2952">
        <v>1983</v>
      </c>
      <c r="B2952" s="1" t="s">
        <v>24</v>
      </c>
      <c r="C2952" t="s">
        <v>17</v>
      </c>
      <c r="D2952">
        <v>1380500</v>
      </c>
    </row>
    <row r="2953" spans="1:4" x14ac:dyDescent="0.2">
      <c r="A2953">
        <v>1983</v>
      </c>
      <c r="B2953" s="1" t="s">
        <v>24</v>
      </c>
      <c r="C2953" t="s">
        <v>18</v>
      </c>
      <c r="D2953">
        <v>1419200</v>
      </c>
    </row>
    <row r="2954" spans="1:4" x14ac:dyDescent="0.2">
      <c r="A2954">
        <v>1983</v>
      </c>
      <c r="B2954" s="1" t="s">
        <v>24</v>
      </c>
      <c r="C2954" t="s">
        <v>19</v>
      </c>
      <c r="D2954">
        <v>1487700</v>
      </c>
    </row>
    <row r="2955" spans="1:4" x14ac:dyDescent="0.2">
      <c r="A2955">
        <v>1983</v>
      </c>
      <c r="B2955" s="1" t="s">
        <v>24</v>
      </c>
      <c r="C2955" t="s">
        <v>20</v>
      </c>
      <c r="D2955">
        <v>1252800</v>
      </c>
    </row>
    <row r="2956" spans="1:4" x14ac:dyDescent="0.2">
      <c r="A2956">
        <v>1983</v>
      </c>
      <c r="B2956" s="1" t="s">
        <v>24</v>
      </c>
      <c r="C2956" t="s">
        <v>21</v>
      </c>
      <c r="D2956">
        <v>1232700</v>
      </c>
    </row>
    <row r="2957" spans="1:4" x14ac:dyDescent="0.2">
      <c r="A2957">
        <v>1983</v>
      </c>
      <c r="B2957" s="1" t="s">
        <v>24</v>
      </c>
      <c r="C2957" t="s">
        <v>22</v>
      </c>
      <c r="D2957">
        <v>987900</v>
      </c>
    </row>
    <row r="2958" spans="1:4" x14ac:dyDescent="0.2">
      <c r="A2958">
        <v>1983</v>
      </c>
      <c r="B2958" s="1" t="s">
        <v>24</v>
      </c>
      <c r="C2958" t="s">
        <v>23</v>
      </c>
      <c r="D2958">
        <v>644200</v>
      </c>
    </row>
    <row r="2959" spans="1:4" x14ac:dyDescent="0.2">
      <c r="A2959">
        <v>1983</v>
      </c>
      <c r="B2959" s="1" t="s">
        <v>24</v>
      </c>
      <c r="C2959" t="s">
        <v>31</v>
      </c>
      <c r="D2959">
        <v>440300</v>
      </c>
    </row>
    <row r="2960" spans="1:4" x14ac:dyDescent="0.2">
      <c r="A2960">
        <v>1984</v>
      </c>
      <c r="B2960" s="1" t="s">
        <v>24</v>
      </c>
      <c r="C2960" s="1" t="s">
        <v>29</v>
      </c>
      <c r="D2960">
        <v>303800</v>
      </c>
    </row>
    <row r="2961" spans="1:4" x14ac:dyDescent="0.2">
      <c r="A2961">
        <v>1984</v>
      </c>
      <c r="B2961" s="1" t="s">
        <v>24</v>
      </c>
      <c r="C2961" s="2" t="s">
        <v>26</v>
      </c>
      <c r="D2961">
        <v>1222500</v>
      </c>
    </row>
    <row r="2962" spans="1:4" x14ac:dyDescent="0.2">
      <c r="A2962">
        <v>1984</v>
      </c>
      <c r="B2962" s="1" t="s">
        <v>24</v>
      </c>
      <c r="C2962" s="2" t="s">
        <v>27</v>
      </c>
      <c r="D2962">
        <v>1417500</v>
      </c>
    </row>
    <row r="2963" spans="1:4" x14ac:dyDescent="0.2">
      <c r="A2963">
        <v>1984</v>
      </c>
      <c r="B2963" s="1" t="s">
        <v>24</v>
      </c>
      <c r="C2963" s="3" t="s">
        <v>28</v>
      </c>
      <c r="D2963">
        <v>1712700</v>
      </c>
    </row>
    <row r="2964" spans="1:4" x14ac:dyDescent="0.2">
      <c r="A2964">
        <v>1984</v>
      </c>
      <c r="B2964" s="1" t="s">
        <v>24</v>
      </c>
      <c r="C2964" t="s">
        <v>4</v>
      </c>
      <c r="D2964">
        <v>1976300</v>
      </c>
    </row>
    <row r="2965" spans="1:4" x14ac:dyDescent="0.2">
      <c r="A2965">
        <v>1984</v>
      </c>
      <c r="B2965" s="1" t="s">
        <v>24</v>
      </c>
      <c r="C2965" t="s">
        <v>5</v>
      </c>
      <c r="D2965">
        <v>2001800</v>
      </c>
    </row>
    <row r="2966" spans="1:4" x14ac:dyDescent="0.2">
      <c r="A2966">
        <v>1984</v>
      </c>
      <c r="B2966" s="1" t="s">
        <v>24</v>
      </c>
      <c r="C2966" t="s">
        <v>12</v>
      </c>
      <c r="D2966">
        <v>1730700</v>
      </c>
    </row>
    <row r="2967" spans="1:4" x14ac:dyDescent="0.2">
      <c r="A2967">
        <v>1984</v>
      </c>
      <c r="B2967" s="1" t="s">
        <v>24</v>
      </c>
      <c r="C2967" t="s">
        <v>13</v>
      </c>
      <c r="D2967">
        <v>1667400</v>
      </c>
    </row>
    <row r="2968" spans="1:4" x14ac:dyDescent="0.2">
      <c r="A2968">
        <v>1984</v>
      </c>
      <c r="B2968" s="1" t="s">
        <v>24</v>
      </c>
      <c r="C2968" t="s">
        <v>14</v>
      </c>
      <c r="D2968">
        <v>1816900</v>
      </c>
    </row>
    <row r="2969" spans="1:4" x14ac:dyDescent="0.2">
      <c r="A2969">
        <v>1984</v>
      </c>
      <c r="B2969" s="1" t="s">
        <v>24</v>
      </c>
      <c r="C2969" t="s">
        <v>15</v>
      </c>
      <c r="D2969">
        <v>1459300</v>
      </c>
    </row>
    <row r="2970" spans="1:4" x14ac:dyDescent="0.2">
      <c r="A2970">
        <v>1984</v>
      </c>
      <c r="B2970" s="1" t="s">
        <v>24</v>
      </c>
      <c r="C2970" t="s">
        <v>16</v>
      </c>
      <c r="D2970">
        <v>1381900</v>
      </c>
    </row>
    <row r="2971" spans="1:4" x14ac:dyDescent="0.2">
      <c r="A2971">
        <v>1984</v>
      </c>
      <c r="B2971" s="1" t="s">
        <v>24</v>
      </c>
      <c r="C2971" t="s">
        <v>17</v>
      </c>
      <c r="D2971">
        <v>1358100</v>
      </c>
    </row>
    <row r="2972" spans="1:4" x14ac:dyDescent="0.2">
      <c r="A2972">
        <v>1984</v>
      </c>
      <c r="B2972" s="1" t="s">
        <v>24</v>
      </c>
      <c r="C2972" t="s">
        <v>18</v>
      </c>
      <c r="D2972">
        <v>1399500</v>
      </c>
    </row>
    <row r="2973" spans="1:4" x14ac:dyDescent="0.2">
      <c r="A2973">
        <v>1984</v>
      </c>
      <c r="B2973" s="1" t="s">
        <v>24</v>
      </c>
      <c r="C2973" t="s">
        <v>19</v>
      </c>
      <c r="D2973">
        <v>1533700</v>
      </c>
    </row>
    <row r="2974" spans="1:4" x14ac:dyDescent="0.2">
      <c r="A2974">
        <v>1984</v>
      </c>
      <c r="B2974" s="1" t="s">
        <v>24</v>
      </c>
      <c r="C2974" t="s">
        <v>20</v>
      </c>
      <c r="D2974">
        <v>1190000</v>
      </c>
    </row>
    <row r="2975" spans="1:4" x14ac:dyDescent="0.2">
      <c r="A2975">
        <v>1984</v>
      </c>
      <c r="B2975" s="1" t="s">
        <v>24</v>
      </c>
      <c r="C2975" t="s">
        <v>21</v>
      </c>
      <c r="D2975">
        <v>1233600</v>
      </c>
    </row>
    <row r="2976" spans="1:4" x14ac:dyDescent="0.2">
      <c r="A2976">
        <v>1984</v>
      </c>
      <c r="B2976" s="1" t="s">
        <v>24</v>
      </c>
      <c r="C2976" t="s">
        <v>22</v>
      </c>
      <c r="D2976">
        <v>1002400</v>
      </c>
    </row>
    <row r="2977" spans="1:4" x14ac:dyDescent="0.2">
      <c r="A2977">
        <v>1984</v>
      </c>
      <c r="B2977" s="1" t="s">
        <v>24</v>
      </c>
      <c r="C2977" t="s">
        <v>23</v>
      </c>
      <c r="D2977">
        <v>663700</v>
      </c>
    </row>
    <row r="2978" spans="1:4" x14ac:dyDescent="0.2">
      <c r="A2978">
        <v>1984</v>
      </c>
      <c r="B2978" s="1" t="s">
        <v>24</v>
      </c>
      <c r="C2978" t="s">
        <v>31</v>
      </c>
      <c r="D2978">
        <v>456600</v>
      </c>
    </row>
    <row r="2979" spans="1:4" x14ac:dyDescent="0.2">
      <c r="A2979">
        <v>1985</v>
      </c>
      <c r="B2979" s="1" t="s">
        <v>24</v>
      </c>
      <c r="C2979" s="1" t="s">
        <v>29</v>
      </c>
      <c r="D2979">
        <v>316500</v>
      </c>
    </row>
    <row r="2980" spans="1:4" x14ac:dyDescent="0.2">
      <c r="A2980">
        <v>1985</v>
      </c>
      <c r="B2980" s="1" t="s">
        <v>24</v>
      </c>
      <c r="C2980" s="2" t="s">
        <v>26</v>
      </c>
      <c r="D2980">
        <v>1218400</v>
      </c>
    </row>
    <row r="2981" spans="1:4" x14ac:dyDescent="0.2">
      <c r="A2981">
        <v>1985</v>
      </c>
      <c r="B2981" s="1" t="s">
        <v>24</v>
      </c>
      <c r="C2981" s="2" t="s">
        <v>27</v>
      </c>
      <c r="D2981">
        <v>1438700</v>
      </c>
    </row>
    <row r="2982" spans="1:4" x14ac:dyDescent="0.2">
      <c r="A2982">
        <v>1985</v>
      </c>
      <c r="B2982" s="1" t="s">
        <v>24</v>
      </c>
      <c r="C2982" s="3" t="s">
        <v>28</v>
      </c>
      <c r="D2982">
        <v>1645600</v>
      </c>
    </row>
    <row r="2983" spans="1:4" x14ac:dyDescent="0.2">
      <c r="A2983">
        <v>1985</v>
      </c>
      <c r="B2983" s="1" t="s">
        <v>24</v>
      </c>
      <c r="C2983" t="s">
        <v>4</v>
      </c>
      <c r="D2983">
        <v>1934600</v>
      </c>
    </row>
    <row r="2984" spans="1:4" x14ac:dyDescent="0.2">
      <c r="A2984">
        <v>1985</v>
      </c>
      <c r="B2984" s="1" t="s">
        <v>24</v>
      </c>
      <c r="C2984" t="s">
        <v>5</v>
      </c>
      <c r="D2984">
        <v>2049300</v>
      </c>
    </row>
    <row r="2985" spans="1:4" x14ac:dyDescent="0.2">
      <c r="A2985">
        <v>1985</v>
      </c>
      <c r="B2985" s="1" t="s">
        <v>24</v>
      </c>
      <c r="C2985" t="s">
        <v>12</v>
      </c>
      <c r="D2985">
        <v>1785500</v>
      </c>
    </row>
    <row r="2986" spans="1:4" x14ac:dyDescent="0.2">
      <c r="A2986">
        <v>1985</v>
      </c>
      <c r="B2986" s="1" t="s">
        <v>24</v>
      </c>
      <c r="C2986" t="s">
        <v>13</v>
      </c>
      <c r="D2986">
        <v>1651500</v>
      </c>
    </row>
    <row r="2987" spans="1:4" x14ac:dyDescent="0.2">
      <c r="A2987">
        <v>1985</v>
      </c>
      <c r="B2987" s="1" t="s">
        <v>24</v>
      </c>
      <c r="C2987" t="s">
        <v>14</v>
      </c>
      <c r="D2987">
        <v>1841500</v>
      </c>
    </row>
    <row r="2988" spans="1:4" x14ac:dyDescent="0.2">
      <c r="A2988">
        <v>1985</v>
      </c>
      <c r="B2988" s="1" t="s">
        <v>24</v>
      </c>
      <c r="C2988" t="s">
        <v>15</v>
      </c>
      <c r="D2988">
        <v>1503400</v>
      </c>
    </row>
    <row r="2989" spans="1:4" x14ac:dyDescent="0.2">
      <c r="A2989">
        <v>1985</v>
      </c>
      <c r="B2989" s="1" t="s">
        <v>24</v>
      </c>
      <c r="C2989" t="s">
        <v>16</v>
      </c>
      <c r="D2989">
        <v>1390000</v>
      </c>
    </row>
    <row r="2990" spans="1:4" x14ac:dyDescent="0.2">
      <c r="A2990">
        <v>1985</v>
      </c>
      <c r="B2990" s="1" t="s">
        <v>24</v>
      </c>
      <c r="C2990" t="s">
        <v>17</v>
      </c>
      <c r="D2990">
        <v>1340100</v>
      </c>
    </row>
    <row r="2991" spans="1:4" x14ac:dyDescent="0.2">
      <c r="A2991">
        <v>1985</v>
      </c>
      <c r="B2991" s="1" t="s">
        <v>24</v>
      </c>
      <c r="C2991" t="s">
        <v>18</v>
      </c>
      <c r="D2991">
        <v>1388700</v>
      </c>
    </row>
    <row r="2992" spans="1:4" x14ac:dyDescent="0.2">
      <c r="A2992">
        <v>1985</v>
      </c>
      <c r="B2992" s="1" t="s">
        <v>24</v>
      </c>
      <c r="C2992" t="s">
        <v>19</v>
      </c>
      <c r="D2992">
        <v>1469800</v>
      </c>
    </row>
    <row r="2993" spans="1:4" x14ac:dyDescent="0.2">
      <c r="A2993">
        <v>1985</v>
      </c>
      <c r="B2993" s="1" t="s">
        <v>24</v>
      </c>
      <c r="C2993" t="s">
        <v>20</v>
      </c>
      <c r="D2993">
        <v>1236000</v>
      </c>
    </row>
    <row r="2994" spans="1:4" x14ac:dyDescent="0.2">
      <c r="A2994">
        <v>1985</v>
      </c>
      <c r="B2994" s="1" t="s">
        <v>24</v>
      </c>
      <c r="C2994" t="s">
        <v>21</v>
      </c>
      <c r="D2994">
        <v>1231700</v>
      </c>
    </row>
    <row r="2995" spans="1:4" x14ac:dyDescent="0.2">
      <c r="A2995">
        <v>1985</v>
      </c>
      <c r="B2995" s="1" t="s">
        <v>24</v>
      </c>
      <c r="C2995" t="s">
        <v>22</v>
      </c>
      <c r="D2995">
        <v>1009800</v>
      </c>
    </row>
    <row r="2996" spans="1:4" x14ac:dyDescent="0.2">
      <c r="A2996">
        <v>1985</v>
      </c>
      <c r="B2996" s="1" t="s">
        <v>24</v>
      </c>
      <c r="C2996" t="s">
        <v>23</v>
      </c>
      <c r="D2996">
        <v>678900</v>
      </c>
    </row>
    <row r="2997" spans="1:4" x14ac:dyDescent="0.2">
      <c r="A2997">
        <v>1985</v>
      </c>
      <c r="B2997" s="1" t="s">
        <v>24</v>
      </c>
      <c r="C2997" t="s">
        <v>31</v>
      </c>
      <c r="D2997">
        <v>476400</v>
      </c>
    </row>
    <row r="2998" spans="1:4" x14ac:dyDescent="0.2">
      <c r="A2998">
        <v>1986</v>
      </c>
      <c r="B2998" s="1" t="s">
        <v>24</v>
      </c>
      <c r="C2998" s="1" t="s">
        <v>29</v>
      </c>
      <c r="D2998">
        <v>318800</v>
      </c>
    </row>
    <row r="2999" spans="1:4" x14ac:dyDescent="0.2">
      <c r="A2999">
        <v>1986</v>
      </c>
      <c r="B2999" s="1" t="s">
        <v>24</v>
      </c>
      <c r="C2999" s="2" t="s">
        <v>26</v>
      </c>
      <c r="D2999">
        <v>1230900</v>
      </c>
    </row>
    <row r="3000" spans="1:4" x14ac:dyDescent="0.2">
      <c r="A3000">
        <v>1986</v>
      </c>
      <c r="B3000" s="1" t="s">
        <v>24</v>
      </c>
      <c r="C3000" s="2" t="s">
        <v>27</v>
      </c>
      <c r="D3000">
        <v>1470100</v>
      </c>
    </row>
    <row r="3001" spans="1:4" x14ac:dyDescent="0.2">
      <c r="A3001">
        <v>1986</v>
      </c>
      <c r="B3001" s="1" t="s">
        <v>24</v>
      </c>
      <c r="C3001" s="3" t="s">
        <v>28</v>
      </c>
      <c r="D3001">
        <v>1562300</v>
      </c>
    </row>
    <row r="3002" spans="1:4" x14ac:dyDescent="0.2">
      <c r="A3002">
        <v>1986</v>
      </c>
      <c r="B3002" s="1" t="s">
        <v>24</v>
      </c>
      <c r="C3002" t="s">
        <v>4</v>
      </c>
      <c r="D3002">
        <v>1906000</v>
      </c>
    </row>
    <row r="3003" spans="1:4" x14ac:dyDescent="0.2">
      <c r="A3003">
        <v>1986</v>
      </c>
      <c r="B3003" s="1" t="s">
        <v>24</v>
      </c>
      <c r="C3003" t="s">
        <v>5</v>
      </c>
      <c r="D3003">
        <v>2071900</v>
      </c>
    </row>
    <row r="3004" spans="1:4" x14ac:dyDescent="0.2">
      <c r="A3004">
        <v>1986</v>
      </c>
      <c r="B3004" s="1" t="s">
        <v>24</v>
      </c>
      <c r="C3004" t="s">
        <v>12</v>
      </c>
      <c r="D3004">
        <v>1849700</v>
      </c>
    </row>
    <row r="3005" spans="1:4" x14ac:dyDescent="0.2">
      <c r="A3005">
        <v>1986</v>
      </c>
      <c r="B3005" s="1" t="s">
        <v>24</v>
      </c>
      <c r="C3005" t="s">
        <v>13</v>
      </c>
      <c r="D3005">
        <v>1659600</v>
      </c>
    </row>
    <row r="3006" spans="1:4" x14ac:dyDescent="0.2">
      <c r="A3006">
        <v>1986</v>
      </c>
      <c r="B3006" s="1" t="s">
        <v>24</v>
      </c>
      <c r="C3006" t="s">
        <v>14</v>
      </c>
      <c r="D3006">
        <v>1848900</v>
      </c>
    </row>
    <row r="3007" spans="1:4" x14ac:dyDescent="0.2">
      <c r="A3007">
        <v>1986</v>
      </c>
      <c r="B3007" s="1" t="s">
        <v>24</v>
      </c>
      <c r="C3007" t="s">
        <v>15</v>
      </c>
      <c r="D3007">
        <v>1568700</v>
      </c>
    </row>
    <row r="3008" spans="1:4" x14ac:dyDescent="0.2">
      <c r="A3008">
        <v>1986</v>
      </c>
      <c r="B3008" s="1" t="s">
        <v>24</v>
      </c>
      <c r="C3008" t="s">
        <v>16</v>
      </c>
      <c r="D3008">
        <v>1376600</v>
      </c>
    </row>
    <row r="3009" spans="1:4" x14ac:dyDescent="0.2">
      <c r="A3009">
        <v>1986</v>
      </c>
      <c r="B3009" s="1" t="s">
        <v>24</v>
      </c>
      <c r="C3009" t="s">
        <v>17</v>
      </c>
      <c r="D3009">
        <v>1329400</v>
      </c>
    </row>
    <row r="3010" spans="1:4" x14ac:dyDescent="0.2">
      <c r="A3010">
        <v>1986</v>
      </c>
      <c r="B3010" s="1" t="s">
        <v>24</v>
      </c>
      <c r="C3010" t="s">
        <v>18</v>
      </c>
      <c r="D3010">
        <v>1376700</v>
      </c>
    </row>
    <row r="3011" spans="1:4" x14ac:dyDescent="0.2">
      <c r="A3011">
        <v>1986</v>
      </c>
      <c r="B3011" s="1" t="s">
        <v>24</v>
      </c>
      <c r="C3011" t="s">
        <v>19</v>
      </c>
      <c r="D3011">
        <v>1422200</v>
      </c>
    </row>
    <row r="3012" spans="1:4" x14ac:dyDescent="0.2">
      <c r="A3012">
        <v>1986</v>
      </c>
      <c r="B3012" s="1" t="s">
        <v>24</v>
      </c>
      <c r="C3012" t="s">
        <v>20</v>
      </c>
      <c r="D3012">
        <v>1283500</v>
      </c>
    </row>
    <row r="3013" spans="1:4" x14ac:dyDescent="0.2">
      <c r="A3013">
        <v>1986</v>
      </c>
      <c r="B3013" s="1" t="s">
        <v>24</v>
      </c>
      <c r="C3013" t="s">
        <v>21</v>
      </c>
      <c r="D3013">
        <v>1214400</v>
      </c>
    </row>
    <row r="3014" spans="1:4" x14ac:dyDescent="0.2">
      <c r="A3014">
        <v>1986</v>
      </c>
      <c r="B3014" s="1" t="s">
        <v>24</v>
      </c>
      <c r="C3014" t="s">
        <v>22</v>
      </c>
      <c r="D3014">
        <v>1013500</v>
      </c>
    </row>
    <row r="3015" spans="1:4" x14ac:dyDescent="0.2">
      <c r="A3015">
        <v>1986</v>
      </c>
      <c r="B3015" s="1" t="s">
        <v>24</v>
      </c>
      <c r="C3015" t="s">
        <v>23</v>
      </c>
      <c r="D3015">
        <v>690700</v>
      </c>
    </row>
    <row r="3016" spans="1:4" x14ac:dyDescent="0.2">
      <c r="A3016">
        <v>1986</v>
      </c>
      <c r="B3016" s="1" t="s">
        <v>24</v>
      </c>
      <c r="C3016" t="s">
        <v>31</v>
      </c>
      <c r="D3016">
        <v>493800</v>
      </c>
    </row>
    <row r="3017" spans="1:4" x14ac:dyDescent="0.2">
      <c r="A3017">
        <v>1987</v>
      </c>
      <c r="B3017" s="1" t="s">
        <v>24</v>
      </c>
      <c r="C3017" s="1" t="s">
        <v>29</v>
      </c>
      <c r="D3017">
        <v>324400</v>
      </c>
    </row>
    <row r="3018" spans="1:4" x14ac:dyDescent="0.2">
      <c r="A3018">
        <v>1987</v>
      </c>
      <c r="B3018" s="1" t="s">
        <v>24</v>
      </c>
      <c r="C3018" s="2" t="s">
        <v>26</v>
      </c>
      <c r="D3018">
        <v>1247100</v>
      </c>
    </row>
    <row r="3019" spans="1:4" x14ac:dyDescent="0.2">
      <c r="A3019">
        <v>1987</v>
      </c>
      <c r="B3019" s="1" t="s">
        <v>24</v>
      </c>
      <c r="C3019" s="2" t="s">
        <v>27</v>
      </c>
      <c r="D3019">
        <v>1506500</v>
      </c>
    </row>
    <row r="3020" spans="1:4" x14ac:dyDescent="0.2">
      <c r="A3020">
        <v>1987</v>
      </c>
      <c r="B3020" s="1" t="s">
        <v>24</v>
      </c>
      <c r="C3020" s="3" t="s">
        <v>28</v>
      </c>
      <c r="D3020">
        <v>1487700</v>
      </c>
    </row>
    <row r="3021" spans="1:4" x14ac:dyDescent="0.2">
      <c r="A3021">
        <v>1987</v>
      </c>
      <c r="B3021" s="1" t="s">
        <v>24</v>
      </c>
      <c r="C3021" t="s">
        <v>4</v>
      </c>
      <c r="D3021">
        <v>1861300</v>
      </c>
    </row>
    <row r="3022" spans="1:4" x14ac:dyDescent="0.2">
      <c r="A3022">
        <v>1987</v>
      </c>
      <c r="B3022" s="1" t="s">
        <v>24</v>
      </c>
      <c r="C3022" t="s">
        <v>5</v>
      </c>
      <c r="D3022">
        <v>2071400</v>
      </c>
    </row>
    <row r="3023" spans="1:4" x14ac:dyDescent="0.2">
      <c r="A3023">
        <v>1987</v>
      </c>
      <c r="B3023" s="1" t="s">
        <v>24</v>
      </c>
      <c r="C3023" t="s">
        <v>12</v>
      </c>
      <c r="D3023">
        <v>1909600</v>
      </c>
    </row>
    <row r="3024" spans="1:4" x14ac:dyDescent="0.2">
      <c r="A3024">
        <v>1987</v>
      </c>
      <c r="B3024" s="1" t="s">
        <v>24</v>
      </c>
      <c r="C3024" t="s">
        <v>13</v>
      </c>
      <c r="D3024">
        <v>1682300</v>
      </c>
    </row>
    <row r="3025" spans="1:4" x14ac:dyDescent="0.2">
      <c r="A3025">
        <v>1987</v>
      </c>
      <c r="B3025" s="1" t="s">
        <v>24</v>
      </c>
      <c r="C3025" t="s">
        <v>14</v>
      </c>
      <c r="D3025">
        <v>1759700</v>
      </c>
    </row>
    <row r="3026" spans="1:4" x14ac:dyDescent="0.2">
      <c r="A3026">
        <v>1987</v>
      </c>
      <c r="B3026" s="1" t="s">
        <v>24</v>
      </c>
      <c r="C3026" t="s">
        <v>15</v>
      </c>
      <c r="D3026">
        <v>1703900</v>
      </c>
    </row>
    <row r="3027" spans="1:4" x14ac:dyDescent="0.2">
      <c r="A3027">
        <v>1987</v>
      </c>
      <c r="B3027" s="1" t="s">
        <v>24</v>
      </c>
      <c r="C3027" t="s">
        <v>16</v>
      </c>
      <c r="D3027">
        <v>1380900</v>
      </c>
    </row>
    <row r="3028" spans="1:4" x14ac:dyDescent="0.2">
      <c r="A3028">
        <v>1987</v>
      </c>
      <c r="B3028" s="1" t="s">
        <v>24</v>
      </c>
      <c r="C3028" t="s">
        <v>17</v>
      </c>
      <c r="D3028">
        <v>1328800</v>
      </c>
    </row>
    <row r="3029" spans="1:4" x14ac:dyDescent="0.2">
      <c r="A3029">
        <v>1987</v>
      </c>
      <c r="B3029" s="1" t="s">
        <v>24</v>
      </c>
      <c r="C3029" t="s">
        <v>18</v>
      </c>
      <c r="D3029">
        <v>1361900</v>
      </c>
    </row>
    <row r="3030" spans="1:4" x14ac:dyDescent="0.2">
      <c r="A3030">
        <v>1987</v>
      </c>
      <c r="B3030" s="1" t="s">
        <v>24</v>
      </c>
      <c r="C3030" t="s">
        <v>19</v>
      </c>
      <c r="D3030">
        <v>1384400</v>
      </c>
    </row>
    <row r="3031" spans="1:4" x14ac:dyDescent="0.2">
      <c r="A3031">
        <v>1987</v>
      </c>
      <c r="B3031" s="1" t="s">
        <v>24</v>
      </c>
      <c r="C3031" t="s">
        <v>20</v>
      </c>
      <c r="D3031">
        <v>1332000</v>
      </c>
    </row>
    <row r="3032" spans="1:4" x14ac:dyDescent="0.2">
      <c r="A3032">
        <v>1987</v>
      </c>
      <c r="B3032" s="1" t="s">
        <v>24</v>
      </c>
      <c r="C3032" t="s">
        <v>21</v>
      </c>
      <c r="D3032">
        <v>1177800</v>
      </c>
    </row>
    <row r="3033" spans="1:4" x14ac:dyDescent="0.2">
      <c r="A3033">
        <v>1987</v>
      </c>
      <c r="B3033" s="1" t="s">
        <v>24</v>
      </c>
      <c r="C3033" t="s">
        <v>22</v>
      </c>
      <c r="D3033">
        <v>1015600</v>
      </c>
    </row>
    <row r="3034" spans="1:4" x14ac:dyDescent="0.2">
      <c r="A3034">
        <v>1987</v>
      </c>
      <c r="B3034" s="1" t="s">
        <v>24</v>
      </c>
      <c r="C3034" t="s">
        <v>23</v>
      </c>
      <c r="D3034">
        <v>703500</v>
      </c>
    </row>
    <row r="3035" spans="1:4" x14ac:dyDescent="0.2">
      <c r="A3035">
        <v>1987</v>
      </c>
      <c r="B3035" s="1" t="s">
        <v>24</v>
      </c>
      <c r="C3035" t="s">
        <v>31</v>
      </c>
      <c r="D3035">
        <v>513500</v>
      </c>
    </row>
    <row r="3036" spans="1:4" x14ac:dyDescent="0.2">
      <c r="A3036">
        <v>1988</v>
      </c>
      <c r="B3036" s="1" t="s">
        <v>24</v>
      </c>
      <c r="C3036" s="1" t="s">
        <v>29</v>
      </c>
      <c r="D3036">
        <v>334600</v>
      </c>
    </row>
    <row r="3037" spans="1:4" x14ac:dyDescent="0.2">
      <c r="A3037">
        <v>1988</v>
      </c>
      <c r="B3037" s="1" t="s">
        <v>24</v>
      </c>
      <c r="C3037" s="2" t="s">
        <v>26</v>
      </c>
      <c r="D3037">
        <v>1266800</v>
      </c>
    </row>
    <row r="3038" spans="1:4" x14ac:dyDescent="0.2">
      <c r="A3038">
        <v>1988</v>
      </c>
      <c r="B3038" s="1" t="s">
        <v>24</v>
      </c>
      <c r="C3038" s="2" t="s">
        <v>27</v>
      </c>
      <c r="D3038">
        <v>1538000</v>
      </c>
    </row>
    <row r="3039" spans="1:4" x14ac:dyDescent="0.2">
      <c r="A3039">
        <v>1988</v>
      </c>
      <c r="B3039" s="1" t="s">
        <v>24</v>
      </c>
      <c r="C3039" s="3" t="s">
        <v>28</v>
      </c>
      <c r="D3039">
        <v>1438400</v>
      </c>
    </row>
    <row r="3040" spans="1:4" x14ac:dyDescent="0.2">
      <c r="A3040">
        <v>1988</v>
      </c>
      <c r="B3040" s="1" t="s">
        <v>24</v>
      </c>
      <c r="C3040" t="s">
        <v>4</v>
      </c>
      <c r="D3040">
        <v>1805700</v>
      </c>
    </row>
    <row r="3041" spans="1:4" x14ac:dyDescent="0.2">
      <c r="A3041">
        <v>1988</v>
      </c>
      <c r="B3041" s="1" t="s">
        <v>24</v>
      </c>
      <c r="C3041" t="s">
        <v>5</v>
      </c>
      <c r="D3041">
        <v>2048800</v>
      </c>
    </row>
    <row r="3042" spans="1:4" x14ac:dyDescent="0.2">
      <c r="A3042">
        <v>1988</v>
      </c>
      <c r="B3042" s="1" t="s">
        <v>24</v>
      </c>
      <c r="C3042" t="s">
        <v>12</v>
      </c>
      <c r="D3042">
        <v>1962800</v>
      </c>
    </row>
    <row r="3043" spans="1:4" x14ac:dyDescent="0.2">
      <c r="A3043">
        <v>1988</v>
      </c>
      <c r="B3043" s="1" t="s">
        <v>24</v>
      </c>
      <c r="C3043" t="s">
        <v>13</v>
      </c>
      <c r="D3043">
        <v>1710800</v>
      </c>
    </row>
    <row r="3044" spans="1:4" x14ac:dyDescent="0.2">
      <c r="A3044">
        <v>1988</v>
      </c>
      <c r="B3044" s="1" t="s">
        <v>24</v>
      </c>
      <c r="C3044" t="s">
        <v>14</v>
      </c>
      <c r="D3044">
        <v>1708500</v>
      </c>
    </row>
    <row r="3045" spans="1:4" x14ac:dyDescent="0.2">
      <c r="A3045">
        <v>1988</v>
      </c>
      <c r="B3045" s="1" t="s">
        <v>24</v>
      </c>
      <c r="C3045" t="s">
        <v>15</v>
      </c>
      <c r="D3045">
        <v>1779300</v>
      </c>
    </row>
    <row r="3046" spans="1:4" x14ac:dyDescent="0.2">
      <c r="A3046">
        <v>1988</v>
      </c>
      <c r="B3046" s="1" t="s">
        <v>24</v>
      </c>
      <c r="C3046" t="s">
        <v>16</v>
      </c>
      <c r="D3046">
        <v>1406900</v>
      </c>
    </row>
    <row r="3047" spans="1:4" x14ac:dyDescent="0.2">
      <c r="A3047">
        <v>1988</v>
      </c>
      <c r="B3047" s="1" t="s">
        <v>24</v>
      </c>
      <c r="C3047" t="s">
        <v>17</v>
      </c>
      <c r="D3047">
        <v>1342500</v>
      </c>
    </row>
    <row r="3048" spans="1:4" x14ac:dyDescent="0.2">
      <c r="A3048">
        <v>1988</v>
      </c>
      <c r="B3048" s="1" t="s">
        <v>24</v>
      </c>
      <c r="C3048" t="s">
        <v>18</v>
      </c>
      <c r="D3048">
        <v>1343900</v>
      </c>
    </row>
    <row r="3049" spans="1:4" x14ac:dyDescent="0.2">
      <c r="A3049">
        <v>1988</v>
      </c>
      <c r="B3049" s="1" t="s">
        <v>24</v>
      </c>
      <c r="C3049" t="s">
        <v>19</v>
      </c>
      <c r="D3049">
        <v>1358800</v>
      </c>
    </row>
    <row r="3050" spans="1:4" x14ac:dyDescent="0.2">
      <c r="A3050">
        <v>1988</v>
      </c>
      <c r="B3050" s="1" t="s">
        <v>24</v>
      </c>
      <c r="C3050" t="s">
        <v>20</v>
      </c>
      <c r="D3050">
        <v>1387200</v>
      </c>
    </row>
    <row r="3051" spans="1:4" x14ac:dyDescent="0.2">
      <c r="A3051">
        <v>1988</v>
      </c>
      <c r="B3051" s="1" t="s">
        <v>24</v>
      </c>
      <c r="C3051" t="s">
        <v>21</v>
      </c>
      <c r="D3051">
        <v>1117500</v>
      </c>
    </row>
    <row r="3052" spans="1:4" x14ac:dyDescent="0.2">
      <c r="A3052">
        <v>1988</v>
      </c>
      <c r="B3052" s="1" t="s">
        <v>24</v>
      </c>
      <c r="C3052" t="s">
        <v>22</v>
      </c>
      <c r="D3052">
        <v>1018200</v>
      </c>
    </row>
    <row r="3053" spans="1:4" x14ac:dyDescent="0.2">
      <c r="A3053">
        <v>1988</v>
      </c>
      <c r="B3053" s="1" t="s">
        <v>24</v>
      </c>
      <c r="C3053" t="s">
        <v>23</v>
      </c>
      <c r="D3053">
        <v>717800</v>
      </c>
    </row>
    <row r="3054" spans="1:4" x14ac:dyDescent="0.2">
      <c r="A3054">
        <v>1988</v>
      </c>
      <c r="B3054" s="1" t="s">
        <v>24</v>
      </c>
      <c r="C3054" t="s">
        <v>31</v>
      </c>
      <c r="D3054">
        <v>533600</v>
      </c>
    </row>
    <row r="3055" spans="1:4" x14ac:dyDescent="0.2">
      <c r="A3055">
        <v>1989</v>
      </c>
      <c r="B3055" s="1" t="s">
        <v>24</v>
      </c>
      <c r="C3055" s="1" t="s">
        <v>29</v>
      </c>
      <c r="D3055">
        <v>332000</v>
      </c>
    </row>
    <row r="3056" spans="1:4" x14ac:dyDescent="0.2">
      <c r="A3056">
        <v>1989</v>
      </c>
      <c r="B3056" s="1" t="s">
        <v>24</v>
      </c>
      <c r="C3056" s="2" t="s">
        <v>26</v>
      </c>
      <c r="D3056">
        <v>1297800</v>
      </c>
    </row>
    <row r="3057" spans="1:4" x14ac:dyDescent="0.2">
      <c r="A3057">
        <v>1989</v>
      </c>
      <c r="B3057" s="1" t="s">
        <v>24</v>
      </c>
      <c r="C3057" s="2" t="s">
        <v>27</v>
      </c>
      <c r="D3057">
        <v>1545300</v>
      </c>
    </row>
    <row r="3058" spans="1:4" x14ac:dyDescent="0.2">
      <c r="A3058">
        <v>1989</v>
      </c>
      <c r="B3058" s="1" t="s">
        <v>24</v>
      </c>
      <c r="C3058" s="3" t="s">
        <v>28</v>
      </c>
      <c r="D3058">
        <v>1434700</v>
      </c>
    </row>
    <row r="3059" spans="1:4" x14ac:dyDescent="0.2">
      <c r="A3059">
        <v>1989</v>
      </c>
      <c r="B3059" s="1" t="s">
        <v>24</v>
      </c>
      <c r="C3059" t="s">
        <v>4</v>
      </c>
      <c r="D3059">
        <v>1733700</v>
      </c>
    </row>
    <row r="3060" spans="1:4" x14ac:dyDescent="0.2">
      <c r="A3060">
        <v>1989</v>
      </c>
      <c r="B3060" s="1" t="s">
        <v>24</v>
      </c>
      <c r="C3060" t="s">
        <v>5</v>
      </c>
      <c r="D3060">
        <v>2019500</v>
      </c>
    </row>
    <row r="3061" spans="1:4" x14ac:dyDescent="0.2">
      <c r="A3061">
        <v>1989</v>
      </c>
      <c r="B3061" s="1" t="s">
        <v>24</v>
      </c>
      <c r="C3061" t="s">
        <v>12</v>
      </c>
      <c r="D3061">
        <v>2016400</v>
      </c>
    </row>
    <row r="3062" spans="1:4" x14ac:dyDescent="0.2">
      <c r="A3062">
        <v>1989</v>
      </c>
      <c r="B3062" s="1" t="s">
        <v>24</v>
      </c>
      <c r="C3062" t="s">
        <v>13</v>
      </c>
      <c r="D3062">
        <v>1746700</v>
      </c>
    </row>
    <row r="3063" spans="1:4" x14ac:dyDescent="0.2">
      <c r="A3063">
        <v>1989</v>
      </c>
      <c r="B3063" s="1" t="s">
        <v>24</v>
      </c>
      <c r="C3063" t="s">
        <v>14</v>
      </c>
      <c r="D3063">
        <v>1682800</v>
      </c>
    </row>
    <row r="3064" spans="1:4" x14ac:dyDescent="0.2">
      <c r="A3064">
        <v>1989</v>
      </c>
      <c r="B3064" s="1" t="s">
        <v>24</v>
      </c>
      <c r="C3064" t="s">
        <v>15</v>
      </c>
      <c r="D3064">
        <v>1812800</v>
      </c>
    </row>
    <row r="3065" spans="1:4" x14ac:dyDescent="0.2">
      <c r="A3065">
        <v>1989</v>
      </c>
      <c r="B3065" s="1" t="s">
        <v>24</v>
      </c>
      <c r="C3065" t="s">
        <v>16</v>
      </c>
      <c r="D3065">
        <v>1448500</v>
      </c>
    </row>
    <row r="3066" spans="1:4" x14ac:dyDescent="0.2">
      <c r="A3066">
        <v>1989</v>
      </c>
      <c r="B3066" s="1" t="s">
        <v>24</v>
      </c>
      <c r="C3066" t="s">
        <v>17</v>
      </c>
      <c r="D3066">
        <v>1360200</v>
      </c>
    </row>
    <row r="3067" spans="1:4" x14ac:dyDescent="0.2">
      <c r="A3067">
        <v>1989</v>
      </c>
      <c r="B3067" s="1" t="s">
        <v>24</v>
      </c>
      <c r="C3067" t="s">
        <v>18</v>
      </c>
      <c r="D3067">
        <v>1322900</v>
      </c>
    </row>
    <row r="3068" spans="1:4" x14ac:dyDescent="0.2">
      <c r="A3068">
        <v>1989</v>
      </c>
      <c r="B3068" s="1" t="s">
        <v>24</v>
      </c>
      <c r="C3068" t="s">
        <v>19</v>
      </c>
      <c r="D3068">
        <v>1340200</v>
      </c>
    </row>
    <row r="3069" spans="1:4" x14ac:dyDescent="0.2">
      <c r="A3069">
        <v>1989</v>
      </c>
      <c r="B3069" s="1" t="s">
        <v>24</v>
      </c>
      <c r="C3069" t="s">
        <v>20</v>
      </c>
      <c r="D3069">
        <v>1430300</v>
      </c>
    </row>
    <row r="3070" spans="1:4" x14ac:dyDescent="0.2">
      <c r="A3070">
        <v>1989</v>
      </c>
      <c r="B3070" s="1" t="s">
        <v>24</v>
      </c>
      <c r="C3070" t="s">
        <v>21</v>
      </c>
      <c r="D3070">
        <v>1062300</v>
      </c>
    </row>
    <row r="3071" spans="1:4" x14ac:dyDescent="0.2">
      <c r="A3071">
        <v>1989</v>
      </c>
      <c r="B3071" s="1" t="s">
        <v>24</v>
      </c>
      <c r="C3071" t="s">
        <v>22</v>
      </c>
      <c r="D3071">
        <v>1023800</v>
      </c>
    </row>
    <row r="3072" spans="1:4" x14ac:dyDescent="0.2">
      <c r="A3072">
        <v>1989</v>
      </c>
      <c r="B3072" s="1" t="s">
        <v>24</v>
      </c>
      <c r="C3072" t="s">
        <v>23</v>
      </c>
      <c r="D3072">
        <v>732300</v>
      </c>
    </row>
    <row r="3073" spans="1:4" x14ac:dyDescent="0.2">
      <c r="A3073">
        <v>1989</v>
      </c>
      <c r="B3073" s="1" t="s">
        <v>24</v>
      </c>
      <c r="C3073" t="s">
        <v>31</v>
      </c>
      <c r="D3073">
        <v>556100</v>
      </c>
    </row>
    <row r="3074" spans="1:4" x14ac:dyDescent="0.2">
      <c r="A3074">
        <v>1990</v>
      </c>
      <c r="B3074" s="1" t="s">
        <v>24</v>
      </c>
      <c r="C3074" s="1" t="s">
        <v>29</v>
      </c>
      <c r="D3074">
        <v>334600</v>
      </c>
    </row>
    <row r="3075" spans="1:4" x14ac:dyDescent="0.2">
      <c r="A3075">
        <v>1990</v>
      </c>
      <c r="B3075" s="1" t="s">
        <v>24</v>
      </c>
      <c r="C3075" s="2" t="s">
        <v>26</v>
      </c>
      <c r="D3075">
        <v>1311400</v>
      </c>
    </row>
    <row r="3076" spans="1:4" x14ac:dyDescent="0.2">
      <c r="A3076">
        <v>1990</v>
      </c>
      <c r="B3076" s="1" t="s">
        <v>24</v>
      </c>
      <c r="C3076" s="2" t="s">
        <v>27</v>
      </c>
      <c r="D3076">
        <v>1553200</v>
      </c>
    </row>
    <row r="3077" spans="1:4" x14ac:dyDescent="0.2">
      <c r="A3077">
        <v>1990</v>
      </c>
      <c r="B3077" s="1" t="s">
        <v>24</v>
      </c>
      <c r="C3077" s="3" t="s">
        <v>28</v>
      </c>
      <c r="D3077">
        <v>1454800</v>
      </c>
    </row>
    <row r="3078" spans="1:4" x14ac:dyDescent="0.2">
      <c r="A3078">
        <v>1990</v>
      </c>
      <c r="B3078" s="1" t="s">
        <v>24</v>
      </c>
      <c r="C3078" t="s">
        <v>4</v>
      </c>
      <c r="D3078">
        <v>1666100</v>
      </c>
    </row>
    <row r="3079" spans="1:4" x14ac:dyDescent="0.2">
      <c r="A3079">
        <v>1990</v>
      </c>
      <c r="B3079" s="1" t="s">
        <v>24</v>
      </c>
      <c r="C3079" t="s">
        <v>5</v>
      </c>
      <c r="D3079">
        <v>1971500</v>
      </c>
    </row>
    <row r="3080" spans="1:4" x14ac:dyDescent="0.2">
      <c r="A3080">
        <v>1990</v>
      </c>
      <c r="B3080" s="1" t="s">
        <v>24</v>
      </c>
      <c r="C3080" t="s">
        <v>12</v>
      </c>
      <c r="D3080">
        <v>2059700</v>
      </c>
    </row>
    <row r="3081" spans="1:4" x14ac:dyDescent="0.2">
      <c r="A3081">
        <v>1990</v>
      </c>
      <c r="B3081" s="1" t="s">
        <v>24</v>
      </c>
      <c r="C3081" t="s">
        <v>13</v>
      </c>
      <c r="D3081">
        <v>1798900</v>
      </c>
    </row>
    <row r="3082" spans="1:4" x14ac:dyDescent="0.2">
      <c r="A3082">
        <v>1990</v>
      </c>
      <c r="B3082" s="1" t="s">
        <v>24</v>
      </c>
      <c r="C3082" t="s">
        <v>14</v>
      </c>
      <c r="D3082">
        <v>1666900</v>
      </c>
    </row>
    <row r="3083" spans="1:4" x14ac:dyDescent="0.2">
      <c r="A3083">
        <v>1990</v>
      </c>
      <c r="B3083" s="1" t="s">
        <v>24</v>
      </c>
      <c r="C3083" t="s">
        <v>15</v>
      </c>
      <c r="D3083">
        <v>1835900</v>
      </c>
    </row>
    <row r="3084" spans="1:4" x14ac:dyDescent="0.2">
      <c r="A3084">
        <v>1990</v>
      </c>
      <c r="B3084" s="1" t="s">
        <v>24</v>
      </c>
      <c r="C3084" t="s">
        <v>16</v>
      </c>
      <c r="D3084">
        <v>1493100</v>
      </c>
    </row>
    <row r="3085" spans="1:4" x14ac:dyDescent="0.2">
      <c r="A3085">
        <v>1990</v>
      </c>
      <c r="B3085" s="1" t="s">
        <v>24</v>
      </c>
      <c r="C3085" t="s">
        <v>17</v>
      </c>
      <c r="D3085">
        <v>1367900</v>
      </c>
    </row>
    <row r="3086" spans="1:4" x14ac:dyDescent="0.2">
      <c r="A3086">
        <v>1990</v>
      </c>
      <c r="B3086" s="1" t="s">
        <v>24</v>
      </c>
      <c r="C3086" t="s">
        <v>18</v>
      </c>
      <c r="D3086">
        <v>1304200</v>
      </c>
    </row>
    <row r="3087" spans="1:4" x14ac:dyDescent="0.2">
      <c r="A3087">
        <v>1990</v>
      </c>
      <c r="B3087" s="1" t="s">
        <v>24</v>
      </c>
      <c r="C3087" t="s">
        <v>19</v>
      </c>
      <c r="D3087">
        <v>1329800</v>
      </c>
    </row>
    <row r="3088" spans="1:4" x14ac:dyDescent="0.2">
      <c r="A3088">
        <v>1990</v>
      </c>
      <c r="B3088" s="1" t="s">
        <v>24</v>
      </c>
      <c r="C3088" t="s">
        <v>20</v>
      </c>
      <c r="D3088">
        <v>1370300</v>
      </c>
    </row>
    <row r="3089" spans="1:4" x14ac:dyDescent="0.2">
      <c r="A3089">
        <v>1990</v>
      </c>
      <c r="B3089" s="1" t="s">
        <v>24</v>
      </c>
      <c r="C3089" t="s">
        <v>21</v>
      </c>
      <c r="D3089">
        <v>1107600</v>
      </c>
    </row>
    <row r="3090" spans="1:4" x14ac:dyDescent="0.2">
      <c r="A3090">
        <v>1990</v>
      </c>
      <c r="B3090" s="1" t="s">
        <v>24</v>
      </c>
      <c r="C3090" t="s">
        <v>22</v>
      </c>
      <c r="D3090">
        <v>1025200</v>
      </c>
    </row>
    <row r="3091" spans="1:4" x14ac:dyDescent="0.2">
      <c r="A3091">
        <v>1990</v>
      </c>
      <c r="B3091" s="1" t="s">
        <v>24</v>
      </c>
      <c r="C3091" t="s">
        <v>23</v>
      </c>
      <c r="D3091">
        <v>739400</v>
      </c>
    </row>
    <row r="3092" spans="1:4" x14ac:dyDescent="0.2">
      <c r="A3092">
        <v>1990</v>
      </c>
      <c r="B3092" s="1" t="s">
        <v>24</v>
      </c>
      <c r="C3092" t="s">
        <v>31</v>
      </c>
      <c r="D3092">
        <v>573400</v>
      </c>
    </row>
    <row r="3093" spans="1:4" x14ac:dyDescent="0.2">
      <c r="A3093">
        <v>1991</v>
      </c>
      <c r="B3093" s="1" t="s">
        <v>24</v>
      </c>
      <c r="C3093" s="1" t="s">
        <v>29</v>
      </c>
      <c r="D3093">
        <v>342400</v>
      </c>
    </row>
    <row r="3094" spans="1:4" x14ac:dyDescent="0.2">
      <c r="A3094">
        <v>1991</v>
      </c>
      <c r="B3094" s="1" t="s">
        <v>24</v>
      </c>
      <c r="C3094" s="2" t="s">
        <v>26</v>
      </c>
      <c r="D3094">
        <v>1327600</v>
      </c>
    </row>
    <row r="3095" spans="1:4" x14ac:dyDescent="0.2">
      <c r="A3095">
        <v>1991</v>
      </c>
      <c r="B3095" s="1" t="s">
        <v>24</v>
      </c>
      <c r="C3095" s="2" t="s">
        <v>27</v>
      </c>
      <c r="D3095">
        <v>1565600</v>
      </c>
    </row>
    <row r="3096" spans="1:4" x14ac:dyDescent="0.2">
      <c r="A3096">
        <v>1991</v>
      </c>
      <c r="B3096" s="1" t="s">
        <v>24</v>
      </c>
      <c r="C3096" s="3" t="s">
        <v>28</v>
      </c>
      <c r="D3096">
        <v>1484700</v>
      </c>
    </row>
    <row r="3097" spans="1:4" x14ac:dyDescent="0.2">
      <c r="A3097">
        <v>1991</v>
      </c>
      <c r="B3097" s="1" t="s">
        <v>24</v>
      </c>
      <c r="C3097" t="s">
        <v>4</v>
      </c>
      <c r="D3097">
        <v>1586500</v>
      </c>
    </row>
    <row r="3098" spans="1:4" x14ac:dyDescent="0.2">
      <c r="A3098">
        <v>1991</v>
      </c>
      <c r="B3098" s="1" t="s">
        <v>24</v>
      </c>
      <c r="C3098" t="s">
        <v>5</v>
      </c>
      <c r="D3098">
        <v>1940600</v>
      </c>
    </row>
    <row r="3099" spans="1:4" x14ac:dyDescent="0.2">
      <c r="A3099">
        <v>1991</v>
      </c>
      <c r="B3099" s="1" t="s">
        <v>24</v>
      </c>
      <c r="C3099" t="s">
        <v>12</v>
      </c>
      <c r="D3099">
        <v>2083300</v>
      </c>
    </row>
    <row r="3100" spans="1:4" x14ac:dyDescent="0.2">
      <c r="A3100">
        <v>1991</v>
      </c>
      <c r="B3100" s="1" t="s">
        <v>24</v>
      </c>
      <c r="C3100" t="s">
        <v>13</v>
      </c>
      <c r="D3100">
        <v>1859300</v>
      </c>
    </row>
    <row r="3101" spans="1:4" x14ac:dyDescent="0.2">
      <c r="A3101">
        <v>1991</v>
      </c>
      <c r="B3101" s="1" t="s">
        <v>24</v>
      </c>
      <c r="C3101" t="s">
        <v>14</v>
      </c>
      <c r="D3101">
        <v>1672800</v>
      </c>
    </row>
    <row r="3102" spans="1:4" x14ac:dyDescent="0.2">
      <c r="A3102">
        <v>1991</v>
      </c>
      <c r="B3102" s="1" t="s">
        <v>24</v>
      </c>
      <c r="C3102" t="s">
        <v>15</v>
      </c>
      <c r="D3102">
        <v>1844500</v>
      </c>
    </row>
    <row r="3103" spans="1:4" x14ac:dyDescent="0.2">
      <c r="A3103">
        <v>1991</v>
      </c>
      <c r="B3103" s="1" t="s">
        <v>24</v>
      </c>
      <c r="C3103" t="s">
        <v>16</v>
      </c>
      <c r="D3103">
        <v>1559200</v>
      </c>
    </row>
    <row r="3104" spans="1:4" x14ac:dyDescent="0.2">
      <c r="A3104">
        <v>1991</v>
      </c>
      <c r="B3104" s="1" t="s">
        <v>24</v>
      </c>
      <c r="C3104" t="s">
        <v>17</v>
      </c>
      <c r="D3104">
        <v>1355300</v>
      </c>
    </row>
    <row r="3105" spans="1:4" x14ac:dyDescent="0.2">
      <c r="A3105">
        <v>1991</v>
      </c>
      <c r="B3105" s="1" t="s">
        <v>24</v>
      </c>
      <c r="C3105" t="s">
        <v>18</v>
      </c>
      <c r="D3105">
        <v>1293400</v>
      </c>
    </row>
    <row r="3106" spans="1:4" x14ac:dyDescent="0.2">
      <c r="A3106">
        <v>1991</v>
      </c>
      <c r="B3106" s="1" t="s">
        <v>24</v>
      </c>
      <c r="C3106" t="s">
        <v>19</v>
      </c>
      <c r="D3106">
        <v>1319400</v>
      </c>
    </row>
    <row r="3107" spans="1:4" x14ac:dyDescent="0.2">
      <c r="A3107">
        <v>1991</v>
      </c>
      <c r="B3107" s="1" t="s">
        <v>24</v>
      </c>
      <c r="C3107" t="s">
        <v>20</v>
      </c>
      <c r="D3107">
        <v>1326500</v>
      </c>
    </row>
    <row r="3108" spans="1:4" x14ac:dyDescent="0.2">
      <c r="A3108">
        <v>1991</v>
      </c>
      <c r="B3108" s="1" t="s">
        <v>24</v>
      </c>
      <c r="C3108" t="s">
        <v>21</v>
      </c>
      <c r="D3108">
        <v>1152600</v>
      </c>
    </row>
    <row r="3109" spans="1:4" x14ac:dyDescent="0.2">
      <c r="A3109">
        <v>1991</v>
      </c>
      <c r="B3109" s="1" t="s">
        <v>24</v>
      </c>
      <c r="C3109" t="s">
        <v>22</v>
      </c>
      <c r="D3109">
        <v>1014800</v>
      </c>
    </row>
    <row r="3110" spans="1:4" x14ac:dyDescent="0.2">
      <c r="A3110">
        <v>1991</v>
      </c>
      <c r="B3110" s="1" t="s">
        <v>24</v>
      </c>
      <c r="C3110" t="s">
        <v>23</v>
      </c>
      <c r="D3110">
        <v>745800</v>
      </c>
    </row>
    <row r="3111" spans="1:4" x14ac:dyDescent="0.2">
      <c r="A3111">
        <v>1991</v>
      </c>
      <c r="B3111" s="1" t="s">
        <v>24</v>
      </c>
      <c r="C3111" t="s">
        <v>31</v>
      </c>
      <c r="D3111">
        <v>592500</v>
      </c>
    </row>
    <row r="3112" spans="1:4" x14ac:dyDescent="0.2">
      <c r="A3112">
        <v>1992</v>
      </c>
      <c r="B3112" s="1" t="s">
        <v>24</v>
      </c>
      <c r="C3112" s="1" t="s">
        <v>29</v>
      </c>
      <c r="D3112">
        <v>338100</v>
      </c>
    </row>
    <row r="3113" spans="1:4" x14ac:dyDescent="0.2">
      <c r="A3113">
        <v>1992</v>
      </c>
      <c r="B3113" s="1" t="s">
        <v>24</v>
      </c>
      <c r="C3113" s="2" t="s">
        <v>26</v>
      </c>
      <c r="D3113">
        <v>1343200</v>
      </c>
    </row>
    <row r="3114" spans="1:4" x14ac:dyDescent="0.2">
      <c r="A3114">
        <v>1992</v>
      </c>
      <c r="B3114" s="1" t="s">
        <v>24</v>
      </c>
      <c r="C3114" s="2" t="s">
        <v>27</v>
      </c>
      <c r="D3114">
        <v>1584200</v>
      </c>
    </row>
    <row r="3115" spans="1:4" x14ac:dyDescent="0.2">
      <c r="A3115">
        <v>1992</v>
      </c>
      <c r="B3115" s="1" t="s">
        <v>24</v>
      </c>
      <c r="C3115" s="3" t="s">
        <v>28</v>
      </c>
      <c r="D3115">
        <v>1518100</v>
      </c>
    </row>
    <row r="3116" spans="1:4" x14ac:dyDescent="0.2">
      <c r="A3116">
        <v>1992</v>
      </c>
      <c r="B3116" s="1" t="s">
        <v>24</v>
      </c>
      <c r="C3116" t="s">
        <v>4</v>
      </c>
      <c r="D3116">
        <v>1510200</v>
      </c>
    </row>
    <row r="3117" spans="1:4" x14ac:dyDescent="0.2">
      <c r="A3117">
        <v>1992</v>
      </c>
      <c r="B3117" s="1" t="s">
        <v>24</v>
      </c>
      <c r="C3117" t="s">
        <v>5</v>
      </c>
      <c r="D3117">
        <v>1895500</v>
      </c>
    </row>
    <row r="3118" spans="1:4" x14ac:dyDescent="0.2">
      <c r="A3118">
        <v>1992</v>
      </c>
      <c r="B3118" s="1" t="s">
        <v>24</v>
      </c>
      <c r="C3118" t="s">
        <v>12</v>
      </c>
      <c r="D3118">
        <v>2082800</v>
      </c>
    </row>
    <row r="3119" spans="1:4" x14ac:dyDescent="0.2">
      <c r="A3119">
        <v>1992</v>
      </c>
      <c r="B3119" s="1" t="s">
        <v>24</v>
      </c>
      <c r="C3119" t="s">
        <v>13</v>
      </c>
      <c r="D3119">
        <v>1910200</v>
      </c>
    </row>
    <row r="3120" spans="1:4" x14ac:dyDescent="0.2">
      <c r="A3120">
        <v>1992</v>
      </c>
      <c r="B3120" s="1" t="s">
        <v>24</v>
      </c>
      <c r="C3120" t="s">
        <v>14</v>
      </c>
      <c r="D3120">
        <v>1694700</v>
      </c>
    </row>
    <row r="3121" spans="1:4" x14ac:dyDescent="0.2">
      <c r="A3121">
        <v>1992</v>
      </c>
      <c r="B3121" s="1" t="s">
        <v>24</v>
      </c>
      <c r="C3121" t="s">
        <v>15</v>
      </c>
      <c r="D3121">
        <v>1755000</v>
      </c>
    </row>
    <row r="3122" spans="1:4" x14ac:dyDescent="0.2">
      <c r="A3122">
        <v>1992</v>
      </c>
      <c r="B3122" s="1" t="s">
        <v>24</v>
      </c>
      <c r="C3122" t="s">
        <v>16</v>
      </c>
      <c r="D3122">
        <v>1693800</v>
      </c>
    </row>
    <row r="3123" spans="1:4" x14ac:dyDescent="0.2">
      <c r="A3123">
        <v>1992</v>
      </c>
      <c r="B3123" s="1" t="s">
        <v>24</v>
      </c>
      <c r="C3123" t="s">
        <v>17</v>
      </c>
      <c r="D3123">
        <v>1362500</v>
      </c>
    </row>
    <row r="3124" spans="1:4" x14ac:dyDescent="0.2">
      <c r="A3124">
        <v>1992</v>
      </c>
      <c r="B3124" s="1" t="s">
        <v>24</v>
      </c>
      <c r="C3124" t="s">
        <v>18</v>
      </c>
      <c r="D3124">
        <v>1296300</v>
      </c>
    </row>
    <row r="3125" spans="1:4" x14ac:dyDescent="0.2">
      <c r="A3125">
        <v>1992</v>
      </c>
      <c r="B3125" s="1" t="s">
        <v>24</v>
      </c>
      <c r="C3125" t="s">
        <v>19</v>
      </c>
      <c r="D3125">
        <v>1305800</v>
      </c>
    </row>
    <row r="3126" spans="1:4" x14ac:dyDescent="0.2">
      <c r="A3126">
        <v>1992</v>
      </c>
      <c r="B3126" s="1" t="s">
        <v>24</v>
      </c>
      <c r="C3126" t="s">
        <v>20</v>
      </c>
      <c r="D3126">
        <v>1293500</v>
      </c>
    </row>
    <row r="3127" spans="1:4" x14ac:dyDescent="0.2">
      <c r="A3127">
        <v>1992</v>
      </c>
      <c r="B3127" s="1" t="s">
        <v>24</v>
      </c>
      <c r="C3127" t="s">
        <v>21</v>
      </c>
      <c r="D3127">
        <v>1195900</v>
      </c>
    </row>
    <row r="3128" spans="1:4" x14ac:dyDescent="0.2">
      <c r="A3128">
        <v>1992</v>
      </c>
      <c r="B3128" s="1" t="s">
        <v>24</v>
      </c>
      <c r="C3128" t="s">
        <v>22</v>
      </c>
      <c r="D3128">
        <v>986700</v>
      </c>
    </row>
    <row r="3129" spans="1:4" x14ac:dyDescent="0.2">
      <c r="A3129">
        <v>1992</v>
      </c>
      <c r="B3129" s="1" t="s">
        <v>24</v>
      </c>
      <c r="C3129" t="s">
        <v>23</v>
      </c>
      <c r="D3129">
        <v>751400</v>
      </c>
    </row>
    <row r="3130" spans="1:4" x14ac:dyDescent="0.2">
      <c r="A3130">
        <v>1992</v>
      </c>
      <c r="B3130" s="1" t="s">
        <v>24</v>
      </c>
      <c r="C3130" t="s">
        <v>31</v>
      </c>
      <c r="D3130">
        <v>614100</v>
      </c>
    </row>
    <row r="3131" spans="1:4" x14ac:dyDescent="0.2">
      <c r="A3131">
        <v>1982</v>
      </c>
      <c r="B3131" s="1" t="s">
        <v>25</v>
      </c>
      <c r="C3131" s="1" t="s">
        <v>29</v>
      </c>
      <c r="D3131">
        <v>317700</v>
      </c>
    </row>
    <row r="3132" spans="1:4" x14ac:dyDescent="0.2">
      <c r="A3132">
        <v>1982</v>
      </c>
      <c r="B3132" s="1" t="s">
        <v>25</v>
      </c>
      <c r="C3132" s="2" t="s">
        <v>26</v>
      </c>
      <c r="D3132">
        <v>1252200</v>
      </c>
    </row>
    <row r="3133" spans="1:4" x14ac:dyDescent="0.2">
      <c r="A3133">
        <v>1982</v>
      </c>
      <c r="B3133" s="1" t="s">
        <v>25</v>
      </c>
      <c r="C3133" s="2" t="s">
        <v>27</v>
      </c>
      <c r="D3133">
        <v>1556900</v>
      </c>
    </row>
    <row r="3134" spans="1:4" x14ac:dyDescent="0.2">
      <c r="A3134">
        <v>1982</v>
      </c>
      <c r="B3134" s="1" t="s">
        <v>25</v>
      </c>
      <c r="C3134" s="3" t="s">
        <v>28</v>
      </c>
      <c r="D3134">
        <v>1941800</v>
      </c>
    </row>
    <row r="3135" spans="1:4" x14ac:dyDescent="0.2">
      <c r="A3135">
        <v>1982</v>
      </c>
      <c r="B3135" s="1" t="s">
        <v>25</v>
      </c>
      <c r="C3135" t="s">
        <v>4</v>
      </c>
      <c r="D3135">
        <v>2127800</v>
      </c>
    </row>
    <row r="3136" spans="1:4" x14ac:dyDescent="0.2">
      <c r="A3136">
        <v>1982</v>
      </c>
      <c r="B3136" s="1" t="s">
        <v>25</v>
      </c>
      <c r="C3136" t="s">
        <v>5</v>
      </c>
      <c r="D3136">
        <v>1926800</v>
      </c>
    </row>
    <row r="3137" spans="1:4" x14ac:dyDescent="0.2">
      <c r="A3137">
        <v>1982</v>
      </c>
      <c r="B3137" s="1" t="s">
        <v>25</v>
      </c>
      <c r="C3137" t="s">
        <v>12</v>
      </c>
      <c r="D3137">
        <v>1700100</v>
      </c>
    </row>
    <row r="3138" spans="1:4" x14ac:dyDescent="0.2">
      <c r="A3138">
        <v>1982</v>
      </c>
      <c r="B3138" s="1" t="s">
        <v>25</v>
      </c>
      <c r="C3138" t="s">
        <v>13</v>
      </c>
      <c r="D3138">
        <v>1763500</v>
      </c>
    </row>
    <row r="3139" spans="1:4" x14ac:dyDescent="0.2">
      <c r="A3139">
        <v>1982</v>
      </c>
      <c r="B3139" s="1" t="s">
        <v>25</v>
      </c>
      <c r="C3139" t="s">
        <v>14</v>
      </c>
      <c r="D3139">
        <v>1731500</v>
      </c>
    </row>
    <row r="3140" spans="1:4" x14ac:dyDescent="0.2">
      <c r="A3140">
        <v>1982</v>
      </c>
      <c r="B3140" s="1" t="s">
        <v>25</v>
      </c>
      <c r="C3140" t="s">
        <v>15</v>
      </c>
      <c r="D3140">
        <v>1418700</v>
      </c>
    </row>
    <row r="3141" spans="1:4" x14ac:dyDescent="0.2">
      <c r="A3141">
        <v>1982</v>
      </c>
      <c r="B3141" s="1" t="s">
        <v>25</v>
      </c>
      <c r="C3141" t="s">
        <v>16</v>
      </c>
      <c r="D3141">
        <v>1369500</v>
      </c>
    </row>
    <row r="3142" spans="1:4" x14ac:dyDescent="0.2">
      <c r="A3142">
        <v>1982</v>
      </c>
      <c r="B3142" s="1" t="s">
        <v>25</v>
      </c>
      <c r="C3142" t="s">
        <v>17</v>
      </c>
      <c r="D3142">
        <v>1382200</v>
      </c>
    </row>
    <row r="3143" spans="1:4" x14ac:dyDescent="0.2">
      <c r="A3143">
        <v>1982</v>
      </c>
      <c r="B3143" s="1" t="s">
        <v>25</v>
      </c>
      <c r="C3143" t="s">
        <v>18</v>
      </c>
      <c r="D3143">
        <v>1383100</v>
      </c>
    </row>
    <row r="3144" spans="1:4" x14ac:dyDescent="0.2">
      <c r="A3144">
        <v>1982</v>
      </c>
      <c r="B3144" s="1" t="s">
        <v>25</v>
      </c>
      <c r="C3144" t="s">
        <v>19</v>
      </c>
      <c r="D3144">
        <v>1277700</v>
      </c>
    </row>
    <row r="3145" spans="1:4" x14ac:dyDescent="0.2">
      <c r="A3145">
        <v>1982</v>
      </c>
      <c r="B3145" s="1" t="s">
        <v>25</v>
      </c>
      <c r="C3145" t="s">
        <v>20</v>
      </c>
      <c r="D3145">
        <v>1090000</v>
      </c>
    </row>
    <row r="3146" spans="1:4" x14ac:dyDescent="0.2">
      <c r="A3146">
        <v>1982</v>
      </c>
      <c r="B3146" s="1" t="s">
        <v>25</v>
      </c>
      <c r="C3146" t="s">
        <v>21</v>
      </c>
      <c r="D3146">
        <v>899700</v>
      </c>
    </row>
    <row r="3147" spans="1:4" x14ac:dyDescent="0.2">
      <c r="A3147">
        <v>1982</v>
      </c>
      <c r="B3147" s="1" t="s">
        <v>25</v>
      </c>
      <c r="C3147" t="s">
        <v>22</v>
      </c>
      <c r="D3147">
        <v>578000</v>
      </c>
    </row>
    <row r="3148" spans="1:4" x14ac:dyDescent="0.2">
      <c r="A3148">
        <v>1982</v>
      </c>
      <c r="B3148" s="1" t="s">
        <v>25</v>
      </c>
      <c r="C3148" t="s">
        <v>23</v>
      </c>
      <c r="D3148">
        <v>274200</v>
      </c>
    </row>
    <row r="3149" spans="1:4" x14ac:dyDescent="0.2">
      <c r="A3149">
        <v>1982</v>
      </c>
      <c r="B3149" s="1" t="s">
        <v>25</v>
      </c>
      <c r="C3149" t="s">
        <v>31</v>
      </c>
      <c r="D3149">
        <v>128300</v>
      </c>
    </row>
    <row r="3150" spans="1:4" x14ac:dyDescent="0.2">
      <c r="A3150">
        <v>1983</v>
      </c>
      <c r="B3150" s="1" t="s">
        <v>25</v>
      </c>
      <c r="C3150" s="1" t="s">
        <v>29</v>
      </c>
      <c r="D3150">
        <v>319100</v>
      </c>
    </row>
    <row r="3151" spans="1:4" x14ac:dyDescent="0.2">
      <c r="A3151">
        <v>1983</v>
      </c>
      <c r="B3151" s="1" t="s">
        <v>25</v>
      </c>
      <c r="C3151" s="2" t="s">
        <v>26</v>
      </c>
      <c r="D3151">
        <v>1278100</v>
      </c>
    </row>
    <row r="3152" spans="1:4" x14ac:dyDescent="0.2">
      <c r="A3152">
        <v>1983</v>
      </c>
      <c r="B3152" s="1" t="s">
        <v>25</v>
      </c>
      <c r="C3152" s="2" t="s">
        <v>27</v>
      </c>
      <c r="D3152">
        <v>1499900</v>
      </c>
    </row>
    <row r="3153" spans="1:4" x14ac:dyDescent="0.2">
      <c r="A3153">
        <v>1983</v>
      </c>
      <c r="B3153" s="1" t="s">
        <v>25</v>
      </c>
      <c r="C3153" s="3" t="s">
        <v>28</v>
      </c>
      <c r="D3153">
        <v>1882500</v>
      </c>
    </row>
    <row r="3154" spans="1:4" x14ac:dyDescent="0.2">
      <c r="A3154">
        <v>1983</v>
      </c>
      <c r="B3154" s="1" t="s">
        <v>25</v>
      </c>
      <c r="C3154" t="s">
        <v>4</v>
      </c>
      <c r="D3154">
        <v>2111900</v>
      </c>
    </row>
    <row r="3155" spans="1:4" x14ac:dyDescent="0.2">
      <c r="A3155">
        <v>1983</v>
      </c>
      <c r="B3155" s="1" t="s">
        <v>25</v>
      </c>
      <c r="C3155" t="s">
        <v>5</v>
      </c>
      <c r="D3155">
        <v>1976000</v>
      </c>
    </row>
    <row r="3156" spans="1:4" x14ac:dyDescent="0.2">
      <c r="A3156">
        <v>1983</v>
      </c>
      <c r="B3156" s="1" t="s">
        <v>25</v>
      </c>
      <c r="C3156" t="s">
        <v>12</v>
      </c>
      <c r="D3156">
        <v>1718100</v>
      </c>
    </row>
    <row r="3157" spans="1:4" x14ac:dyDescent="0.2">
      <c r="A3157">
        <v>1983</v>
      </c>
      <c r="B3157" s="1" t="s">
        <v>25</v>
      </c>
      <c r="C3157" t="s">
        <v>13</v>
      </c>
      <c r="D3157">
        <v>1710600</v>
      </c>
    </row>
    <row r="3158" spans="1:4" x14ac:dyDescent="0.2">
      <c r="A3158">
        <v>1983</v>
      </c>
      <c r="B3158" s="1" t="s">
        <v>25</v>
      </c>
      <c r="C3158" t="s">
        <v>14</v>
      </c>
      <c r="D3158">
        <v>1796000</v>
      </c>
    </row>
    <row r="3159" spans="1:4" x14ac:dyDescent="0.2">
      <c r="A3159">
        <v>1983</v>
      </c>
      <c r="B3159" s="1" t="s">
        <v>25</v>
      </c>
      <c r="C3159" t="s">
        <v>15</v>
      </c>
      <c r="D3159">
        <v>1443200</v>
      </c>
    </row>
    <row r="3160" spans="1:4" x14ac:dyDescent="0.2">
      <c r="A3160">
        <v>1983</v>
      </c>
      <c r="B3160" s="1" t="s">
        <v>25</v>
      </c>
      <c r="C3160" t="s">
        <v>16</v>
      </c>
      <c r="D3160">
        <v>1383300</v>
      </c>
    </row>
    <row r="3161" spans="1:4" x14ac:dyDescent="0.2">
      <c r="A3161">
        <v>1983</v>
      </c>
      <c r="B3161" s="1" t="s">
        <v>25</v>
      </c>
      <c r="C3161" t="s">
        <v>17</v>
      </c>
      <c r="D3161">
        <v>1367500</v>
      </c>
    </row>
    <row r="3162" spans="1:4" x14ac:dyDescent="0.2">
      <c r="A3162">
        <v>1983</v>
      </c>
      <c r="B3162" s="1" t="s">
        <v>25</v>
      </c>
      <c r="C3162" t="s">
        <v>18</v>
      </c>
      <c r="D3162">
        <v>1363800</v>
      </c>
    </row>
    <row r="3163" spans="1:4" x14ac:dyDescent="0.2">
      <c r="A3163">
        <v>1983</v>
      </c>
      <c r="B3163" s="1" t="s">
        <v>25</v>
      </c>
      <c r="C3163" t="s">
        <v>19</v>
      </c>
      <c r="D3163">
        <v>1335900</v>
      </c>
    </row>
    <row r="3164" spans="1:4" x14ac:dyDescent="0.2">
      <c r="A3164">
        <v>1983</v>
      </c>
      <c r="B3164" s="1" t="s">
        <v>25</v>
      </c>
      <c r="C3164" t="s">
        <v>20</v>
      </c>
      <c r="D3164">
        <v>1030800</v>
      </c>
    </row>
    <row r="3165" spans="1:4" x14ac:dyDescent="0.2">
      <c r="A3165">
        <v>1983</v>
      </c>
      <c r="B3165" s="1" t="s">
        <v>25</v>
      </c>
      <c r="C3165" t="s">
        <v>21</v>
      </c>
      <c r="D3165">
        <v>903800</v>
      </c>
    </row>
    <row r="3166" spans="1:4" x14ac:dyDescent="0.2">
      <c r="A3166">
        <v>1983</v>
      </c>
      <c r="B3166" s="1" t="s">
        <v>25</v>
      </c>
      <c r="C3166" t="s">
        <v>22</v>
      </c>
      <c r="D3166">
        <v>592100</v>
      </c>
    </row>
    <row r="3167" spans="1:4" x14ac:dyDescent="0.2">
      <c r="A3167">
        <v>1983</v>
      </c>
      <c r="B3167" s="1" t="s">
        <v>25</v>
      </c>
      <c r="C3167" t="s">
        <v>23</v>
      </c>
      <c r="D3167">
        <v>289400</v>
      </c>
    </row>
    <row r="3168" spans="1:4" x14ac:dyDescent="0.2">
      <c r="A3168">
        <v>1983</v>
      </c>
      <c r="B3168" s="1" t="s">
        <v>25</v>
      </c>
      <c r="C3168" t="s">
        <v>31</v>
      </c>
      <c r="D3168">
        <v>131100</v>
      </c>
    </row>
    <row r="3169" spans="1:4" x14ac:dyDescent="0.2">
      <c r="A3169">
        <v>1984</v>
      </c>
      <c r="B3169" s="1" t="s">
        <v>25</v>
      </c>
      <c r="C3169" s="1" t="s">
        <v>29</v>
      </c>
      <c r="D3169">
        <v>318400</v>
      </c>
    </row>
    <row r="3170" spans="1:4" x14ac:dyDescent="0.2">
      <c r="A3170">
        <v>1984</v>
      </c>
      <c r="B3170" s="1" t="s">
        <v>25</v>
      </c>
      <c r="C3170" s="2" t="s">
        <v>26</v>
      </c>
      <c r="D3170">
        <v>1283800</v>
      </c>
    </row>
    <row r="3171" spans="1:4" x14ac:dyDescent="0.2">
      <c r="A3171">
        <v>1984</v>
      </c>
      <c r="B3171" s="1" t="s">
        <v>25</v>
      </c>
      <c r="C3171" s="2" t="s">
        <v>27</v>
      </c>
      <c r="D3171">
        <v>1495600</v>
      </c>
    </row>
    <row r="3172" spans="1:4" x14ac:dyDescent="0.2">
      <c r="A3172">
        <v>1984</v>
      </c>
      <c r="B3172" s="1" t="s">
        <v>25</v>
      </c>
      <c r="C3172" s="3" t="s">
        <v>28</v>
      </c>
      <c r="D3172">
        <v>1804000</v>
      </c>
    </row>
    <row r="3173" spans="1:4" x14ac:dyDescent="0.2">
      <c r="A3173">
        <v>1984</v>
      </c>
      <c r="B3173" s="1" t="s">
        <v>25</v>
      </c>
      <c r="C3173" t="s">
        <v>4</v>
      </c>
      <c r="D3173">
        <v>2063600</v>
      </c>
    </row>
    <row r="3174" spans="1:4" x14ac:dyDescent="0.2">
      <c r="A3174">
        <v>1984</v>
      </c>
      <c r="B3174" s="1" t="s">
        <v>25</v>
      </c>
      <c r="C3174" t="s">
        <v>5</v>
      </c>
      <c r="D3174">
        <v>2043300</v>
      </c>
    </row>
    <row r="3175" spans="1:4" x14ac:dyDescent="0.2">
      <c r="A3175">
        <v>1984</v>
      </c>
      <c r="B3175" s="1" t="s">
        <v>25</v>
      </c>
      <c r="C3175" t="s">
        <v>12</v>
      </c>
      <c r="D3175">
        <v>1757300</v>
      </c>
    </row>
    <row r="3176" spans="1:4" x14ac:dyDescent="0.2">
      <c r="A3176">
        <v>1984</v>
      </c>
      <c r="B3176" s="1" t="s">
        <v>25</v>
      </c>
      <c r="C3176" t="s">
        <v>13</v>
      </c>
      <c r="D3176">
        <v>1689300</v>
      </c>
    </row>
    <row r="3177" spans="1:4" x14ac:dyDescent="0.2">
      <c r="A3177">
        <v>1984</v>
      </c>
      <c r="B3177" s="1" t="s">
        <v>25</v>
      </c>
      <c r="C3177" t="s">
        <v>14</v>
      </c>
      <c r="D3177">
        <v>1827000</v>
      </c>
    </row>
    <row r="3178" spans="1:4" x14ac:dyDescent="0.2">
      <c r="A3178">
        <v>1984</v>
      </c>
      <c r="B3178" s="1" t="s">
        <v>25</v>
      </c>
      <c r="C3178" t="s">
        <v>15</v>
      </c>
      <c r="D3178">
        <v>1484900</v>
      </c>
    </row>
    <row r="3179" spans="1:4" x14ac:dyDescent="0.2">
      <c r="A3179">
        <v>1984</v>
      </c>
      <c r="B3179" s="1" t="s">
        <v>25</v>
      </c>
      <c r="C3179" t="s">
        <v>16</v>
      </c>
      <c r="D3179">
        <v>1399000</v>
      </c>
    </row>
    <row r="3180" spans="1:4" x14ac:dyDescent="0.2">
      <c r="A3180">
        <v>1984</v>
      </c>
      <c r="B3180" s="1" t="s">
        <v>25</v>
      </c>
      <c r="C3180" t="s">
        <v>17</v>
      </c>
      <c r="D3180">
        <v>1351100</v>
      </c>
    </row>
    <row r="3181" spans="1:4" x14ac:dyDescent="0.2">
      <c r="A3181">
        <v>1984</v>
      </c>
      <c r="B3181" s="1" t="s">
        <v>25</v>
      </c>
      <c r="C3181" t="s">
        <v>18</v>
      </c>
      <c r="D3181">
        <v>1348400</v>
      </c>
    </row>
    <row r="3182" spans="1:4" x14ac:dyDescent="0.2">
      <c r="A3182">
        <v>1984</v>
      </c>
      <c r="B3182" s="1" t="s">
        <v>25</v>
      </c>
      <c r="C3182" t="s">
        <v>19</v>
      </c>
      <c r="D3182">
        <v>1382800</v>
      </c>
    </row>
    <row r="3183" spans="1:4" x14ac:dyDescent="0.2">
      <c r="A3183">
        <v>1984</v>
      </c>
      <c r="B3183" s="1" t="s">
        <v>25</v>
      </c>
      <c r="C3183" t="s">
        <v>20</v>
      </c>
      <c r="D3183">
        <v>981700</v>
      </c>
    </row>
    <row r="3184" spans="1:4" x14ac:dyDescent="0.2">
      <c r="A3184">
        <v>1984</v>
      </c>
      <c r="B3184" s="1" t="s">
        <v>25</v>
      </c>
      <c r="C3184" t="s">
        <v>21</v>
      </c>
      <c r="D3184">
        <v>908600</v>
      </c>
    </row>
    <row r="3185" spans="1:4" x14ac:dyDescent="0.2">
      <c r="A3185">
        <v>1984</v>
      </c>
      <c r="B3185" s="1" t="s">
        <v>25</v>
      </c>
      <c r="C3185" t="s">
        <v>22</v>
      </c>
      <c r="D3185">
        <v>605900</v>
      </c>
    </row>
    <row r="3186" spans="1:4" x14ac:dyDescent="0.2">
      <c r="A3186">
        <v>1984</v>
      </c>
      <c r="B3186" s="1" t="s">
        <v>25</v>
      </c>
      <c r="C3186" t="s">
        <v>23</v>
      </c>
      <c r="D3186">
        <v>304600</v>
      </c>
    </row>
    <row r="3187" spans="1:4" x14ac:dyDescent="0.2">
      <c r="A3187">
        <v>1984</v>
      </c>
      <c r="B3187" s="1" t="s">
        <v>25</v>
      </c>
      <c r="C3187" t="s">
        <v>31</v>
      </c>
      <c r="D3187">
        <v>135400</v>
      </c>
    </row>
    <row r="3188" spans="1:4" x14ac:dyDescent="0.2">
      <c r="A3188">
        <v>1985</v>
      </c>
      <c r="B3188" s="1" t="s">
        <v>25</v>
      </c>
      <c r="C3188" s="1" t="s">
        <v>29</v>
      </c>
      <c r="D3188">
        <v>332000</v>
      </c>
    </row>
    <row r="3189" spans="1:4" x14ac:dyDescent="0.2">
      <c r="A3189">
        <v>1985</v>
      </c>
      <c r="B3189" s="1" t="s">
        <v>25</v>
      </c>
      <c r="C3189" s="2" t="s">
        <v>26</v>
      </c>
      <c r="D3189">
        <v>1278300</v>
      </c>
    </row>
    <row r="3190" spans="1:4" x14ac:dyDescent="0.2">
      <c r="A3190">
        <v>1985</v>
      </c>
      <c r="B3190" s="1" t="s">
        <v>25</v>
      </c>
      <c r="C3190" s="2" t="s">
        <v>27</v>
      </c>
      <c r="D3190">
        <v>1516400</v>
      </c>
    </row>
    <row r="3191" spans="1:4" x14ac:dyDescent="0.2">
      <c r="A3191">
        <v>1985</v>
      </c>
      <c r="B3191" s="1" t="s">
        <v>25</v>
      </c>
      <c r="C3191" s="3" t="s">
        <v>28</v>
      </c>
      <c r="D3191">
        <v>1732400</v>
      </c>
    </row>
    <row r="3192" spans="1:4" x14ac:dyDescent="0.2">
      <c r="A3192">
        <v>1985</v>
      </c>
      <c r="B3192" s="1" t="s">
        <v>25</v>
      </c>
      <c r="C3192" t="s">
        <v>4</v>
      </c>
      <c r="D3192">
        <v>2016400</v>
      </c>
    </row>
    <row r="3193" spans="1:4" x14ac:dyDescent="0.2">
      <c r="A3193">
        <v>1985</v>
      </c>
      <c r="B3193" s="1" t="s">
        <v>25</v>
      </c>
      <c r="C3193" t="s">
        <v>5</v>
      </c>
      <c r="D3193">
        <v>2088700</v>
      </c>
    </row>
    <row r="3194" spans="1:4" x14ac:dyDescent="0.2">
      <c r="A3194">
        <v>1985</v>
      </c>
      <c r="B3194" s="1" t="s">
        <v>25</v>
      </c>
      <c r="C3194" t="s">
        <v>12</v>
      </c>
      <c r="D3194">
        <v>1808200</v>
      </c>
    </row>
    <row r="3195" spans="1:4" x14ac:dyDescent="0.2">
      <c r="A3195">
        <v>1985</v>
      </c>
      <c r="B3195" s="1" t="s">
        <v>25</v>
      </c>
      <c r="C3195" t="s">
        <v>13</v>
      </c>
      <c r="D3195">
        <v>1675800</v>
      </c>
    </row>
    <row r="3196" spans="1:4" x14ac:dyDescent="0.2">
      <c r="A3196">
        <v>1985</v>
      </c>
      <c r="B3196" s="1" t="s">
        <v>25</v>
      </c>
      <c r="C3196" t="s">
        <v>14</v>
      </c>
      <c r="D3196">
        <v>1845100</v>
      </c>
    </row>
    <row r="3197" spans="1:4" x14ac:dyDescent="0.2">
      <c r="A3197">
        <v>1985</v>
      </c>
      <c r="B3197" s="1" t="s">
        <v>25</v>
      </c>
      <c r="C3197" t="s">
        <v>15</v>
      </c>
      <c r="D3197">
        <v>1526500</v>
      </c>
    </row>
    <row r="3198" spans="1:4" x14ac:dyDescent="0.2">
      <c r="A3198">
        <v>1985</v>
      </c>
      <c r="B3198" s="1" t="s">
        <v>25</v>
      </c>
      <c r="C3198" t="s">
        <v>16</v>
      </c>
      <c r="D3198">
        <v>1405700</v>
      </c>
    </row>
    <row r="3199" spans="1:4" x14ac:dyDescent="0.2">
      <c r="A3199">
        <v>1985</v>
      </c>
      <c r="B3199" s="1" t="s">
        <v>25</v>
      </c>
      <c r="C3199" t="s">
        <v>17</v>
      </c>
      <c r="D3199">
        <v>1341600</v>
      </c>
    </row>
    <row r="3200" spans="1:4" x14ac:dyDescent="0.2">
      <c r="A3200">
        <v>1985</v>
      </c>
      <c r="B3200" s="1" t="s">
        <v>25</v>
      </c>
      <c r="C3200" t="s">
        <v>18</v>
      </c>
      <c r="D3200">
        <v>1338600</v>
      </c>
    </row>
    <row r="3201" spans="1:4" x14ac:dyDescent="0.2">
      <c r="A3201">
        <v>1985</v>
      </c>
      <c r="B3201" s="1" t="s">
        <v>25</v>
      </c>
      <c r="C3201" t="s">
        <v>19</v>
      </c>
      <c r="D3201">
        <v>1334400</v>
      </c>
    </row>
    <row r="3202" spans="1:4" x14ac:dyDescent="0.2">
      <c r="A3202">
        <v>1985</v>
      </c>
      <c r="B3202" s="1" t="s">
        <v>25</v>
      </c>
      <c r="C3202" t="s">
        <v>20</v>
      </c>
      <c r="D3202">
        <v>1028200</v>
      </c>
    </row>
    <row r="3203" spans="1:4" x14ac:dyDescent="0.2">
      <c r="A3203">
        <v>1985</v>
      </c>
      <c r="B3203" s="1" t="s">
        <v>25</v>
      </c>
      <c r="C3203" t="s">
        <v>21</v>
      </c>
      <c r="D3203">
        <v>909700</v>
      </c>
    </row>
    <row r="3204" spans="1:4" x14ac:dyDescent="0.2">
      <c r="A3204">
        <v>1985</v>
      </c>
      <c r="B3204" s="1" t="s">
        <v>25</v>
      </c>
      <c r="C3204" t="s">
        <v>22</v>
      </c>
      <c r="D3204">
        <v>617300</v>
      </c>
    </row>
    <row r="3205" spans="1:4" x14ac:dyDescent="0.2">
      <c r="A3205">
        <v>1985</v>
      </c>
      <c r="B3205" s="1" t="s">
        <v>25</v>
      </c>
      <c r="C3205" t="s">
        <v>23</v>
      </c>
      <c r="D3205">
        <v>316700</v>
      </c>
    </row>
    <row r="3206" spans="1:4" x14ac:dyDescent="0.2">
      <c r="A3206">
        <v>1985</v>
      </c>
      <c r="B3206" s="1" t="s">
        <v>25</v>
      </c>
      <c r="C3206" t="s">
        <v>31</v>
      </c>
      <c r="D3206">
        <v>142300</v>
      </c>
    </row>
    <row r="3207" spans="1:4" x14ac:dyDescent="0.2">
      <c r="A3207">
        <v>1986</v>
      </c>
      <c r="B3207" s="1" t="s">
        <v>25</v>
      </c>
      <c r="C3207" s="1" t="s">
        <v>29</v>
      </c>
      <c r="D3207">
        <v>335500</v>
      </c>
    </row>
    <row r="3208" spans="1:4" x14ac:dyDescent="0.2">
      <c r="A3208">
        <v>1986</v>
      </c>
      <c r="B3208" s="1" t="s">
        <v>25</v>
      </c>
      <c r="C3208" s="2" t="s">
        <v>26</v>
      </c>
      <c r="D3208">
        <v>1291700</v>
      </c>
    </row>
    <row r="3209" spans="1:4" x14ac:dyDescent="0.2">
      <c r="A3209">
        <v>1986</v>
      </c>
      <c r="B3209" s="1" t="s">
        <v>25</v>
      </c>
      <c r="C3209" s="2" t="s">
        <v>27</v>
      </c>
      <c r="D3209">
        <v>1547000</v>
      </c>
    </row>
    <row r="3210" spans="1:4" x14ac:dyDescent="0.2">
      <c r="A3210">
        <v>1986</v>
      </c>
      <c r="B3210" s="1" t="s">
        <v>25</v>
      </c>
      <c r="C3210" s="3" t="s">
        <v>28</v>
      </c>
      <c r="D3210">
        <v>1646900</v>
      </c>
    </row>
    <row r="3211" spans="1:4" x14ac:dyDescent="0.2">
      <c r="A3211">
        <v>1986</v>
      </c>
      <c r="B3211" s="1" t="s">
        <v>25</v>
      </c>
      <c r="C3211" t="s">
        <v>4</v>
      </c>
      <c r="D3211">
        <v>1983500</v>
      </c>
    </row>
    <row r="3212" spans="1:4" x14ac:dyDescent="0.2">
      <c r="A3212">
        <v>1986</v>
      </c>
      <c r="B3212" s="1" t="s">
        <v>25</v>
      </c>
      <c r="C3212" t="s">
        <v>5</v>
      </c>
      <c r="D3212">
        <v>2099200</v>
      </c>
    </row>
    <row r="3213" spans="1:4" x14ac:dyDescent="0.2">
      <c r="A3213">
        <v>1986</v>
      </c>
      <c r="B3213" s="1" t="s">
        <v>25</v>
      </c>
      <c r="C3213" t="s">
        <v>12</v>
      </c>
      <c r="D3213">
        <v>1863500</v>
      </c>
    </row>
    <row r="3214" spans="1:4" x14ac:dyDescent="0.2">
      <c r="A3214">
        <v>1986</v>
      </c>
      <c r="B3214" s="1" t="s">
        <v>25</v>
      </c>
      <c r="C3214" t="s">
        <v>13</v>
      </c>
      <c r="D3214">
        <v>1678800</v>
      </c>
    </row>
    <row r="3215" spans="1:4" x14ac:dyDescent="0.2">
      <c r="A3215">
        <v>1986</v>
      </c>
      <c r="B3215" s="1" t="s">
        <v>25</v>
      </c>
      <c r="C3215" t="s">
        <v>14</v>
      </c>
      <c r="D3215">
        <v>1849500</v>
      </c>
    </row>
    <row r="3216" spans="1:4" x14ac:dyDescent="0.2">
      <c r="A3216">
        <v>1986</v>
      </c>
      <c r="B3216" s="1" t="s">
        <v>25</v>
      </c>
      <c r="C3216" t="s">
        <v>15</v>
      </c>
      <c r="D3216">
        <v>1588600</v>
      </c>
    </row>
    <row r="3217" spans="1:4" x14ac:dyDescent="0.2">
      <c r="A3217">
        <v>1986</v>
      </c>
      <c r="B3217" s="1" t="s">
        <v>25</v>
      </c>
      <c r="C3217" t="s">
        <v>16</v>
      </c>
      <c r="D3217">
        <v>1390600</v>
      </c>
    </row>
    <row r="3218" spans="1:4" x14ac:dyDescent="0.2">
      <c r="A3218">
        <v>1986</v>
      </c>
      <c r="B3218" s="1" t="s">
        <v>25</v>
      </c>
      <c r="C3218" t="s">
        <v>17</v>
      </c>
      <c r="D3218">
        <v>1334000</v>
      </c>
    </row>
    <row r="3219" spans="1:4" x14ac:dyDescent="0.2">
      <c r="A3219">
        <v>1986</v>
      </c>
      <c r="B3219" s="1" t="s">
        <v>25</v>
      </c>
      <c r="C3219" t="s">
        <v>18</v>
      </c>
      <c r="D3219">
        <v>1328400</v>
      </c>
    </row>
    <row r="3220" spans="1:4" x14ac:dyDescent="0.2">
      <c r="A3220">
        <v>1986</v>
      </c>
      <c r="B3220" s="1" t="s">
        <v>25</v>
      </c>
      <c r="C3220" t="s">
        <v>19</v>
      </c>
      <c r="D3220">
        <v>1302500</v>
      </c>
    </row>
    <row r="3221" spans="1:4" x14ac:dyDescent="0.2">
      <c r="A3221">
        <v>1986</v>
      </c>
      <c r="B3221" s="1" t="s">
        <v>25</v>
      </c>
      <c r="C3221" t="s">
        <v>20</v>
      </c>
      <c r="D3221">
        <v>1071500</v>
      </c>
    </row>
    <row r="3222" spans="1:4" x14ac:dyDescent="0.2">
      <c r="A3222">
        <v>1986</v>
      </c>
      <c r="B3222" s="1" t="s">
        <v>25</v>
      </c>
      <c r="C3222" t="s">
        <v>21</v>
      </c>
      <c r="D3222">
        <v>900300</v>
      </c>
    </row>
    <row r="3223" spans="1:4" x14ac:dyDescent="0.2">
      <c r="A3223">
        <v>1986</v>
      </c>
      <c r="B3223" s="1" t="s">
        <v>25</v>
      </c>
      <c r="C3223" t="s">
        <v>22</v>
      </c>
      <c r="D3223">
        <v>624100</v>
      </c>
    </row>
    <row r="3224" spans="1:4" x14ac:dyDescent="0.2">
      <c r="A3224">
        <v>1986</v>
      </c>
      <c r="B3224" s="1" t="s">
        <v>25</v>
      </c>
      <c r="C3224" t="s">
        <v>23</v>
      </c>
      <c r="D3224">
        <v>326400</v>
      </c>
    </row>
    <row r="3225" spans="1:4" x14ac:dyDescent="0.2">
      <c r="A3225">
        <v>1986</v>
      </c>
      <c r="B3225" s="1" t="s">
        <v>25</v>
      </c>
      <c r="C3225" t="s">
        <v>31</v>
      </c>
      <c r="D3225">
        <v>149400</v>
      </c>
    </row>
    <row r="3226" spans="1:4" x14ac:dyDescent="0.2">
      <c r="A3226">
        <v>1987</v>
      </c>
      <c r="B3226" s="1" t="s">
        <v>25</v>
      </c>
      <c r="C3226" s="1" t="s">
        <v>29</v>
      </c>
      <c r="D3226">
        <v>339200</v>
      </c>
    </row>
    <row r="3227" spans="1:4" x14ac:dyDescent="0.2">
      <c r="A3227">
        <v>1987</v>
      </c>
      <c r="B3227" s="1" t="s">
        <v>25</v>
      </c>
      <c r="C3227" s="2" t="s">
        <v>26</v>
      </c>
      <c r="D3227">
        <v>1308400</v>
      </c>
    </row>
    <row r="3228" spans="1:4" x14ac:dyDescent="0.2">
      <c r="A3228">
        <v>1987</v>
      </c>
      <c r="B3228" s="1" t="s">
        <v>25</v>
      </c>
      <c r="C3228" s="2" t="s">
        <v>27</v>
      </c>
      <c r="D3228">
        <v>1583000</v>
      </c>
    </row>
    <row r="3229" spans="1:4" x14ac:dyDescent="0.2">
      <c r="A3229">
        <v>1987</v>
      </c>
      <c r="B3229" s="1" t="s">
        <v>25</v>
      </c>
      <c r="C3229" s="3" t="s">
        <v>28</v>
      </c>
      <c r="D3229">
        <v>1567500</v>
      </c>
    </row>
    <row r="3230" spans="1:4" x14ac:dyDescent="0.2">
      <c r="A3230">
        <v>1987</v>
      </c>
      <c r="B3230" s="1" t="s">
        <v>25</v>
      </c>
      <c r="C3230" t="s">
        <v>4</v>
      </c>
      <c r="D3230">
        <v>1937500</v>
      </c>
    </row>
    <row r="3231" spans="1:4" x14ac:dyDescent="0.2">
      <c r="A3231">
        <v>1987</v>
      </c>
      <c r="B3231" s="1" t="s">
        <v>25</v>
      </c>
      <c r="C3231" t="s">
        <v>5</v>
      </c>
      <c r="D3231">
        <v>2101400</v>
      </c>
    </row>
    <row r="3232" spans="1:4" x14ac:dyDescent="0.2">
      <c r="A3232">
        <v>1987</v>
      </c>
      <c r="B3232" s="1" t="s">
        <v>25</v>
      </c>
      <c r="C3232" t="s">
        <v>12</v>
      </c>
      <c r="D3232">
        <v>1918500</v>
      </c>
    </row>
    <row r="3233" spans="1:4" x14ac:dyDescent="0.2">
      <c r="A3233">
        <v>1987</v>
      </c>
      <c r="B3233" s="1" t="s">
        <v>25</v>
      </c>
      <c r="C3233" t="s">
        <v>13</v>
      </c>
      <c r="D3233">
        <v>1696700</v>
      </c>
    </row>
    <row r="3234" spans="1:4" x14ac:dyDescent="0.2">
      <c r="A3234">
        <v>1987</v>
      </c>
      <c r="B3234" s="1" t="s">
        <v>25</v>
      </c>
      <c r="C3234" t="s">
        <v>14</v>
      </c>
      <c r="D3234">
        <v>1755200</v>
      </c>
    </row>
    <row r="3235" spans="1:4" x14ac:dyDescent="0.2">
      <c r="A3235">
        <v>1987</v>
      </c>
      <c r="B3235" s="1" t="s">
        <v>25</v>
      </c>
      <c r="C3235" t="s">
        <v>15</v>
      </c>
      <c r="D3235">
        <v>1720800</v>
      </c>
    </row>
    <row r="3236" spans="1:4" x14ac:dyDescent="0.2">
      <c r="A3236">
        <v>1987</v>
      </c>
      <c r="B3236" s="1" t="s">
        <v>25</v>
      </c>
      <c r="C3236" t="s">
        <v>16</v>
      </c>
      <c r="D3236">
        <v>1393100</v>
      </c>
    </row>
    <row r="3237" spans="1:4" x14ac:dyDescent="0.2">
      <c r="A3237">
        <v>1987</v>
      </c>
      <c r="B3237" s="1" t="s">
        <v>25</v>
      </c>
      <c r="C3237" t="s">
        <v>17</v>
      </c>
      <c r="D3237">
        <v>1333800</v>
      </c>
    </row>
    <row r="3238" spans="1:4" x14ac:dyDescent="0.2">
      <c r="A3238">
        <v>1987</v>
      </c>
      <c r="B3238" s="1" t="s">
        <v>25</v>
      </c>
      <c r="C3238" t="s">
        <v>18</v>
      </c>
      <c r="D3238">
        <v>1318300</v>
      </c>
    </row>
    <row r="3239" spans="1:4" x14ac:dyDescent="0.2">
      <c r="A3239">
        <v>1987</v>
      </c>
      <c r="B3239" s="1" t="s">
        <v>25</v>
      </c>
      <c r="C3239" t="s">
        <v>19</v>
      </c>
      <c r="D3239">
        <v>1273900</v>
      </c>
    </row>
    <row r="3240" spans="1:4" x14ac:dyDescent="0.2">
      <c r="A3240">
        <v>1987</v>
      </c>
      <c r="B3240" s="1" t="s">
        <v>25</v>
      </c>
      <c r="C3240" t="s">
        <v>20</v>
      </c>
      <c r="D3240">
        <v>1119600</v>
      </c>
    </row>
    <row r="3241" spans="1:4" x14ac:dyDescent="0.2">
      <c r="A3241">
        <v>1987</v>
      </c>
      <c r="B3241" s="1" t="s">
        <v>25</v>
      </c>
      <c r="C3241" t="s">
        <v>21</v>
      </c>
      <c r="D3241">
        <v>873600</v>
      </c>
    </row>
    <row r="3242" spans="1:4" x14ac:dyDescent="0.2">
      <c r="A3242">
        <v>1987</v>
      </c>
      <c r="B3242" s="1" t="s">
        <v>25</v>
      </c>
      <c r="C3242" t="s">
        <v>22</v>
      </c>
      <c r="D3242">
        <v>633700</v>
      </c>
    </row>
    <row r="3243" spans="1:4" x14ac:dyDescent="0.2">
      <c r="A3243">
        <v>1987</v>
      </c>
      <c r="B3243" s="1" t="s">
        <v>25</v>
      </c>
      <c r="C3243" t="s">
        <v>23</v>
      </c>
      <c r="D3243">
        <v>337900</v>
      </c>
    </row>
    <row r="3244" spans="1:4" x14ac:dyDescent="0.2">
      <c r="A3244">
        <v>1987</v>
      </c>
      <c r="B3244" s="1" t="s">
        <v>25</v>
      </c>
      <c r="C3244" t="s">
        <v>31</v>
      </c>
      <c r="D3244">
        <v>158500</v>
      </c>
    </row>
    <row r="3245" spans="1:4" x14ac:dyDescent="0.2">
      <c r="A3245">
        <v>1988</v>
      </c>
      <c r="B3245" s="1" t="s">
        <v>25</v>
      </c>
      <c r="C3245" s="1" t="s">
        <v>29</v>
      </c>
      <c r="D3245">
        <v>350000</v>
      </c>
    </row>
    <row r="3246" spans="1:4" x14ac:dyDescent="0.2">
      <c r="A3246">
        <v>1988</v>
      </c>
      <c r="B3246" s="1" t="s">
        <v>25</v>
      </c>
      <c r="C3246" s="2" t="s">
        <v>26</v>
      </c>
      <c r="D3246">
        <v>1327000</v>
      </c>
    </row>
    <row r="3247" spans="1:4" x14ac:dyDescent="0.2">
      <c r="A3247">
        <v>1988</v>
      </c>
      <c r="B3247" s="1" t="s">
        <v>25</v>
      </c>
      <c r="C3247" s="2" t="s">
        <v>27</v>
      </c>
      <c r="D3247">
        <v>1613900</v>
      </c>
    </row>
    <row r="3248" spans="1:4" x14ac:dyDescent="0.2">
      <c r="A3248">
        <v>1988</v>
      </c>
      <c r="B3248" s="1" t="s">
        <v>25</v>
      </c>
      <c r="C3248" s="3" t="s">
        <v>28</v>
      </c>
      <c r="D3248">
        <v>1513600</v>
      </c>
    </row>
    <row r="3249" spans="1:4" x14ac:dyDescent="0.2">
      <c r="A3249">
        <v>1988</v>
      </c>
      <c r="B3249" s="1" t="s">
        <v>25</v>
      </c>
      <c r="C3249" t="s">
        <v>4</v>
      </c>
      <c r="D3249">
        <v>1883800</v>
      </c>
    </row>
    <row r="3250" spans="1:4" x14ac:dyDescent="0.2">
      <c r="A3250">
        <v>1988</v>
      </c>
      <c r="B3250" s="1" t="s">
        <v>25</v>
      </c>
      <c r="C3250" t="s">
        <v>5</v>
      </c>
      <c r="D3250">
        <v>2078900</v>
      </c>
    </row>
    <row r="3251" spans="1:4" x14ac:dyDescent="0.2">
      <c r="A3251">
        <v>1988</v>
      </c>
      <c r="B3251" s="1" t="s">
        <v>25</v>
      </c>
      <c r="C3251" t="s">
        <v>12</v>
      </c>
      <c r="D3251">
        <v>1968600</v>
      </c>
    </row>
    <row r="3252" spans="1:4" x14ac:dyDescent="0.2">
      <c r="A3252">
        <v>1988</v>
      </c>
      <c r="B3252" s="1" t="s">
        <v>25</v>
      </c>
      <c r="C3252" t="s">
        <v>13</v>
      </c>
      <c r="D3252">
        <v>1717600</v>
      </c>
    </row>
    <row r="3253" spans="1:4" x14ac:dyDescent="0.2">
      <c r="A3253">
        <v>1988</v>
      </c>
      <c r="B3253" s="1" t="s">
        <v>25</v>
      </c>
      <c r="C3253" t="s">
        <v>14</v>
      </c>
      <c r="D3253">
        <v>1703200</v>
      </c>
    </row>
    <row r="3254" spans="1:4" x14ac:dyDescent="0.2">
      <c r="A3254">
        <v>1988</v>
      </c>
      <c r="B3254" s="1" t="s">
        <v>25</v>
      </c>
      <c r="C3254" t="s">
        <v>15</v>
      </c>
      <c r="D3254">
        <v>1788300</v>
      </c>
    </row>
    <row r="3255" spans="1:4" x14ac:dyDescent="0.2">
      <c r="A3255">
        <v>1988</v>
      </c>
      <c r="B3255" s="1" t="s">
        <v>25</v>
      </c>
      <c r="C3255" t="s">
        <v>16</v>
      </c>
      <c r="D3255">
        <v>1418300</v>
      </c>
    </row>
    <row r="3256" spans="1:4" x14ac:dyDescent="0.2">
      <c r="A3256">
        <v>1988</v>
      </c>
      <c r="B3256" s="1" t="s">
        <v>25</v>
      </c>
      <c r="C3256" t="s">
        <v>17</v>
      </c>
      <c r="D3256">
        <v>1348200</v>
      </c>
    </row>
    <row r="3257" spans="1:4" x14ac:dyDescent="0.2">
      <c r="A3257">
        <v>1988</v>
      </c>
      <c r="B3257" s="1" t="s">
        <v>25</v>
      </c>
      <c r="C3257" t="s">
        <v>18</v>
      </c>
      <c r="D3257">
        <v>1306000</v>
      </c>
    </row>
    <row r="3258" spans="1:4" x14ac:dyDescent="0.2">
      <c r="A3258">
        <v>1988</v>
      </c>
      <c r="B3258" s="1" t="s">
        <v>25</v>
      </c>
      <c r="C3258" t="s">
        <v>19</v>
      </c>
      <c r="D3258">
        <v>1258500</v>
      </c>
    </row>
    <row r="3259" spans="1:4" x14ac:dyDescent="0.2">
      <c r="A3259">
        <v>1988</v>
      </c>
      <c r="B3259" s="1" t="s">
        <v>25</v>
      </c>
      <c r="C3259" t="s">
        <v>20</v>
      </c>
      <c r="D3259">
        <v>1171500</v>
      </c>
    </row>
    <row r="3260" spans="1:4" x14ac:dyDescent="0.2">
      <c r="A3260">
        <v>1988</v>
      </c>
      <c r="B3260" s="1" t="s">
        <v>25</v>
      </c>
      <c r="C3260" t="s">
        <v>21</v>
      </c>
      <c r="D3260">
        <v>827600</v>
      </c>
    </row>
    <row r="3261" spans="1:4" x14ac:dyDescent="0.2">
      <c r="A3261">
        <v>1988</v>
      </c>
      <c r="B3261" s="1" t="s">
        <v>25</v>
      </c>
      <c r="C3261" t="s">
        <v>22</v>
      </c>
      <c r="D3261">
        <v>641900</v>
      </c>
    </row>
    <row r="3262" spans="1:4" x14ac:dyDescent="0.2">
      <c r="A3262">
        <v>1988</v>
      </c>
      <c r="B3262" s="1" t="s">
        <v>25</v>
      </c>
      <c r="C3262" t="s">
        <v>23</v>
      </c>
      <c r="D3262">
        <v>349100</v>
      </c>
    </row>
    <row r="3263" spans="1:4" x14ac:dyDescent="0.2">
      <c r="A3263">
        <v>1988</v>
      </c>
      <c r="B3263" s="1" t="s">
        <v>25</v>
      </c>
      <c r="C3263" t="s">
        <v>31</v>
      </c>
      <c r="D3263">
        <v>167500</v>
      </c>
    </row>
    <row r="3264" spans="1:4" x14ac:dyDescent="0.2">
      <c r="A3264">
        <v>1989</v>
      </c>
      <c r="B3264" s="1" t="s">
        <v>25</v>
      </c>
      <c r="C3264" s="1" t="s">
        <v>29</v>
      </c>
      <c r="D3264">
        <v>346700</v>
      </c>
    </row>
    <row r="3265" spans="1:4" x14ac:dyDescent="0.2">
      <c r="A3265">
        <v>1989</v>
      </c>
      <c r="B3265" s="1" t="s">
        <v>25</v>
      </c>
      <c r="C3265" s="2" t="s">
        <v>26</v>
      </c>
      <c r="D3265">
        <v>1358400</v>
      </c>
    </row>
    <row r="3266" spans="1:4" x14ac:dyDescent="0.2">
      <c r="A3266">
        <v>1989</v>
      </c>
      <c r="B3266" s="1" t="s">
        <v>25</v>
      </c>
      <c r="C3266" s="2" t="s">
        <v>27</v>
      </c>
      <c r="D3266">
        <v>1618800</v>
      </c>
    </row>
    <row r="3267" spans="1:4" x14ac:dyDescent="0.2">
      <c r="A3267">
        <v>1989</v>
      </c>
      <c r="B3267" s="1" t="s">
        <v>25</v>
      </c>
      <c r="C3267" s="3" t="s">
        <v>28</v>
      </c>
      <c r="D3267">
        <v>1509600</v>
      </c>
    </row>
    <row r="3268" spans="1:4" x14ac:dyDescent="0.2">
      <c r="A3268">
        <v>1989</v>
      </c>
      <c r="B3268" s="1" t="s">
        <v>25</v>
      </c>
      <c r="C3268" t="s">
        <v>4</v>
      </c>
      <c r="D3268">
        <v>1810300</v>
      </c>
    </row>
    <row r="3269" spans="1:4" x14ac:dyDescent="0.2">
      <c r="A3269">
        <v>1989</v>
      </c>
      <c r="B3269" s="1" t="s">
        <v>25</v>
      </c>
      <c r="C3269" t="s">
        <v>5</v>
      </c>
      <c r="D3269">
        <v>2044600</v>
      </c>
    </row>
    <row r="3270" spans="1:4" x14ac:dyDescent="0.2">
      <c r="A3270">
        <v>1989</v>
      </c>
      <c r="B3270" s="1" t="s">
        <v>25</v>
      </c>
      <c r="C3270" t="s">
        <v>12</v>
      </c>
      <c r="D3270">
        <v>2020900</v>
      </c>
    </row>
    <row r="3271" spans="1:4" x14ac:dyDescent="0.2">
      <c r="A3271">
        <v>1989</v>
      </c>
      <c r="B3271" s="1" t="s">
        <v>25</v>
      </c>
      <c r="C3271" t="s">
        <v>13</v>
      </c>
      <c r="D3271">
        <v>1748700</v>
      </c>
    </row>
    <row r="3272" spans="1:4" x14ac:dyDescent="0.2">
      <c r="A3272">
        <v>1989</v>
      </c>
      <c r="B3272" s="1" t="s">
        <v>25</v>
      </c>
      <c r="C3272" t="s">
        <v>14</v>
      </c>
      <c r="D3272">
        <v>1678300</v>
      </c>
    </row>
    <row r="3273" spans="1:4" x14ac:dyDescent="0.2">
      <c r="A3273">
        <v>1989</v>
      </c>
      <c r="B3273" s="1" t="s">
        <v>25</v>
      </c>
      <c r="C3273" t="s">
        <v>15</v>
      </c>
      <c r="D3273">
        <v>1816000</v>
      </c>
    </row>
    <row r="3274" spans="1:4" x14ac:dyDescent="0.2">
      <c r="A3274">
        <v>1989</v>
      </c>
      <c r="B3274" s="1" t="s">
        <v>25</v>
      </c>
      <c r="C3274" t="s">
        <v>16</v>
      </c>
      <c r="D3274">
        <v>1460100</v>
      </c>
    </row>
    <row r="3275" spans="1:4" x14ac:dyDescent="0.2">
      <c r="A3275">
        <v>1989</v>
      </c>
      <c r="B3275" s="1" t="s">
        <v>25</v>
      </c>
      <c r="C3275" t="s">
        <v>17</v>
      </c>
      <c r="D3275">
        <v>1364000</v>
      </c>
    </row>
    <row r="3276" spans="1:4" x14ac:dyDescent="0.2">
      <c r="A3276">
        <v>1989</v>
      </c>
      <c r="B3276" s="1" t="s">
        <v>25</v>
      </c>
      <c r="C3276" t="s">
        <v>18</v>
      </c>
      <c r="D3276">
        <v>1293600</v>
      </c>
    </row>
    <row r="3277" spans="1:4" x14ac:dyDescent="0.2">
      <c r="A3277">
        <v>1989</v>
      </c>
      <c r="B3277" s="1" t="s">
        <v>25</v>
      </c>
      <c r="C3277" t="s">
        <v>19</v>
      </c>
      <c r="D3277">
        <v>1247100</v>
      </c>
    </row>
    <row r="3278" spans="1:4" x14ac:dyDescent="0.2">
      <c r="A3278">
        <v>1989</v>
      </c>
      <c r="B3278" s="1" t="s">
        <v>25</v>
      </c>
      <c r="C3278" t="s">
        <v>20</v>
      </c>
      <c r="D3278">
        <v>1213600</v>
      </c>
    </row>
    <row r="3279" spans="1:4" x14ac:dyDescent="0.2">
      <c r="A3279">
        <v>1989</v>
      </c>
      <c r="B3279" s="1" t="s">
        <v>25</v>
      </c>
      <c r="C3279" t="s">
        <v>21</v>
      </c>
      <c r="D3279">
        <v>790900</v>
      </c>
    </row>
    <row r="3280" spans="1:4" x14ac:dyDescent="0.2">
      <c r="A3280">
        <v>1989</v>
      </c>
      <c r="B3280" s="1" t="s">
        <v>25</v>
      </c>
      <c r="C3280" t="s">
        <v>22</v>
      </c>
      <c r="D3280">
        <v>650600</v>
      </c>
    </row>
    <row r="3281" spans="1:4" x14ac:dyDescent="0.2">
      <c r="A3281">
        <v>1989</v>
      </c>
      <c r="B3281" s="1" t="s">
        <v>25</v>
      </c>
      <c r="C3281" t="s">
        <v>23</v>
      </c>
      <c r="D3281">
        <v>360500</v>
      </c>
    </row>
    <row r="3282" spans="1:4" x14ac:dyDescent="0.2">
      <c r="A3282">
        <v>1989</v>
      </c>
      <c r="B3282" s="1" t="s">
        <v>25</v>
      </c>
      <c r="C3282" t="s">
        <v>31</v>
      </c>
      <c r="D3282">
        <v>176800</v>
      </c>
    </row>
    <row r="3283" spans="1:4" x14ac:dyDescent="0.2">
      <c r="A3283">
        <v>1990</v>
      </c>
      <c r="B3283" s="1" t="s">
        <v>25</v>
      </c>
      <c r="C3283" s="1" t="s">
        <v>29</v>
      </c>
      <c r="D3283">
        <v>349300</v>
      </c>
    </row>
    <row r="3284" spans="1:4" x14ac:dyDescent="0.2">
      <c r="A3284">
        <v>1990</v>
      </c>
      <c r="B3284" s="1" t="s">
        <v>25</v>
      </c>
      <c r="C3284" s="2" t="s">
        <v>26</v>
      </c>
      <c r="D3284">
        <v>1370900</v>
      </c>
    </row>
    <row r="3285" spans="1:4" x14ac:dyDescent="0.2">
      <c r="A3285">
        <v>1990</v>
      </c>
      <c r="B3285" s="1" t="s">
        <v>25</v>
      </c>
      <c r="C3285" s="2" t="s">
        <v>27</v>
      </c>
      <c r="D3285">
        <v>1626100</v>
      </c>
    </row>
    <row r="3286" spans="1:4" x14ac:dyDescent="0.2">
      <c r="A3286">
        <v>1990</v>
      </c>
      <c r="B3286" s="1" t="s">
        <v>25</v>
      </c>
      <c r="C3286" s="3" t="s">
        <v>28</v>
      </c>
      <c r="D3286">
        <v>1529100</v>
      </c>
    </row>
    <row r="3287" spans="1:4" x14ac:dyDescent="0.2">
      <c r="A3287">
        <v>1990</v>
      </c>
      <c r="B3287" s="1" t="s">
        <v>25</v>
      </c>
      <c r="C3287" t="s">
        <v>4</v>
      </c>
      <c r="D3287">
        <v>1745600</v>
      </c>
    </row>
    <row r="3288" spans="1:4" x14ac:dyDescent="0.2">
      <c r="A3288">
        <v>1990</v>
      </c>
      <c r="B3288" s="1" t="s">
        <v>25</v>
      </c>
      <c r="C3288" t="s">
        <v>5</v>
      </c>
      <c r="D3288">
        <v>2006200</v>
      </c>
    </row>
    <row r="3289" spans="1:4" x14ac:dyDescent="0.2">
      <c r="A3289">
        <v>1990</v>
      </c>
      <c r="B3289" s="1" t="s">
        <v>25</v>
      </c>
      <c r="C3289" t="s">
        <v>12</v>
      </c>
      <c r="D3289">
        <v>2064300</v>
      </c>
    </row>
    <row r="3290" spans="1:4" x14ac:dyDescent="0.2">
      <c r="A3290">
        <v>1990</v>
      </c>
      <c r="B3290" s="1" t="s">
        <v>25</v>
      </c>
      <c r="C3290" t="s">
        <v>13</v>
      </c>
      <c r="D3290">
        <v>1793200</v>
      </c>
    </row>
    <row r="3291" spans="1:4" x14ac:dyDescent="0.2">
      <c r="A3291">
        <v>1990</v>
      </c>
      <c r="B3291" s="1" t="s">
        <v>25</v>
      </c>
      <c r="C3291" t="s">
        <v>14</v>
      </c>
      <c r="D3291">
        <v>1663200</v>
      </c>
    </row>
    <row r="3292" spans="1:4" x14ac:dyDescent="0.2">
      <c r="A3292">
        <v>1990</v>
      </c>
      <c r="B3292" s="1" t="s">
        <v>25</v>
      </c>
      <c r="C3292" t="s">
        <v>15</v>
      </c>
      <c r="D3292">
        <v>1833800</v>
      </c>
    </row>
    <row r="3293" spans="1:4" x14ac:dyDescent="0.2">
      <c r="A3293">
        <v>1990</v>
      </c>
      <c r="B3293" s="1" t="s">
        <v>25</v>
      </c>
      <c r="C3293" t="s">
        <v>16</v>
      </c>
      <c r="D3293">
        <v>1501000</v>
      </c>
    </row>
    <row r="3294" spans="1:4" x14ac:dyDescent="0.2">
      <c r="A3294">
        <v>1990</v>
      </c>
      <c r="B3294" s="1" t="s">
        <v>25</v>
      </c>
      <c r="C3294" t="s">
        <v>17</v>
      </c>
      <c r="D3294">
        <v>1370400</v>
      </c>
    </row>
    <row r="3295" spans="1:4" x14ac:dyDescent="0.2">
      <c r="A3295">
        <v>1990</v>
      </c>
      <c r="B3295" s="1" t="s">
        <v>25</v>
      </c>
      <c r="C3295" t="s">
        <v>18</v>
      </c>
      <c r="D3295">
        <v>1285900</v>
      </c>
    </row>
    <row r="3296" spans="1:4" x14ac:dyDescent="0.2">
      <c r="A3296">
        <v>1990</v>
      </c>
      <c r="B3296" s="1" t="s">
        <v>25</v>
      </c>
      <c r="C3296" t="s">
        <v>19</v>
      </c>
      <c r="D3296">
        <v>1240600</v>
      </c>
    </row>
    <row r="3297" spans="1:4" x14ac:dyDescent="0.2">
      <c r="A3297">
        <v>1990</v>
      </c>
      <c r="B3297" s="1" t="s">
        <v>25</v>
      </c>
      <c r="C3297" t="s">
        <v>20</v>
      </c>
      <c r="D3297">
        <v>1173200</v>
      </c>
    </row>
    <row r="3298" spans="1:4" x14ac:dyDescent="0.2">
      <c r="A3298">
        <v>1990</v>
      </c>
      <c r="B3298" s="1" t="s">
        <v>25</v>
      </c>
      <c r="C3298" t="s">
        <v>21</v>
      </c>
      <c r="D3298">
        <v>836800</v>
      </c>
    </row>
    <row r="3299" spans="1:4" x14ac:dyDescent="0.2">
      <c r="A3299">
        <v>1990</v>
      </c>
      <c r="B3299" s="1" t="s">
        <v>25</v>
      </c>
      <c r="C3299" t="s">
        <v>22</v>
      </c>
      <c r="D3299">
        <v>654800</v>
      </c>
    </row>
    <row r="3300" spans="1:4" x14ac:dyDescent="0.2">
      <c r="A3300">
        <v>1990</v>
      </c>
      <c r="B3300" s="1" t="s">
        <v>25</v>
      </c>
      <c r="C3300" t="s">
        <v>23</v>
      </c>
      <c r="D3300">
        <v>368600</v>
      </c>
    </row>
    <row r="3301" spans="1:4" x14ac:dyDescent="0.2">
      <c r="A3301">
        <v>1990</v>
      </c>
      <c r="B3301" s="1" t="s">
        <v>25</v>
      </c>
      <c r="C3301" t="s">
        <v>31</v>
      </c>
      <c r="D3301">
        <v>183800</v>
      </c>
    </row>
    <row r="3302" spans="1:4" x14ac:dyDescent="0.2">
      <c r="A3302">
        <v>1991</v>
      </c>
      <c r="B3302" s="1" t="s">
        <v>25</v>
      </c>
      <c r="C3302" s="1" t="s">
        <v>29</v>
      </c>
      <c r="D3302">
        <v>355700</v>
      </c>
    </row>
    <row r="3303" spans="1:4" x14ac:dyDescent="0.2">
      <c r="A3303">
        <v>1991</v>
      </c>
      <c r="B3303" s="1" t="s">
        <v>25</v>
      </c>
      <c r="C3303" s="2" t="s">
        <v>26</v>
      </c>
      <c r="D3303">
        <v>1385400</v>
      </c>
    </row>
    <row r="3304" spans="1:4" x14ac:dyDescent="0.2">
      <c r="A3304">
        <v>1991</v>
      </c>
      <c r="B3304" s="1" t="s">
        <v>25</v>
      </c>
      <c r="C3304" s="2" t="s">
        <v>27</v>
      </c>
      <c r="D3304">
        <v>1640000</v>
      </c>
    </row>
    <row r="3305" spans="1:4" x14ac:dyDescent="0.2">
      <c r="A3305">
        <v>1991</v>
      </c>
      <c r="B3305" s="1" t="s">
        <v>25</v>
      </c>
      <c r="C3305" s="3" t="s">
        <v>28</v>
      </c>
      <c r="D3305">
        <v>1557600</v>
      </c>
    </row>
    <row r="3306" spans="1:4" x14ac:dyDescent="0.2">
      <c r="A3306">
        <v>1991</v>
      </c>
      <c r="B3306" s="1" t="s">
        <v>25</v>
      </c>
      <c r="C3306" t="s">
        <v>4</v>
      </c>
      <c r="D3306">
        <v>1667200</v>
      </c>
    </row>
    <row r="3307" spans="1:4" x14ac:dyDescent="0.2">
      <c r="A3307">
        <v>1991</v>
      </c>
      <c r="B3307" s="1" t="s">
        <v>25</v>
      </c>
      <c r="C3307" t="s">
        <v>5</v>
      </c>
      <c r="D3307">
        <v>1970800</v>
      </c>
    </row>
    <row r="3308" spans="1:4" x14ac:dyDescent="0.2">
      <c r="A3308">
        <v>1991</v>
      </c>
      <c r="B3308" s="1" t="s">
        <v>25</v>
      </c>
      <c r="C3308" t="s">
        <v>12</v>
      </c>
      <c r="D3308">
        <v>2070800</v>
      </c>
    </row>
    <row r="3309" spans="1:4" x14ac:dyDescent="0.2">
      <c r="A3309">
        <v>1991</v>
      </c>
      <c r="B3309" s="1" t="s">
        <v>25</v>
      </c>
      <c r="C3309" t="s">
        <v>13</v>
      </c>
      <c r="D3309">
        <v>1848800</v>
      </c>
    </row>
    <row r="3310" spans="1:4" x14ac:dyDescent="0.2">
      <c r="A3310">
        <v>1991</v>
      </c>
      <c r="B3310" s="1" t="s">
        <v>25</v>
      </c>
      <c r="C3310" t="s">
        <v>14</v>
      </c>
      <c r="D3310">
        <v>1665200</v>
      </c>
    </row>
    <row r="3311" spans="1:4" x14ac:dyDescent="0.2">
      <c r="A3311">
        <v>1991</v>
      </c>
      <c r="B3311" s="1" t="s">
        <v>25</v>
      </c>
      <c r="C3311" t="s">
        <v>15</v>
      </c>
      <c r="D3311">
        <v>1839300</v>
      </c>
    </row>
    <row r="3312" spans="1:4" x14ac:dyDescent="0.2">
      <c r="A3312">
        <v>1991</v>
      </c>
      <c r="B3312" s="1" t="s">
        <v>25</v>
      </c>
      <c r="C3312" t="s">
        <v>16</v>
      </c>
      <c r="D3312">
        <v>1562900</v>
      </c>
    </row>
    <row r="3313" spans="1:4" x14ac:dyDescent="0.2">
      <c r="A3313">
        <v>1991</v>
      </c>
      <c r="B3313" s="1" t="s">
        <v>25</v>
      </c>
      <c r="C3313" t="s">
        <v>17</v>
      </c>
      <c r="D3313">
        <v>1356300</v>
      </c>
    </row>
    <row r="3314" spans="1:4" x14ac:dyDescent="0.2">
      <c r="A3314">
        <v>1991</v>
      </c>
      <c r="B3314" s="1" t="s">
        <v>25</v>
      </c>
      <c r="C3314" t="s">
        <v>18</v>
      </c>
      <c r="D3314">
        <v>1279700</v>
      </c>
    </row>
    <row r="3315" spans="1:4" x14ac:dyDescent="0.2">
      <c r="A3315">
        <v>1991</v>
      </c>
      <c r="B3315" s="1" t="s">
        <v>25</v>
      </c>
      <c r="C3315" t="s">
        <v>19</v>
      </c>
      <c r="D3315">
        <v>1233800</v>
      </c>
    </row>
    <row r="3316" spans="1:4" x14ac:dyDescent="0.2">
      <c r="A3316">
        <v>1991</v>
      </c>
      <c r="B3316" s="1" t="s">
        <v>25</v>
      </c>
      <c r="C3316" t="s">
        <v>20</v>
      </c>
      <c r="D3316">
        <v>1148900</v>
      </c>
    </row>
    <row r="3317" spans="1:4" x14ac:dyDescent="0.2">
      <c r="A3317">
        <v>1991</v>
      </c>
      <c r="B3317" s="1" t="s">
        <v>25</v>
      </c>
      <c r="C3317" t="s">
        <v>21</v>
      </c>
      <c r="D3317">
        <v>878500</v>
      </c>
    </row>
    <row r="3318" spans="1:4" x14ac:dyDescent="0.2">
      <c r="A3318">
        <v>1991</v>
      </c>
      <c r="B3318" s="1" t="s">
        <v>25</v>
      </c>
      <c r="C3318" t="s">
        <v>22</v>
      </c>
      <c r="D3318">
        <v>652800</v>
      </c>
    </row>
    <row r="3319" spans="1:4" x14ac:dyDescent="0.2">
      <c r="A3319">
        <v>1991</v>
      </c>
      <c r="B3319" s="1" t="s">
        <v>25</v>
      </c>
      <c r="C3319" t="s">
        <v>23</v>
      </c>
      <c r="D3319">
        <v>376600</v>
      </c>
    </row>
    <row r="3320" spans="1:4" x14ac:dyDescent="0.2">
      <c r="A3320">
        <v>1991</v>
      </c>
      <c r="B3320" s="1" t="s">
        <v>25</v>
      </c>
      <c r="C3320" t="s">
        <v>31</v>
      </c>
      <c r="D3320">
        <v>191300</v>
      </c>
    </row>
    <row r="3321" spans="1:4" x14ac:dyDescent="0.2">
      <c r="A3321">
        <v>1992</v>
      </c>
      <c r="B3321" s="1" t="s">
        <v>25</v>
      </c>
      <c r="C3321" s="1" t="s">
        <v>29</v>
      </c>
      <c r="D3321">
        <v>355400</v>
      </c>
    </row>
    <row r="3322" spans="1:4" x14ac:dyDescent="0.2">
      <c r="A3322">
        <v>1992</v>
      </c>
      <c r="B3322" s="1" t="s">
        <v>25</v>
      </c>
      <c r="C3322" s="2" t="s">
        <v>26</v>
      </c>
      <c r="D3322">
        <v>1399400</v>
      </c>
    </row>
    <row r="3323" spans="1:4" x14ac:dyDescent="0.2">
      <c r="A3323">
        <v>1992</v>
      </c>
      <c r="B3323" s="1" t="s">
        <v>25</v>
      </c>
      <c r="C3323" s="2" t="s">
        <v>27</v>
      </c>
      <c r="D3323">
        <v>1656000</v>
      </c>
    </row>
    <row r="3324" spans="1:4" x14ac:dyDescent="0.2">
      <c r="A3324">
        <v>1992</v>
      </c>
      <c r="B3324" s="1" t="s">
        <v>25</v>
      </c>
      <c r="C3324" s="3" t="s">
        <v>28</v>
      </c>
      <c r="D3324">
        <v>1583000</v>
      </c>
    </row>
    <row r="3325" spans="1:4" x14ac:dyDescent="0.2">
      <c r="A3325">
        <v>1992</v>
      </c>
      <c r="B3325" s="1" t="s">
        <v>25</v>
      </c>
      <c r="C3325" t="s">
        <v>4</v>
      </c>
      <c r="D3325">
        <v>1569800</v>
      </c>
    </row>
    <row r="3326" spans="1:4" x14ac:dyDescent="0.2">
      <c r="A3326">
        <v>1992</v>
      </c>
      <c r="B3326" s="1" t="s">
        <v>25</v>
      </c>
      <c r="C3326" t="s">
        <v>5</v>
      </c>
      <c r="D3326">
        <v>1920900</v>
      </c>
    </row>
    <row r="3327" spans="1:4" x14ac:dyDescent="0.2">
      <c r="A3327">
        <v>1992</v>
      </c>
      <c r="B3327" s="1" t="s">
        <v>25</v>
      </c>
      <c r="C3327" t="s">
        <v>12</v>
      </c>
      <c r="D3327">
        <v>2071200</v>
      </c>
    </row>
    <row r="3328" spans="1:4" x14ac:dyDescent="0.2">
      <c r="A3328">
        <v>1992</v>
      </c>
      <c r="B3328" s="1" t="s">
        <v>25</v>
      </c>
      <c r="C3328" t="s">
        <v>13</v>
      </c>
      <c r="D3328">
        <v>1899700</v>
      </c>
    </row>
    <row r="3329" spans="1:4" x14ac:dyDescent="0.2">
      <c r="A3329">
        <v>1992</v>
      </c>
      <c r="B3329" s="1" t="s">
        <v>25</v>
      </c>
      <c r="C3329" t="s">
        <v>14</v>
      </c>
      <c r="D3329">
        <v>1682900</v>
      </c>
    </row>
    <row r="3330" spans="1:4" x14ac:dyDescent="0.2">
      <c r="A3330">
        <v>1992</v>
      </c>
      <c r="B3330" s="1" t="s">
        <v>25</v>
      </c>
      <c r="C3330" t="s">
        <v>15</v>
      </c>
      <c r="D3330">
        <v>1743300</v>
      </c>
    </row>
    <row r="3331" spans="1:4" x14ac:dyDescent="0.2">
      <c r="A3331">
        <v>1992</v>
      </c>
      <c r="B3331" s="1" t="s">
        <v>25</v>
      </c>
      <c r="C3331" t="s">
        <v>16</v>
      </c>
      <c r="D3331">
        <v>1695200</v>
      </c>
    </row>
    <row r="3332" spans="1:4" x14ac:dyDescent="0.2">
      <c r="A3332">
        <v>1992</v>
      </c>
      <c r="B3332" s="1" t="s">
        <v>25</v>
      </c>
      <c r="C3332" t="s">
        <v>17</v>
      </c>
      <c r="D3332">
        <v>1360900</v>
      </c>
    </row>
    <row r="3333" spans="1:4" x14ac:dyDescent="0.2">
      <c r="A3333">
        <v>1992</v>
      </c>
      <c r="B3333" s="1" t="s">
        <v>25</v>
      </c>
      <c r="C3333" t="s">
        <v>18</v>
      </c>
      <c r="D3333">
        <v>1282500</v>
      </c>
    </row>
    <row r="3334" spans="1:4" x14ac:dyDescent="0.2">
      <c r="A3334">
        <v>1992</v>
      </c>
      <c r="B3334" s="1" t="s">
        <v>25</v>
      </c>
      <c r="C3334" t="s">
        <v>19</v>
      </c>
      <c r="D3334">
        <v>1227900</v>
      </c>
    </row>
    <row r="3335" spans="1:4" x14ac:dyDescent="0.2">
      <c r="A3335">
        <v>1992</v>
      </c>
      <c r="B3335" s="1" t="s">
        <v>25</v>
      </c>
      <c r="C3335" t="s">
        <v>20</v>
      </c>
      <c r="D3335">
        <v>1129000</v>
      </c>
    </row>
    <row r="3336" spans="1:4" x14ac:dyDescent="0.2">
      <c r="A3336">
        <v>1992</v>
      </c>
      <c r="B3336" s="1" t="s">
        <v>25</v>
      </c>
      <c r="C3336" t="s">
        <v>21</v>
      </c>
      <c r="D3336">
        <v>920400</v>
      </c>
    </row>
    <row r="3337" spans="1:4" x14ac:dyDescent="0.2">
      <c r="A3337">
        <v>1992</v>
      </c>
      <c r="B3337" s="1" t="s">
        <v>25</v>
      </c>
      <c r="C3337" t="s">
        <v>22</v>
      </c>
      <c r="D3337">
        <v>637800</v>
      </c>
    </row>
    <row r="3338" spans="1:4" x14ac:dyDescent="0.2">
      <c r="A3338">
        <v>1992</v>
      </c>
      <c r="B3338" s="1" t="s">
        <v>25</v>
      </c>
      <c r="C3338" t="s">
        <v>23</v>
      </c>
      <c r="D3338">
        <v>385300</v>
      </c>
    </row>
    <row r="3339" spans="1:4" x14ac:dyDescent="0.2">
      <c r="A3339">
        <v>1992</v>
      </c>
      <c r="B3339" s="1" t="s">
        <v>25</v>
      </c>
      <c r="C3339" t="s">
        <v>31</v>
      </c>
      <c r="D3339">
        <v>201600</v>
      </c>
    </row>
    <row r="3340" spans="1:4" x14ac:dyDescent="0.2">
      <c r="A3340">
        <v>1993</v>
      </c>
      <c r="B3340" s="1" t="s">
        <v>24</v>
      </c>
      <c r="C3340" s="1" t="s">
        <v>29</v>
      </c>
      <c r="D3340">
        <v>325800</v>
      </c>
    </row>
    <row r="3341" spans="1:4" x14ac:dyDescent="0.2">
      <c r="A3341">
        <v>1993</v>
      </c>
      <c r="B3341" s="1" t="s">
        <v>24</v>
      </c>
      <c r="C3341" s="2" t="s">
        <v>26</v>
      </c>
      <c r="D3341">
        <v>1343600</v>
      </c>
    </row>
    <row r="3342" spans="1:4" x14ac:dyDescent="0.2">
      <c r="A3342">
        <v>1993</v>
      </c>
      <c r="B3342" s="1" t="s">
        <v>24</v>
      </c>
      <c r="C3342" s="2" t="s">
        <v>27</v>
      </c>
      <c r="D3342">
        <v>1611900</v>
      </c>
    </row>
    <row r="3343" spans="1:4" x14ac:dyDescent="0.2">
      <c r="A3343">
        <v>1993</v>
      </c>
      <c r="B3343" s="1" t="s">
        <v>24</v>
      </c>
      <c r="C3343" s="3" t="s">
        <v>28</v>
      </c>
      <c r="D3343">
        <v>1549400</v>
      </c>
    </row>
    <row r="3344" spans="1:4" x14ac:dyDescent="0.2">
      <c r="A3344">
        <v>1993</v>
      </c>
      <c r="B3344" s="1" t="s">
        <v>24</v>
      </c>
      <c r="C3344" t="s">
        <v>4</v>
      </c>
      <c r="D3344">
        <v>1458900</v>
      </c>
    </row>
    <row r="3345" spans="1:4" x14ac:dyDescent="0.2">
      <c r="A3345">
        <v>1993</v>
      </c>
      <c r="B3345" s="1" t="s">
        <v>24</v>
      </c>
      <c r="C3345" t="s">
        <v>5</v>
      </c>
      <c r="D3345">
        <v>1842600</v>
      </c>
    </row>
    <row r="3346" spans="1:4" x14ac:dyDescent="0.2">
      <c r="A3346">
        <v>1993</v>
      </c>
      <c r="B3346" s="1" t="s">
        <v>24</v>
      </c>
      <c r="C3346" t="s">
        <v>12</v>
      </c>
      <c r="D3346">
        <v>2062900</v>
      </c>
    </row>
    <row r="3347" spans="1:4" x14ac:dyDescent="0.2">
      <c r="A3347">
        <v>1993</v>
      </c>
      <c r="B3347" s="1" t="s">
        <v>24</v>
      </c>
      <c r="C3347" t="s">
        <v>13</v>
      </c>
      <c r="D3347">
        <v>1956200</v>
      </c>
    </row>
    <row r="3348" spans="1:4" x14ac:dyDescent="0.2">
      <c r="A3348">
        <v>1993</v>
      </c>
      <c r="B3348" s="1" t="s">
        <v>24</v>
      </c>
      <c r="C3348" t="s">
        <v>14</v>
      </c>
      <c r="D3348">
        <v>1723700</v>
      </c>
    </row>
    <row r="3349" spans="1:4" x14ac:dyDescent="0.2">
      <c r="A3349">
        <v>1993</v>
      </c>
      <c r="B3349" s="1" t="s">
        <v>24</v>
      </c>
      <c r="C3349" t="s">
        <v>15</v>
      </c>
      <c r="D3349">
        <v>1704600</v>
      </c>
    </row>
    <row r="3350" spans="1:4" x14ac:dyDescent="0.2">
      <c r="A3350">
        <v>1993</v>
      </c>
      <c r="B3350" s="1" t="s">
        <v>24</v>
      </c>
      <c r="C3350" t="s">
        <v>16</v>
      </c>
      <c r="D3350">
        <v>1768900</v>
      </c>
    </row>
    <row r="3351" spans="1:4" x14ac:dyDescent="0.2">
      <c r="A3351">
        <v>1993</v>
      </c>
      <c r="B3351" s="1" t="s">
        <v>24</v>
      </c>
      <c r="C3351" t="s">
        <v>17</v>
      </c>
      <c r="D3351">
        <v>1390800</v>
      </c>
    </row>
    <row r="3352" spans="1:4" x14ac:dyDescent="0.2">
      <c r="A3352">
        <v>1993</v>
      </c>
      <c r="B3352" s="1" t="s">
        <v>24</v>
      </c>
      <c r="C3352" t="s">
        <v>18</v>
      </c>
      <c r="D3352">
        <v>1312300</v>
      </c>
    </row>
    <row r="3353" spans="1:4" x14ac:dyDescent="0.2">
      <c r="A3353">
        <v>1993</v>
      </c>
      <c r="B3353" s="1" t="s">
        <v>24</v>
      </c>
      <c r="C3353" t="s">
        <v>19</v>
      </c>
      <c r="D3353">
        <v>1291200</v>
      </c>
    </row>
    <row r="3354" spans="1:4" x14ac:dyDescent="0.2">
      <c r="A3354">
        <v>1993</v>
      </c>
      <c r="B3354" s="1" t="s">
        <v>24</v>
      </c>
      <c r="C3354" t="s">
        <v>20</v>
      </c>
      <c r="D3354">
        <v>1271000</v>
      </c>
    </row>
    <row r="3355" spans="1:4" x14ac:dyDescent="0.2">
      <c r="A3355">
        <v>1993</v>
      </c>
      <c r="B3355" s="1" t="s">
        <v>24</v>
      </c>
      <c r="C3355" t="s">
        <v>21</v>
      </c>
      <c r="D3355">
        <v>1247300</v>
      </c>
    </row>
    <row r="3356" spans="1:4" x14ac:dyDescent="0.2">
      <c r="A3356">
        <v>1993</v>
      </c>
      <c r="B3356" s="1" t="s">
        <v>24</v>
      </c>
      <c r="C3356" t="s">
        <v>22</v>
      </c>
      <c r="D3356">
        <v>935900</v>
      </c>
    </row>
    <row r="3357" spans="1:4" x14ac:dyDescent="0.2">
      <c r="A3357">
        <v>1993</v>
      </c>
      <c r="B3357" s="1" t="s">
        <v>24</v>
      </c>
      <c r="C3357" t="s">
        <v>23</v>
      </c>
      <c r="D3357">
        <v>756900</v>
      </c>
    </row>
    <row r="3358" spans="1:4" x14ac:dyDescent="0.2">
      <c r="A3358">
        <v>1993</v>
      </c>
      <c r="B3358" s="1" t="s">
        <v>24</v>
      </c>
      <c r="C3358" t="s">
        <v>31</v>
      </c>
      <c r="D3358">
        <v>639400</v>
      </c>
    </row>
    <row r="3359" spans="1:4" x14ac:dyDescent="0.2">
      <c r="A3359">
        <v>1993</v>
      </c>
      <c r="B3359" s="1" t="s">
        <v>25</v>
      </c>
      <c r="C3359" s="1" t="s">
        <v>29</v>
      </c>
      <c r="D3359">
        <v>342600</v>
      </c>
    </row>
    <row r="3360" spans="1:4" x14ac:dyDescent="0.2">
      <c r="A3360">
        <v>1993</v>
      </c>
      <c r="B3360" s="1" t="s">
        <v>25</v>
      </c>
      <c r="C3360" s="2" t="s">
        <v>26</v>
      </c>
      <c r="D3360">
        <v>1402700</v>
      </c>
    </row>
    <row r="3361" spans="1:4" x14ac:dyDescent="0.2">
      <c r="A3361">
        <v>1993</v>
      </c>
      <c r="B3361" s="1" t="s">
        <v>25</v>
      </c>
      <c r="C3361" s="2" t="s">
        <v>27</v>
      </c>
      <c r="D3361">
        <v>1685800</v>
      </c>
    </row>
    <row r="3362" spans="1:4" x14ac:dyDescent="0.2">
      <c r="A3362">
        <v>1993</v>
      </c>
      <c r="B3362" s="1" t="s">
        <v>25</v>
      </c>
      <c r="C3362" s="3" t="s">
        <v>28</v>
      </c>
      <c r="D3362">
        <v>1619400</v>
      </c>
    </row>
    <row r="3363" spans="1:4" x14ac:dyDescent="0.2">
      <c r="A3363">
        <v>1993</v>
      </c>
      <c r="B3363" s="1" t="s">
        <v>25</v>
      </c>
      <c r="C3363" t="s">
        <v>4</v>
      </c>
      <c r="D3363">
        <v>1513600</v>
      </c>
    </row>
    <row r="3364" spans="1:4" x14ac:dyDescent="0.2">
      <c r="A3364">
        <v>1993</v>
      </c>
      <c r="B3364" s="1" t="s">
        <v>25</v>
      </c>
      <c r="C3364" t="s">
        <v>5</v>
      </c>
      <c r="D3364">
        <v>1874600</v>
      </c>
    </row>
    <row r="3365" spans="1:4" x14ac:dyDescent="0.2">
      <c r="A3365">
        <v>1993</v>
      </c>
      <c r="B3365" s="1" t="s">
        <v>25</v>
      </c>
      <c r="C3365" t="s">
        <v>12</v>
      </c>
      <c r="D3365">
        <v>2051400</v>
      </c>
    </row>
    <row r="3366" spans="1:4" x14ac:dyDescent="0.2">
      <c r="A3366">
        <v>1993</v>
      </c>
      <c r="B3366" s="1" t="s">
        <v>25</v>
      </c>
      <c r="C3366" t="s">
        <v>13</v>
      </c>
      <c r="D3366">
        <v>1940300</v>
      </c>
    </row>
    <row r="3367" spans="1:4" x14ac:dyDescent="0.2">
      <c r="A3367">
        <v>1993</v>
      </c>
      <c r="B3367" s="1" t="s">
        <v>25</v>
      </c>
      <c r="C3367" t="s">
        <v>14</v>
      </c>
      <c r="D3367">
        <v>1706100</v>
      </c>
    </row>
    <row r="3368" spans="1:4" x14ac:dyDescent="0.2">
      <c r="A3368">
        <v>1993</v>
      </c>
      <c r="B3368" s="1" t="s">
        <v>25</v>
      </c>
      <c r="C3368" t="s">
        <v>15</v>
      </c>
      <c r="D3368">
        <v>1690200</v>
      </c>
    </row>
    <row r="3369" spans="1:4" x14ac:dyDescent="0.2">
      <c r="A3369">
        <v>1993</v>
      </c>
      <c r="B3369" s="1" t="s">
        <v>25</v>
      </c>
      <c r="C3369" t="s">
        <v>16</v>
      </c>
      <c r="D3369">
        <v>1762700</v>
      </c>
    </row>
    <row r="3370" spans="1:4" x14ac:dyDescent="0.2">
      <c r="A3370">
        <v>1993</v>
      </c>
      <c r="B3370" s="1" t="s">
        <v>25</v>
      </c>
      <c r="C3370" t="s">
        <v>17</v>
      </c>
      <c r="D3370">
        <v>1386300</v>
      </c>
    </row>
    <row r="3371" spans="1:4" x14ac:dyDescent="0.2">
      <c r="A3371">
        <v>1993</v>
      </c>
      <c r="B3371" s="1" t="s">
        <v>25</v>
      </c>
      <c r="C3371" t="s">
        <v>18</v>
      </c>
      <c r="D3371">
        <v>1299300</v>
      </c>
    </row>
    <row r="3372" spans="1:4" x14ac:dyDescent="0.2">
      <c r="A3372">
        <v>1993</v>
      </c>
      <c r="B3372" s="1" t="s">
        <v>25</v>
      </c>
      <c r="C3372" t="s">
        <v>19</v>
      </c>
      <c r="D3372">
        <v>1219100</v>
      </c>
    </row>
    <row r="3373" spans="1:4" x14ac:dyDescent="0.2">
      <c r="A3373">
        <v>1993</v>
      </c>
      <c r="B3373" s="1" t="s">
        <v>25</v>
      </c>
      <c r="C3373" t="s">
        <v>20</v>
      </c>
      <c r="D3373">
        <v>1117500</v>
      </c>
    </row>
    <row r="3374" spans="1:4" x14ac:dyDescent="0.2">
      <c r="A3374">
        <v>1993</v>
      </c>
      <c r="B3374" s="1" t="s">
        <v>25</v>
      </c>
      <c r="C3374" t="s">
        <v>21</v>
      </c>
      <c r="D3374">
        <v>965400</v>
      </c>
    </row>
    <row r="3375" spans="1:4" x14ac:dyDescent="0.2">
      <c r="A3375">
        <v>1993</v>
      </c>
      <c r="B3375" s="1" t="s">
        <v>25</v>
      </c>
      <c r="C3375" t="s">
        <v>22</v>
      </c>
      <c r="D3375">
        <v>606200</v>
      </c>
    </row>
    <row r="3376" spans="1:4" x14ac:dyDescent="0.2">
      <c r="A3376">
        <v>1993</v>
      </c>
      <c r="B3376" s="1" t="s">
        <v>25</v>
      </c>
      <c r="C3376" t="s">
        <v>23</v>
      </c>
      <c r="D3376">
        <v>395100</v>
      </c>
    </row>
    <row r="3377" spans="1:4" x14ac:dyDescent="0.2">
      <c r="A3377">
        <v>1993</v>
      </c>
      <c r="B3377" s="1" t="s">
        <v>25</v>
      </c>
      <c r="C3377" t="s">
        <v>31</v>
      </c>
      <c r="D3377">
        <v>214500</v>
      </c>
    </row>
    <row r="3378" spans="1:4" x14ac:dyDescent="0.2">
      <c r="A3378">
        <v>1994</v>
      </c>
      <c r="B3378" s="1" t="s">
        <v>24</v>
      </c>
      <c r="C3378" s="1" t="s">
        <v>29</v>
      </c>
      <c r="D3378">
        <v>325100</v>
      </c>
    </row>
    <row r="3379" spans="1:4" x14ac:dyDescent="0.2">
      <c r="A3379">
        <v>1994</v>
      </c>
      <c r="B3379" s="1" t="s">
        <v>24</v>
      </c>
      <c r="C3379" s="2" t="s">
        <v>26</v>
      </c>
      <c r="D3379">
        <v>1336800</v>
      </c>
    </row>
    <row r="3380" spans="1:4" x14ac:dyDescent="0.2">
      <c r="A3380">
        <v>1994</v>
      </c>
      <c r="B3380" s="1" t="s">
        <v>24</v>
      </c>
      <c r="C3380" s="2" t="s">
        <v>27</v>
      </c>
      <c r="D3380">
        <v>1636000</v>
      </c>
    </row>
    <row r="3381" spans="1:4" x14ac:dyDescent="0.2">
      <c r="A3381">
        <v>1994</v>
      </c>
      <c r="B3381" s="1" t="s">
        <v>24</v>
      </c>
      <c r="C3381" s="3" t="s">
        <v>28</v>
      </c>
      <c r="D3381">
        <v>1555800</v>
      </c>
    </row>
    <row r="3382" spans="1:4" x14ac:dyDescent="0.2">
      <c r="A3382">
        <v>1994</v>
      </c>
      <c r="B3382" s="1" t="s">
        <v>24</v>
      </c>
      <c r="C3382" t="s">
        <v>4</v>
      </c>
      <c r="D3382">
        <v>1454100</v>
      </c>
    </row>
    <row r="3383" spans="1:4" x14ac:dyDescent="0.2">
      <c r="A3383">
        <v>1994</v>
      </c>
      <c r="B3383" s="1" t="s">
        <v>24</v>
      </c>
      <c r="C3383" t="s">
        <v>5</v>
      </c>
      <c r="D3383">
        <v>1774300</v>
      </c>
    </row>
    <row r="3384" spans="1:4" x14ac:dyDescent="0.2">
      <c r="A3384">
        <v>1994</v>
      </c>
      <c r="B3384" s="1" t="s">
        <v>24</v>
      </c>
      <c r="C3384" t="s">
        <v>12</v>
      </c>
      <c r="D3384">
        <v>2041300</v>
      </c>
    </row>
    <row r="3385" spans="1:4" x14ac:dyDescent="0.2">
      <c r="A3385">
        <v>1994</v>
      </c>
      <c r="B3385" s="1" t="s">
        <v>24</v>
      </c>
      <c r="C3385" t="s">
        <v>13</v>
      </c>
      <c r="D3385">
        <v>2008000</v>
      </c>
    </row>
    <row r="3386" spans="1:4" x14ac:dyDescent="0.2">
      <c r="A3386">
        <v>1994</v>
      </c>
      <c r="B3386" s="1" t="s">
        <v>24</v>
      </c>
      <c r="C3386" t="s">
        <v>14</v>
      </c>
      <c r="D3386">
        <v>1760000</v>
      </c>
    </row>
    <row r="3387" spans="1:4" x14ac:dyDescent="0.2">
      <c r="A3387">
        <v>1994</v>
      </c>
      <c r="B3387" s="1" t="s">
        <v>24</v>
      </c>
      <c r="C3387" t="s">
        <v>15</v>
      </c>
      <c r="D3387">
        <v>1683300</v>
      </c>
    </row>
    <row r="3388" spans="1:4" x14ac:dyDescent="0.2">
      <c r="A3388">
        <v>1994</v>
      </c>
      <c r="B3388" s="1" t="s">
        <v>24</v>
      </c>
      <c r="C3388" t="s">
        <v>16</v>
      </c>
      <c r="D3388">
        <v>1802500</v>
      </c>
    </row>
    <row r="3389" spans="1:4" x14ac:dyDescent="0.2">
      <c r="A3389">
        <v>1994</v>
      </c>
      <c r="B3389" s="1" t="s">
        <v>24</v>
      </c>
      <c r="C3389" t="s">
        <v>17</v>
      </c>
      <c r="D3389">
        <v>1432700</v>
      </c>
    </row>
    <row r="3390" spans="1:4" x14ac:dyDescent="0.2">
      <c r="A3390">
        <v>1994</v>
      </c>
      <c r="B3390" s="1" t="s">
        <v>24</v>
      </c>
      <c r="C3390" t="s">
        <v>18</v>
      </c>
      <c r="D3390">
        <v>1332000</v>
      </c>
    </row>
    <row r="3391" spans="1:4" x14ac:dyDescent="0.2">
      <c r="A3391">
        <v>1994</v>
      </c>
      <c r="B3391" s="1" t="s">
        <v>24</v>
      </c>
      <c r="C3391" t="s">
        <v>19</v>
      </c>
      <c r="D3391">
        <v>1273200</v>
      </c>
    </row>
    <row r="3392" spans="1:4" x14ac:dyDescent="0.2">
      <c r="A3392">
        <v>1994</v>
      </c>
      <c r="B3392" s="1" t="s">
        <v>24</v>
      </c>
      <c r="C3392" t="s">
        <v>20</v>
      </c>
      <c r="D3392">
        <v>1255700</v>
      </c>
    </row>
    <row r="3393" spans="1:4" x14ac:dyDescent="0.2">
      <c r="A3393">
        <v>1994</v>
      </c>
      <c r="B3393" s="1" t="s">
        <v>24</v>
      </c>
      <c r="C3393" t="s">
        <v>21</v>
      </c>
      <c r="D3393">
        <v>1282900</v>
      </c>
    </row>
    <row r="3394" spans="1:4" x14ac:dyDescent="0.2">
      <c r="A3394">
        <v>1994</v>
      </c>
      <c r="B3394" s="1" t="s">
        <v>24</v>
      </c>
      <c r="C3394" t="s">
        <v>22</v>
      </c>
      <c r="D3394">
        <v>892700</v>
      </c>
    </row>
    <row r="3395" spans="1:4" x14ac:dyDescent="0.2">
      <c r="A3395">
        <v>1994</v>
      </c>
      <c r="B3395" s="1" t="s">
        <v>24</v>
      </c>
      <c r="C3395" t="s">
        <v>23</v>
      </c>
      <c r="D3395">
        <v>762900</v>
      </c>
    </row>
    <row r="3396" spans="1:4" x14ac:dyDescent="0.2">
      <c r="A3396">
        <v>1994</v>
      </c>
      <c r="B3396" s="1" t="s">
        <v>24</v>
      </c>
      <c r="C3396" t="s">
        <v>31</v>
      </c>
      <c r="D3396">
        <v>654000</v>
      </c>
    </row>
    <row r="3397" spans="1:4" x14ac:dyDescent="0.2">
      <c r="A3397">
        <v>1994</v>
      </c>
      <c r="B3397" s="1" t="s">
        <v>25</v>
      </c>
      <c r="C3397" s="1" t="s">
        <v>29</v>
      </c>
      <c r="D3397">
        <v>343000</v>
      </c>
    </row>
    <row r="3398" spans="1:4" x14ac:dyDescent="0.2">
      <c r="A3398">
        <v>1994</v>
      </c>
      <c r="B3398" s="1" t="s">
        <v>25</v>
      </c>
      <c r="C3398" s="2" t="s">
        <v>26</v>
      </c>
      <c r="D3398">
        <v>1398300</v>
      </c>
    </row>
    <row r="3399" spans="1:4" x14ac:dyDescent="0.2">
      <c r="A3399">
        <v>1994</v>
      </c>
      <c r="B3399" s="1" t="s">
        <v>25</v>
      </c>
      <c r="C3399" s="2" t="s">
        <v>27</v>
      </c>
      <c r="D3399">
        <v>1710700</v>
      </c>
    </row>
    <row r="3400" spans="1:4" x14ac:dyDescent="0.2">
      <c r="A3400">
        <v>1994</v>
      </c>
      <c r="B3400" s="1" t="s">
        <v>25</v>
      </c>
      <c r="C3400" s="3" t="s">
        <v>28</v>
      </c>
      <c r="D3400">
        <v>1624300</v>
      </c>
    </row>
    <row r="3401" spans="1:4" x14ac:dyDescent="0.2">
      <c r="A3401">
        <v>1994</v>
      </c>
      <c r="B3401" s="1" t="s">
        <v>25</v>
      </c>
      <c r="C3401" t="s">
        <v>4</v>
      </c>
      <c r="D3401">
        <v>1503200</v>
      </c>
    </row>
    <row r="3402" spans="1:4" x14ac:dyDescent="0.2">
      <c r="A3402">
        <v>1994</v>
      </c>
      <c r="B3402" s="1" t="s">
        <v>25</v>
      </c>
      <c r="C3402" t="s">
        <v>5</v>
      </c>
      <c r="D3402">
        <v>1801300</v>
      </c>
    </row>
    <row r="3403" spans="1:4" x14ac:dyDescent="0.2">
      <c r="A3403">
        <v>1994</v>
      </c>
      <c r="B3403" s="1" t="s">
        <v>25</v>
      </c>
      <c r="C3403" t="s">
        <v>12</v>
      </c>
      <c r="D3403">
        <v>2024000</v>
      </c>
    </row>
    <row r="3404" spans="1:4" x14ac:dyDescent="0.2">
      <c r="A3404">
        <v>1994</v>
      </c>
      <c r="B3404" s="1" t="s">
        <v>25</v>
      </c>
      <c r="C3404" t="s">
        <v>13</v>
      </c>
      <c r="D3404">
        <v>1985600</v>
      </c>
    </row>
    <row r="3405" spans="1:4" x14ac:dyDescent="0.2">
      <c r="A3405">
        <v>1994</v>
      </c>
      <c r="B3405" s="1" t="s">
        <v>25</v>
      </c>
      <c r="C3405" t="s">
        <v>14</v>
      </c>
      <c r="D3405">
        <v>1736000</v>
      </c>
    </row>
    <row r="3406" spans="1:4" x14ac:dyDescent="0.2">
      <c r="A3406">
        <v>1994</v>
      </c>
      <c r="B3406" s="1" t="s">
        <v>25</v>
      </c>
      <c r="C3406" t="s">
        <v>15</v>
      </c>
      <c r="D3406">
        <v>1665400</v>
      </c>
    </row>
    <row r="3407" spans="1:4" x14ac:dyDescent="0.2">
      <c r="A3407">
        <v>1994</v>
      </c>
      <c r="B3407" s="1" t="s">
        <v>25</v>
      </c>
      <c r="C3407" t="s">
        <v>16</v>
      </c>
      <c r="D3407">
        <v>1791800</v>
      </c>
    </row>
    <row r="3408" spans="1:4" x14ac:dyDescent="0.2">
      <c r="A3408">
        <v>1994</v>
      </c>
      <c r="B3408" s="1" t="s">
        <v>25</v>
      </c>
      <c r="C3408" t="s">
        <v>17</v>
      </c>
      <c r="D3408">
        <v>1426900</v>
      </c>
    </row>
    <row r="3409" spans="1:4" x14ac:dyDescent="0.2">
      <c r="A3409">
        <v>1994</v>
      </c>
      <c r="B3409" s="1" t="s">
        <v>25</v>
      </c>
      <c r="C3409" t="s">
        <v>18</v>
      </c>
      <c r="D3409">
        <v>1316700</v>
      </c>
    </row>
    <row r="3410" spans="1:4" x14ac:dyDescent="0.2">
      <c r="A3410">
        <v>1994</v>
      </c>
      <c r="B3410" s="1" t="s">
        <v>25</v>
      </c>
      <c r="C3410" t="s">
        <v>19</v>
      </c>
      <c r="D3410">
        <v>1210400</v>
      </c>
    </row>
    <row r="3411" spans="1:4" x14ac:dyDescent="0.2">
      <c r="A3411">
        <v>1994</v>
      </c>
      <c r="B3411" s="1" t="s">
        <v>25</v>
      </c>
      <c r="C3411" t="s">
        <v>20</v>
      </c>
      <c r="D3411">
        <v>1109800</v>
      </c>
    </row>
    <row r="3412" spans="1:4" x14ac:dyDescent="0.2">
      <c r="A3412">
        <v>1994</v>
      </c>
      <c r="B3412" s="1" t="s">
        <v>25</v>
      </c>
      <c r="C3412" t="s">
        <v>21</v>
      </c>
      <c r="D3412">
        <v>998700</v>
      </c>
    </row>
    <row r="3413" spans="1:4" x14ac:dyDescent="0.2">
      <c r="A3413">
        <v>1994</v>
      </c>
      <c r="B3413" s="1" t="s">
        <v>25</v>
      </c>
      <c r="C3413" t="s">
        <v>22</v>
      </c>
      <c r="D3413">
        <v>582700</v>
      </c>
    </row>
    <row r="3414" spans="1:4" x14ac:dyDescent="0.2">
      <c r="A3414">
        <v>1994</v>
      </c>
      <c r="B3414" s="1" t="s">
        <v>25</v>
      </c>
      <c r="C3414" t="s">
        <v>23</v>
      </c>
      <c r="D3414">
        <v>401900</v>
      </c>
    </row>
    <row r="3415" spans="1:4" x14ac:dyDescent="0.2">
      <c r="A3415">
        <v>1994</v>
      </c>
      <c r="B3415" s="1" t="s">
        <v>25</v>
      </c>
      <c r="C3415" t="s">
        <v>31</v>
      </c>
      <c r="D3415">
        <v>222300</v>
      </c>
    </row>
    <row r="3416" spans="1:4" x14ac:dyDescent="0.2">
      <c r="A3416">
        <v>1995</v>
      </c>
      <c r="B3416" s="1" t="s">
        <v>24</v>
      </c>
      <c r="C3416" s="1" t="s">
        <v>29</v>
      </c>
      <c r="D3416">
        <v>315600</v>
      </c>
    </row>
    <row r="3417" spans="1:4" x14ac:dyDescent="0.2">
      <c r="A3417">
        <v>1995</v>
      </c>
      <c r="B3417" s="1" t="s">
        <v>24</v>
      </c>
      <c r="C3417" s="2" t="s">
        <v>26</v>
      </c>
      <c r="D3417">
        <v>1327300</v>
      </c>
    </row>
    <row r="3418" spans="1:4" x14ac:dyDescent="0.2">
      <c r="A3418">
        <v>1995</v>
      </c>
      <c r="B3418" s="1" t="s">
        <v>24</v>
      </c>
      <c r="C3418" s="2" t="s">
        <v>27</v>
      </c>
      <c r="D3418">
        <v>1650100</v>
      </c>
    </row>
    <row r="3419" spans="1:4" x14ac:dyDescent="0.2">
      <c r="A3419">
        <v>1995</v>
      </c>
      <c r="B3419" s="1" t="s">
        <v>24</v>
      </c>
      <c r="C3419" s="3" t="s">
        <v>28</v>
      </c>
      <c r="D3419">
        <v>1562600</v>
      </c>
    </row>
    <row r="3420" spans="1:4" x14ac:dyDescent="0.2">
      <c r="A3420">
        <v>1995</v>
      </c>
      <c r="B3420" s="1" t="s">
        <v>24</v>
      </c>
      <c r="C3420" t="s">
        <v>4</v>
      </c>
      <c r="D3420">
        <v>1473800</v>
      </c>
    </row>
    <row r="3421" spans="1:4" x14ac:dyDescent="0.2">
      <c r="A3421">
        <v>1995</v>
      </c>
      <c r="B3421" s="1" t="s">
        <v>24</v>
      </c>
      <c r="C3421" t="s">
        <v>5</v>
      </c>
      <c r="D3421">
        <v>1712000</v>
      </c>
    </row>
    <row r="3422" spans="1:4" x14ac:dyDescent="0.2">
      <c r="A3422">
        <v>1995</v>
      </c>
      <c r="B3422" s="1" t="s">
        <v>24</v>
      </c>
      <c r="C3422" t="s">
        <v>12</v>
      </c>
      <c r="D3422">
        <v>2004900</v>
      </c>
    </row>
    <row r="3423" spans="1:4" x14ac:dyDescent="0.2">
      <c r="A3423">
        <v>1995</v>
      </c>
      <c r="B3423" s="1" t="s">
        <v>24</v>
      </c>
      <c r="C3423" t="s">
        <v>13</v>
      </c>
      <c r="D3423">
        <v>2051000</v>
      </c>
    </row>
    <row r="3424" spans="1:4" x14ac:dyDescent="0.2">
      <c r="A3424">
        <v>1995</v>
      </c>
      <c r="B3424" s="1" t="s">
        <v>24</v>
      </c>
      <c r="C3424" t="s">
        <v>14</v>
      </c>
      <c r="D3424">
        <v>1802500</v>
      </c>
    </row>
    <row r="3425" spans="1:4" x14ac:dyDescent="0.2">
      <c r="A3425">
        <v>1995</v>
      </c>
      <c r="B3425" s="1" t="s">
        <v>24</v>
      </c>
      <c r="C3425" t="s">
        <v>15</v>
      </c>
      <c r="D3425">
        <v>1667700</v>
      </c>
    </row>
    <row r="3426" spans="1:4" x14ac:dyDescent="0.2">
      <c r="A3426">
        <v>1995</v>
      </c>
      <c r="B3426" s="1" t="s">
        <v>24</v>
      </c>
      <c r="C3426" t="s">
        <v>16</v>
      </c>
      <c r="D3426">
        <v>1821800</v>
      </c>
    </row>
    <row r="3427" spans="1:4" x14ac:dyDescent="0.2">
      <c r="A3427">
        <v>1995</v>
      </c>
      <c r="B3427" s="1" t="s">
        <v>24</v>
      </c>
      <c r="C3427" t="s">
        <v>17</v>
      </c>
      <c r="D3427">
        <v>1479200</v>
      </c>
    </row>
    <row r="3428" spans="1:4" x14ac:dyDescent="0.2">
      <c r="A3428">
        <v>1995</v>
      </c>
      <c r="B3428" s="1" t="s">
        <v>24</v>
      </c>
      <c r="C3428" t="s">
        <v>18</v>
      </c>
      <c r="D3428">
        <v>1341800</v>
      </c>
    </row>
    <row r="3429" spans="1:4" x14ac:dyDescent="0.2">
      <c r="A3429">
        <v>1995</v>
      </c>
      <c r="B3429" s="1" t="s">
        <v>24</v>
      </c>
      <c r="C3429" t="s">
        <v>19</v>
      </c>
      <c r="D3429">
        <v>1258900</v>
      </c>
    </row>
    <row r="3430" spans="1:4" x14ac:dyDescent="0.2">
      <c r="A3430">
        <v>1995</v>
      </c>
      <c r="B3430" s="1" t="s">
        <v>24</v>
      </c>
      <c r="C3430" t="s">
        <v>20</v>
      </c>
      <c r="D3430">
        <v>1247900</v>
      </c>
    </row>
    <row r="3431" spans="1:4" x14ac:dyDescent="0.2">
      <c r="A3431">
        <v>1995</v>
      </c>
      <c r="B3431" s="1" t="s">
        <v>24</v>
      </c>
      <c r="C3431" t="s">
        <v>21</v>
      </c>
      <c r="D3431">
        <v>1235300</v>
      </c>
    </row>
    <row r="3432" spans="1:4" x14ac:dyDescent="0.2">
      <c r="A3432">
        <v>1995</v>
      </c>
      <c r="B3432" s="1" t="s">
        <v>24</v>
      </c>
      <c r="C3432" t="s">
        <v>22</v>
      </c>
      <c r="D3432">
        <v>933200</v>
      </c>
    </row>
    <row r="3433" spans="1:4" x14ac:dyDescent="0.2">
      <c r="A3433">
        <v>1995</v>
      </c>
      <c r="B3433" s="1" t="s">
        <v>24</v>
      </c>
      <c r="C3433" t="s">
        <v>23</v>
      </c>
      <c r="D3433">
        <v>767800</v>
      </c>
    </row>
    <row r="3434" spans="1:4" x14ac:dyDescent="0.2">
      <c r="A3434">
        <v>1995</v>
      </c>
      <c r="B3434" s="1" t="s">
        <v>24</v>
      </c>
      <c r="C3434" t="s">
        <v>31</v>
      </c>
      <c r="D3434">
        <v>672200</v>
      </c>
    </row>
    <row r="3435" spans="1:4" x14ac:dyDescent="0.2">
      <c r="A3435">
        <v>1995</v>
      </c>
      <c r="B3435" s="1" t="s">
        <v>25</v>
      </c>
      <c r="C3435" s="1" t="s">
        <v>29</v>
      </c>
      <c r="D3435">
        <v>332100</v>
      </c>
    </row>
    <row r="3436" spans="1:4" x14ac:dyDescent="0.2">
      <c r="A3436">
        <v>1995</v>
      </c>
      <c r="B3436" s="1" t="s">
        <v>25</v>
      </c>
      <c r="C3436" s="2" t="s">
        <v>26</v>
      </c>
      <c r="D3436">
        <v>1392200</v>
      </c>
    </row>
    <row r="3437" spans="1:4" x14ac:dyDescent="0.2">
      <c r="A3437">
        <v>1995</v>
      </c>
      <c r="B3437" s="1" t="s">
        <v>25</v>
      </c>
      <c r="C3437" s="2" t="s">
        <v>27</v>
      </c>
      <c r="D3437">
        <v>1724700</v>
      </c>
    </row>
    <row r="3438" spans="1:4" x14ac:dyDescent="0.2">
      <c r="A3438">
        <v>1995</v>
      </c>
      <c r="B3438" s="1" t="s">
        <v>25</v>
      </c>
      <c r="C3438" s="3" t="s">
        <v>28</v>
      </c>
      <c r="D3438">
        <v>1633400</v>
      </c>
    </row>
    <row r="3439" spans="1:4" x14ac:dyDescent="0.2">
      <c r="A3439">
        <v>1995</v>
      </c>
      <c r="B3439" s="1" t="s">
        <v>25</v>
      </c>
      <c r="C3439" t="s">
        <v>4</v>
      </c>
      <c r="D3439">
        <v>1518800</v>
      </c>
    </row>
    <row r="3440" spans="1:4" x14ac:dyDescent="0.2">
      <c r="A3440">
        <v>1995</v>
      </c>
      <c r="B3440" s="1" t="s">
        <v>25</v>
      </c>
      <c r="C3440" t="s">
        <v>5</v>
      </c>
      <c r="D3440">
        <v>1737300</v>
      </c>
    </row>
    <row r="3441" spans="1:4" x14ac:dyDescent="0.2">
      <c r="A3441">
        <v>1995</v>
      </c>
      <c r="B3441" s="1" t="s">
        <v>25</v>
      </c>
      <c r="C3441" t="s">
        <v>12</v>
      </c>
      <c r="D3441">
        <v>1994300</v>
      </c>
    </row>
    <row r="3442" spans="1:4" x14ac:dyDescent="0.2">
      <c r="A3442">
        <v>1995</v>
      </c>
      <c r="B3442" s="1" t="s">
        <v>25</v>
      </c>
      <c r="C3442" t="s">
        <v>13</v>
      </c>
      <c r="D3442">
        <v>2027900</v>
      </c>
    </row>
    <row r="3443" spans="1:4" x14ac:dyDescent="0.2">
      <c r="A3443">
        <v>1995</v>
      </c>
      <c r="B3443" s="1" t="s">
        <v>25</v>
      </c>
      <c r="C3443" t="s">
        <v>14</v>
      </c>
      <c r="D3443">
        <v>1781900</v>
      </c>
    </row>
    <row r="3444" spans="1:4" x14ac:dyDescent="0.2">
      <c r="A3444">
        <v>1995</v>
      </c>
      <c r="B3444" s="1" t="s">
        <v>25</v>
      </c>
      <c r="C3444" t="s">
        <v>15</v>
      </c>
      <c r="D3444">
        <v>1650800</v>
      </c>
    </row>
    <row r="3445" spans="1:4" x14ac:dyDescent="0.2">
      <c r="A3445">
        <v>1995</v>
      </c>
      <c r="B3445" s="1" t="s">
        <v>25</v>
      </c>
      <c r="C3445" t="s">
        <v>16</v>
      </c>
      <c r="D3445">
        <v>1808500</v>
      </c>
    </row>
    <row r="3446" spans="1:4" x14ac:dyDescent="0.2">
      <c r="A3446">
        <v>1995</v>
      </c>
      <c r="B3446" s="1" t="s">
        <v>25</v>
      </c>
      <c r="C3446" t="s">
        <v>17</v>
      </c>
      <c r="D3446">
        <v>1471100</v>
      </c>
    </row>
    <row r="3447" spans="1:4" x14ac:dyDescent="0.2">
      <c r="A3447">
        <v>1995</v>
      </c>
      <c r="B3447" s="1" t="s">
        <v>25</v>
      </c>
      <c r="C3447" t="s">
        <v>18</v>
      </c>
      <c r="D3447">
        <v>1324300</v>
      </c>
    </row>
    <row r="3448" spans="1:4" x14ac:dyDescent="0.2">
      <c r="A3448">
        <v>1995</v>
      </c>
      <c r="B3448" s="1" t="s">
        <v>25</v>
      </c>
      <c r="C3448" t="s">
        <v>19</v>
      </c>
      <c r="D3448">
        <v>1206700</v>
      </c>
    </row>
    <row r="3449" spans="1:4" x14ac:dyDescent="0.2">
      <c r="A3449">
        <v>1995</v>
      </c>
      <c r="B3449" s="1" t="s">
        <v>25</v>
      </c>
      <c r="C3449" t="s">
        <v>20</v>
      </c>
      <c r="D3449">
        <v>1107100</v>
      </c>
    </row>
    <row r="3450" spans="1:4" x14ac:dyDescent="0.2">
      <c r="A3450">
        <v>1995</v>
      </c>
      <c r="B3450" s="1" t="s">
        <v>25</v>
      </c>
      <c r="C3450" t="s">
        <v>21</v>
      </c>
      <c r="D3450">
        <v>971300</v>
      </c>
    </row>
    <row r="3451" spans="1:4" x14ac:dyDescent="0.2">
      <c r="A3451">
        <v>1995</v>
      </c>
      <c r="B3451" s="1" t="s">
        <v>25</v>
      </c>
      <c r="C3451" t="s">
        <v>22</v>
      </c>
      <c r="D3451">
        <v>623000</v>
      </c>
    </row>
    <row r="3452" spans="1:4" x14ac:dyDescent="0.2">
      <c r="A3452">
        <v>1995</v>
      </c>
      <c r="B3452" s="1" t="s">
        <v>25</v>
      </c>
      <c r="C3452" t="s">
        <v>23</v>
      </c>
      <c r="D3452">
        <v>407900</v>
      </c>
    </row>
    <row r="3453" spans="1:4" x14ac:dyDescent="0.2">
      <c r="A3453">
        <v>1995</v>
      </c>
      <c r="B3453" s="1" t="s">
        <v>25</v>
      </c>
      <c r="C3453" t="s">
        <v>31</v>
      </c>
      <c r="D3453">
        <v>233100</v>
      </c>
    </row>
    <row r="3454" spans="1:4" x14ac:dyDescent="0.2">
      <c r="A3454">
        <v>1996</v>
      </c>
      <c r="B3454" s="1" t="s">
        <v>24</v>
      </c>
      <c r="C3454" s="1" t="s">
        <v>29</v>
      </c>
      <c r="D3454">
        <v>309800</v>
      </c>
    </row>
    <row r="3455" spans="1:4" x14ac:dyDescent="0.2">
      <c r="A3455">
        <v>1996</v>
      </c>
      <c r="B3455" s="1" t="s">
        <v>24</v>
      </c>
      <c r="C3455" s="2" t="s">
        <v>26</v>
      </c>
      <c r="D3455">
        <v>1300300</v>
      </c>
    </row>
    <row r="3456" spans="1:4" x14ac:dyDescent="0.2">
      <c r="A3456">
        <v>1996</v>
      </c>
      <c r="B3456" s="1" t="s">
        <v>24</v>
      </c>
      <c r="C3456" s="2" t="s">
        <v>27</v>
      </c>
      <c r="D3456">
        <v>1671000</v>
      </c>
    </row>
    <row r="3457" spans="1:4" x14ac:dyDescent="0.2">
      <c r="A3457">
        <v>1996</v>
      </c>
      <c r="B3457" s="1" t="s">
        <v>24</v>
      </c>
      <c r="C3457" s="3" t="s">
        <v>28</v>
      </c>
      <c r="D3457">
        <v>1571600</v>
      </c>
    </row>
    <row r="3458" spans="1:4" x14ac:dyDescent="0.2">
      <c r="A3458">
        <v>1996</v>
      </c>
      <c r="B3458" s="1" t="s">
        <v>24</v>
      </c>
      <c r="C3458" t="s">
        <v>4</v>
      </c>
      <c r="D3458">
        <v>1501400</v>
      </c>
    </row>
    <row r="3459" spans="1:4" x14ac:dyDescent="0.2">
      <c r="A3459">
        <v>1996</v>
      </c>
      <c r="B3459" s="1" t="s">
        <v>24</v>
      </c>
      <c r="C3459" t="s">
        <v>5</v>
      </c>
      <c r="D3459">
        <v>1633000</v>
      </c>
    </row>
    <row r="3460" spans="1:4" x14ac:dyDescent="0.2">
      <c r="A3460">
        <v>1996</v>
      </c>
      <c r="B3460" s="1" t="s">
        <v>24</v>
      </c>
      <c r="C3460" t="s">
        <v>12</v>
      </c>
      <c r="D3460">
        <v>1979700</v>
      </c>
    </row>
    <row r="3461" spans="1:4" x14ac:dyDescent="0.2">
      <c r="A3461">
        <v>1996</v>
      </c>
      <c r="B3461" s="1" t="s">
        <v>24</v>
      </c>
      <c r="C3461" t="s">
        <v>13</v>
      </c>
      <c r="D3461">
        <v>2075800</v>
      </c>
    </row>
    <row r="3462" spans="1:4" x14ac:dyDescent="0.2">
      <c r="A3462">
        <v>1996</v>
      </c>
      <c r="B3462" s="1" t="s">
        <v>24</v>
      </c>
      <c r="C3462" t="s">
        <v>14</v>
      </c>
      <c r="D3462">
        <v>1853900</v>
      </c>
    </row>
    <row r="3463" spans="1:4" x14ac:dyDescent="0.2">
      <c r="A3463">
        <v>1996</v>
      </c>
      <c r="B3463" s="1" t="s">
        <v>24</v>
      </c>
      <c r="C3463" t="s">
        <v>15</v>
      </c>
      <c r="D3463">
        <v>1673800</v>
      </c>
    </row>
    <row r="3464" spans="1:4" x14ac:dyDescent="0.2">
      <c r="A3464">
        <v>1996</v>
      </c>
      <c r="B3464" s="1" t="s">
        <v>24</v>
      </c>
      <c r="C3464" t="s">
        <v>16</v>
      </c>
      <c r="D3464">
        <v>1825400</v>
      </c>
    </row>
    <row r="3465" spans="1:4" x14ac:dyDescent="0.2">
      <c r="A3465">
        <v>1996</v>
      </c>
      <c r="B3465" s="1" t="s">
        <v>24</v>
      </c>
      <c r="C3465" t="s">
        <v>17</v>
      </c>
      <c r="D3465">
        <v>1544400</v>
      </c>
    </row>
    <row r="3466" spans="1:4" x14ac:dyDescent="0.2">
      <c r="A3466">
        <v>1996</v>
      </c>
      <c r="B3466" s="1" t="s">
        <v>24</v>
      </c>
      <c r="C3466" t="s">
        <v>18</v>
      </c>
      <c r="D3466">
        <v>1333900</v>
      </c>
    </row>
    <row r="3467" spans="1:4" x14ac:dyDescent="0.2">
      <c r="A3467">
        <v>1996</v>
      </c>
      <c r="B3467" s="1" t="s">
        <v>24</v>
      </c>
      <c r="C3467" t="s">
        <v>19</v>
      </c>
      <c r="D3467">
        <v>1252200</v>
      </c>
    </row>
    <row r="3468" spans="1:4" x14ac:dyDescent="0.2">
      <c r="A3468">
        <v>1996</v>
      </c>
      <c r="B3468" s="1" t="s">
        <v>24</v>
      </c>
      <c r="C3468" t="s">
        <v>20</v>
      </c>
      <c r="D3468">
        <v>1240200</v>
      </c>
    </row>
    <row r="3469" spans="1:4" x14ac:dyDescent="0.2">
      <c r="A3469">
        <v>1996</v>
      </c>
      <c r="B3469" s="1" t="s">
        <v>24</v>
      </c>
      <c r="C3469" t="s">
        <v>21</v>
      </c>
      <c r="D3469">
        <v>1196500</v>
      </c>
    </row>
    <row r="3470" spans="1:4" x14ac:dyDescent="0.2">
      <c r="A3470">
        <v>1996</v>
      </c>
      <c r="B3470" s="1" t="s">
        <v>24</v>
      </c>
      <c r="C3470" t="s">
        <v>22</v>
      </c>
      <c r="D3470">
        <v>975400</v>
      </c>
    </row>
    <row r="3471" spans="1:4" x14ac:dyDescent="0.2">
      <c r="A3471">
        <v>1996</v>
      </c>
      <c r="B3471" s="1" t="s">
        <v>24</v>
      </c>
      <c r="C3471" t="s">
        <v>23</v>
      </c>
      <c r="D3471">
        <v>758600</v>
      </c>
    </row>
    <row r="3472" spans="1:4" x14ac:dyDescent="0.2">
      <c r="A3472">
        <v>1996</v>
      </c>
      <c r="B3472" s="1" t="s">
        <v>24</v>
      </c>
      <c r="C3472" t="s">
        <v>31</v>
      </c>
      <c r="D3472">
        <v>683700</v>
      </c>
    </row>
    <row r="3473" spans="1:4" x14ac:dyDescent="0.2">
      <c r="A3473">
        <v>1996</v>
      </c>
      <c r="B3473" s="1" t="s">
        <v>25</v>
      </c>
      <c r="C3473" s="1" t="s">
        <v>29</v>
      </c>
      <c r="D3473">
        <v>326800</v>
      </c>
    </row>
    <row r="3474" spans="1:4" x14ac:dyDescent="0.2">
      <c r="A3474">
        <v>1996</v>
      </c>
      <c r="B3474" s="1" t="s">
        <v>25</v>
      </c>
      <c r="C3474" s="2" t="s">
        <v>26</v>
      </c>
      <c r="D3474">
        <v>1367900</v>
      </c>
    </row>
    <row r="3475" spans="1:4" x14ac:dyDescent="0.2">
      <c r="A3475">
        <v>1996</v>
      </c>
      <c r="B3475" s="1" t="s">
        <v>25</v>
      </c>
      <c r="C3475" s="2" t="s">
        <v>27</v>
      </c>
      <c r="D3475">
        <v>1747300</v>
      </c>
    </row>
    <row r="3476" spans="1:4" x14ac:dyDescent="0.2">
      <c r="A3476">
        <v>1996</v>
      </c>
      <c r="B3476" s="1" t="s">
        <v>25</v>
      </c>
      <c r="C3476" s="3" t="s">
        <v>28</v>
      </c>
      <c r="D3476">
        <v>1645900</v>
      </c>
    </row>
    <row r="3477" spans="1:4" x14ac:dyDescent="0.2">
      <c r="A3477">
        <v>1996</v>
      </c>
      <c r="B3477" s="1" t="s">
        <v>25</v>
      </c>
      <c r="C3477" t="s">
        <v>4</v>
      </c>
      <c r="D3477">
        <v>1543600</v>
      </c>
    </row>
    <row r="3478" spans="1:4" x14ac:dyDescent="0.2">
      <c r="A3478">
        <v>1996</v>
      </c>
      <c r="B3478" s="1" t="s">
        <v>25</v>
      </c>
      <c r="C3478" t="s">
        <v>5</v>
      </c>
      <c r="D3478">
        <v>1658300</v>
      </c>
    </row>
    <row r="3479" spans="1:4" x14ac:dyDescent="0.2">
      <c r="A3479">
        <v>1996</v>
      </c>
      <c r="B3479" s="1" t="s">
        <v>25</v>
      </c>
      <c r="C3479" t="s">
        <v>12</v>
      </c>
      <c r="D3479">
        <v>1969900</v>
      </c>
    </row>
    <row r="3480" spans="1:4" x14ac:dyDescent="0.2">
      <c r="A3480">
        <v>1996</v>
      </c>
      <c r="B3480" s="1" t="s">
        <v>25</v>
      </c>
      <c r="C3480" t="s">
        <v>13</v>
      </c>
      <c r="D3480">
        <v>2050200</v>
      </c>
    </row>
    <row r="3481" spans="1:4" x14ac:dyDescent="0.2">
      <c r="A3481">
        <v>1996</v>
      </c>
      <c r="B3481" s="1" t="s">
        <v>25</v>
      </c>
      <c r="C3481" t="s">
        <v>14</v>
      </c>
      <c r="D3481">
        <v>1833700</v>
      </c>
    </row>
    <row r="3482" spans="1:4" x14ac:dyDescent="0.2">
      <c r="A3482">
        <v>1996</v>
      </c>
      <c r="B3482" s="1" t="s">
        <v>25</v>
      </c>
      <c r="C3482" t="s">
        <v>15</v>
      </c>
      <c r="D3482">
        <v>1655400</v>
      </c>
    </row>
    <row r="3483" spans="1:4" x14ac:dyDescent="0.2">
      <c r="A3483">
        <v>1996</v>
      </c>
      <c r="B3483" s="1" t="s">
        <v>25</v>
      </c>
      <c r="C3483" t="s">
        <v>16</v>
      </c>
      <c r="D3483">
        <v>1809800</v>
      </c>
    </row>
    <row r="3484" spans="1:4" x14ac:dyDescent="0.2">
      <c r="A3484">
        <v>1996</v>
      </c>
      <c r="B3484" s="1" t="s">
        <v>25</v>
      </c>
      <c r="C3484" t="s">
        <v>17</v>
      </c>
      <c r="D3484">
        <v>1534200</v>
      </c>
    </row>
    <row r="3485" spans="1:4" x14ac:dyDescent="0.2">
      <c r="A3485">
        <v>1996</v>
      </c>
      <c r="B3485" s="1" t="s">
        <v>25</v>
      </c>
      <c r="C3485" t="s">
        <v>18</v>
      </c>
      <c r="D3485">
        <v>1314800</v>
      </c>
    </row>
    <row r="3486" spans="1:4" x14ac:dyDescent="0.2">
      <c r="A3486">
        <v>1996</v>
      </c>
      <c r="B3486" s="1" t="s">
        <v>25</v>
      </c>
      <c r="C3486" t="s">
        <v>19</v>
      </c>
      <c r="D3486">
        <v>1205000</v>
      </c>
    </row>
    <row r="3487" spans="1:4" x14ac:dyDescent="0.2">
      <c r="A3487">
        <v>1996</v>
      </c>
      <c r="B3487" s="1" t="s">
        <v>25</v>
      </c>
      <c r="C3487" t="s">
        <v>20</v>
      </c>
      <c r="D3487">
        <v>1105600</v>
      </c>
    </row>
    <row r="3488" spans="1:4" x14ac:dyDescent="0.2">
      <c r="A3488">
        <v>1996</v>
      </c>
      <c r="B3488" s="1" t="s">
        <v>25</v>
      </c>
      <c r="C3488" t="s">
        <v>21</v>
      </c>
      <c r="D3488">
        <v>953600</v>
      </c>
    </row>
    <row r="3489" spans="1:4" x14ac:dyDescent="0.2">
      <c r="A3489">
        <v>1996</v>
      </c>
      <c r="B3489" s="1" t="s">
        <v>25</v>
      </c>
      <c r="C3489" t="s">
        <v>22</v>
      </c>
      <c r="D3489">
        <v>659900</v>
      </c>
    </row>
    <row r="3490" spans="1:4" x14ac:dyDescent="0.2">
      <c r="A3490">
        <v>1996</v>
      </c>
      <c r="B3490" s="1" t="s">
        <v>25</v>
      </c>
      <c r="C3490" t="s">
        <v>23</v>
      </c>
      <c r="D3490">
        <v>407300</v>
      </c>
    </row>
    <row r="3491" spans="1:4" x14ac:dyDescent="0.2">
      <c r="A3491">
        <v>1996</v>
      </c>
      <c r="B3491" s="1" t="s">
        <v>25</v>
      </c>
      <c r="C3491" t="s">
        <v>31</v>
      </c>
      <c r="D3491">
        <v>240500</v>
      </c>
    </row>
    <row r="3492" spans="1:4" x14ac:dyDescent="0.2">
      <c r="A3492">
        <v>1997</v>
      </c>
      <c r="B3492" s="1" t="s">
        <v>24</v>
      </c>
      <c r="C3492" s="1" t="s">
        <v>29</v>
      </c>
      <c r="D3492">
        <v>316300</v>
      </c>
    </row>
    <row r="3493" spans="1:4" x14ac:dyDescent="0.2">
      <c r="A3493">
        <v>1997</v>
      </c>
      <c r="B3493" s="1" t="s">
        <v>24</v>
      </c>
      <c r="C3493" s="2" t="s">
        <v>26</v>
      </c>
      <c r="D3493">
        <v>1273000</v>
      </c>
    </row>
    <row r="3494" spans="1:4" x14ac:dyDescent="0.2">
      <c r="A3494">
        <v>1997</v>
      </c>
      <c r="B3494" s="1" t="s">
        <v>24</v>
      </c>
      <c r="C3494" s="2" t="s">
        <v>27</v>
      </c>
      <c r="D3494">
        <v>1680400</v>
      </c>
    </row>
    <row r="3495" spans="1:4" x14ac:dyDescent="0.2">
      <c r="A3495">
        <v>1997</v>
      </c>
      <c r="B3495" s="1" t="s">
        <v>24</v>
      </c>
      <c r="C3495" s="3" t="s">
        <v>28</v>
      </c>
      <c r="D3495">
        <v>1590900</v>
      </c>
    </row>
    <row r="3496" spans="1:4" x14ac:dyDescent="0.2">
      <c r="A3496">
        <v>1997</v>
      </c>
      <c r="B3496" s="1" t="s">
        <v>24</v>
      </c>
      <c r="C3496" t="s">
        <v>4</v>
      </c>
      <c r="D3496">
        <v>1534300</v>
      </c>
    </row>
    <row r="3497" spans="1:4" x14ac:dyDescent="0.2">
      <c r="A3497">
        <v>1997</v>
      </c>
      <c r="B3497" s="1" t="s">
        <v>24</v>
      </c>
      <c r="C3497" t="s">
        <v>5</v>
      </c>
      <c r="D3497">
        <v>1560600</v>
      </c>
    </row>
    <row r="3498" spans="1:4" x14ac:dyDescent="0.2">
      <c r="A3498">
        <v>1997</v>
      </c>
      <c r="B3498" s="1" t="s">
        <v>24</v>
      </c>
      <c r="C3498" t="s">
        <v>12</v>
      </c>
      <c r="D3498">
        <v>1945200</v>
      </c>
    </row>
    <row r="3499" spans="1:4" x14ac:dyDescent="0.2">
      <c r="A3499">
        <v>1997</v>
      </c>
      <c r="B3499" s="1" t="s">
        <v>24</v>
      </c>
      <c r="C3499" t="s">
        <v>13</v>
      </c>
      <c r="D3499">
        <v>2087900</v>
      </c>
    </row>
    <row r="3500" spans="1:4" x14ac:dyDescent="0.2">
      <c r="A3500">
        <v>1997</v>
      </c>
      <c r="B3500" s="1" t="s">
        <v>24</v>
      </c>
      <c r="C3500" t="s">
        <v>14</v>
      </c>
      <c r="D3500">
        <v>1903400</v>
      </c>
    </row>
    <row r="3501" spans="1:4" x14ac:dyDescent="0.2">
      <c r="A3501">
        <v>1997</v>
      </c>
      <c r="B3501" s="1" t="s">
        <v>24</v>
      </c>
      <c r="C3501" t="s">
        <v>15</v>
      </c>
      <c r="D3501">
        <v>1695600</v>
      </c>
    </row>
    <row r="3502" spans="1:4" x14ac:dyDescent="0.2">
      <c r="A3502">
        <v>1997</v>
      </c>
      <c r="B3502" s="1" t="s">
        <v>24</v>
      </c>
      <c r="C3502" t="s">
        <v>16</v>
      </c>
      <c r="D3502">
        <v>1744400</v>
      </c>
    </row>
    <row r="3503" spans="1:4" x14ac:dyDescent="0.2">
      <c r="A3503">
        <v>1997</v>
      </c>
      <c r="B3503" s="1" t="s">
        <v>24</v>
      </c>
      <c r="C3503" t="s">
        <v>17</v>
      </c>
      <c r="D3503">
        <v>1672600</v>
      </c>
    </row>
    <row r="3504" spans="1:4" x14ac:dyDescent="0.2">
      <c r="A3504">
        <v>1997</v>
      </c>
      <c r="B3504" s="1" t="s">
        <v>24</v>
      </c>
      <c r="C3504" t="s">
        <v>18</v>
      </c>
      <c r="D3504">
        <v>1340100</v>
      </c>
    </row>
    <row r="3505" spans="1:4" x14ac:dyDescent="0.2">
      <c r="A3505">
        <v>1997</v>
      </c>
      <c r="B3505" s="1" t="s">
        <v>24</v>
      </c>
      <c r="C3505" t="s">
        <v>19</v>
      </c>
      <c r="D3505">
        <v>1256600</v>
      </c>
    </row>
    <row r="3506" spans="1:4" x14ac:dyDescent="0.2">
      <c r="A3506">
        <v>1997</v>
      </c>
      <c r="B3506" s="1" t="s">
        <v>24</v>
      </c>
      <c r="C3506" t="s">
        <v>20</v>
      </c>
      <c r="D3506">
        <v>1230300</v>
      </c>
    </row>
    <row r="3507" spans="1:4" x14ac:dyDescent="0.2">
      <c r="A3507">
        <v>1997</v>
      </c>
      <c r="B3507" s="1" t="s">
        <v>24</v>
      </c>
      <c r="C3507" t="s">
        <v>21</v>
      </c>
      <c r="D3507">
        <v>1168600</v>
      </c>
    </row>
    <row r="3508" spans="1:4" x14ac:dyDescent="0.2">
      <c r="A3508">
        <v>1997</v>
      </c>
      <c r="B3508" s="1" t="s">
        <v>24</v>
      </c>
      <c r="C3508" t="s">
        <v>22</v>
      </c>
      <c r="D3508">
        <v>1015000</v>
      </c>
    </row>
    <row r="3509" spans="1:4" x14ac:dyDescent="0.2">
      <c r="A3509">
        <v>1997</v>
      </c>
      <c r="B3509" s="1" t="s">
        <v>24</v>
      </c>
      <c r="C3509" t="s">
        <v>23</v>
      </c>
      <c r="D3509">
        <v>736900</v>
      </c>
    </row>
    <row r="3510" spans="1:4" x14ac:dyDescent="0.2">
      <c r="A3510">
        <v>1997</v>
      </c>
      <c r="B3510" s="1" t="s">
        <v>24</v>
      </c>
      <c r="C3510" t="s">
        <v>31</v>
      </c>
      <c r="D3510">
        <v>694300</v>
      </c>
    </row>
    <row r="3511" spans="1:4" x14ac:dyDescent="0.2">
      <c r="A3511">
        <v>1997</v>
      </c>
      <c r="B3511" s="1" t="s">
        <v>25</v>
      </c>
      <c r="C3511" s="1" t="s">
        <v>29</v>
      </c>
      <c r="D3511">
        <v>332900</v>
      </c>
    </row>
    <row r="3512" spans="1:4" x14ac:dyDescent="0.2">
      <c r="A3512">
        <v>1997</v>
      </c>
      <c r="B3512" s="1" t="s">
        <v>25</v>
      </c>
      <c r="C3512" s="2" t="s">
        <v>26</v>
      </c>
      <c r="D3512">
        <v>1340500</v>
      </c>
    </row>
    <row r="3513" spans="1:4" x14ac:dyDescent="0.2">
      <c r="A3513">
        <v>1997</v>
      </c>
      <c r="B3513" s="1" t="s">
        <v>25</v>
      </c>
      <c r="C3513" s="2" t="s">
        <v>27</v>
      </c>
      <c r="D3513">
        <v>1760200</v>
      </c>
    </row>
    <row r="3514" spans="1:4" x14ac:dyDescent="0.2">
      <c r="A3514">
        <v>1997</v>
      </c>
      <c r="B3514" s="1" t="s">
        <v>25</v>
      </c>
      <c r="C3514" s="3" t="s">
        <v>28</v>
      </c>
      <c r="D3514">
        <v>1666600</v>
      </c>
    </row>
    <row r="3515" spans="1:4" x14ac:dyDescent="0.2">
      <c r="A3515">
        <v>1997</v>
      </c>
      <c r="B3515" s="1" t="s">
        <v>25</v>
      </c>
      <c r="C3515" t="s">
        <v>4</v>
      </c>
      <c r="D3515">
        <v>1576700</v>
      </c>
    </row>
    <row r="3516" spans="1:4" x14ac:dyDescent="0.2">
      <c r="A3516">
        <v>1997</v>
      </c>
      <c r="B3516" s="1" t="s">
        <v>25</v>
      </c>
      <c r="C3516" t="s">
        <v>5</v>
      </c>
      <c r="D3516">
        <v>1580200</v>
      </c>
    </row>
    <row r="3517" spans="1:4" x14ac:dyDescent="0.2">
      <c r="A3517">
        <v>1997</v>
      </c>
      <c r="B3517" s="1" t="s">
        <v>25</v>
      </c>
      <c r="C3517" t="s">
        <v>12</v>
      </c>
      <c r="D3517">
        <v>1931900</v>
      </c>
    </row>
    <row r="3518" spans="1:4" x14ac:dyDescent="0.2">
      <c r="A3518">
        <v>1997</v>
      </c>
      <c r="B3518" s="1" t="s">
        <v>25</v>
      </c>
      <c r="C3518" t="s">
        <v>13</v>
      </c>
      <c r="D3518">
        <v>2063500</v>
      </c>
    </row>
    <row r="3519" spans="1:4" x14ac:dyDescent="0.2">
      <c r="A3519">
        <v>1997</v>
      </c>
      <c r="B3519" s="1" t="s">
        <v>25</v>
      </c>
      <c r="C3519" t="s">
        <v>14</v>
      </c>
      <c r="D3519">
        <v>1879900</v>
      </c>
    </row>
    <row r="3520" spans="1:4" x14ac:dyDescent="0.2">
      <c r="A3520">
        <v>1997</v>
      </c>
      <c r="B3520" s="1" t="s">
        <v>25</v>
      </c>
      <c r="C3520" t="s">
        <v>15</v>
      </c>
      <c r="D3520">
        <v>1675700</v>
      </c>
    </row>
    <row r="3521" spans="1:4" x14ac:dyDescent="0.2">
      <c r="A3521">
        <v>1997</v>
      </c>
      <c r="B3521" s="1" t="s">
        <v>25</v>
      </c>
      <c r="C3521" t="s">
        <v>16</v>
      </c>
      <c r="D3521">
        <v>1723400</v>
      </c>
    </row>
    <row r="3522" spans="1:4" x14ac:dyDescent="0.2">
      <c r="A3522">
        <v>1997</v>
      </c>
      <c r="B3522" s="1" t="s">
        <v>25</v>
      </c>
      <c r="C3522" t="s">
        <v>17</v>
      </c>
      <c r="D3522">
        <v>1659900</v>
      </c>
    </row>
    <row r="3523" spans="1:4" x14ac:dyDescent="0.2">
      <c r="A3523">
        <v>1997</v>
      </c>
      <c r="B3523" s="1" t="s">
        <v>25</v>
      </c>
      <c r="C3523" t="s">
        <v>18</v>
      </c>
      <c r="D3523">
        <v>1317800</v>
      </c>
    </row>
    <row r="3524" spans="1:4" x14ac:dyDescent="0.2">
      <c r="A3524">
        <v>1997</v>
      </c>
      <c r="B3524" s="1" t="s">
        <v>25</v>
      </c>
      <c r="C3524" t="s">
        <v>19</v>
      </c>
      <c r="D3524">
        <v>1212500</v>
      </c>
    </row>
    <row r="3525" spans="1:4" x14ac:dyDescent="0.2">
      <c r="A3525">
        <v>1997</v>
      </c>
      <c r="B3525" s="1" t="s">
        <v>25</v>
      </c>
      <c r="C3525" t="s">
        <v>20</v>
      </c>
      <c r="D3525">
        <v>1104400</v>
      </c>
    </row>
    <row r="3526" spans="1:4" x14ac:dyDescent="0.2">
      <c r="A3526">
        <v>1997</v>
      </c>
      <c r="B3526" s="1" t="s">
        <v>25</v>
      </c>
      <c r="C3526" t="s">
        <v>21</v>
      </c>
      <c r="D3526">
        <v>942800</v>
      </c>
    </row>
    <row r="3527" spans="1:4" x14ac:dyDescent="0.2">
      <c r="A3527">
        <v>1997</v>
      </c>
      <c r="B3527" s="1" t="s">
        <v>25</v>
      </c>
      <c r="C3527" t="s">
        <v>22</v>
      </c>
      <c r="D3527">
        <v>695100</v>
      </c>
    </row>
    <row r="3528" spans="1:4" x14ac:dyDescent="0.2">
      <c r="A3528">
        <v>1997</v>
      </c>
      <c r="B3528" s="1" t="s">
        <v>25</v>
      </c>
      <c r="C3528" t="s">
        <v>23</v>
      </c>
      <c r="D3528">
        <v>399900</v>
      </c>
    </row>
    <row r="3529" spans="1:4" x14ac:dyDescent="0.2">
      <c r="A3529">
        <v>1997</v>
      </c>
      <c r="B3529" s="1" t="s">
        <v>25</v>
      </c>
      <c r="C3529" t="s">
        <v>31</v>
      </c>
      <c r="D3529">
        <v>249300</v>
      </c>
    </row>
    <row r="3530" spans="1:4" x14ac:dyDescent="0.2">
      <c r="A3530">
        <v>1998</v>
      </c>
      <c r="B3530" s="1" t="s">
        <v>24</v>
      </c>
      <c r="C3530" s="1" t="s">
        <v>29</v>
      </c>
      <c r="D3530">
        <v>308000</v>
      </c>
    </row>
    <row r="3531" spans="1:4" x14ac:dyDescent="0.2">
      <c r="A3531">
        <v>1998</v>
      </c>
      <c r="B3531" s="1" t="s">
        <v>24</v>
      </c>
      <c r="C3531" s="2" t="s">
        <v>26</v>
      </c>
      <c r="D3531">
        <v>1263600</v>
      </c>
    </row>
    <row r="3532" spans="1:4" x14ac:dyDescent="0.2">
      <c r="A3532">
        <v>1998</v>
      </c>
      <c r="B3532" s="1" t="s">
        <v>24</v>
      </c>
      <c r="C3532" s="2" t="s">
        <v>27</v>
      </c>
      <c r="D3532">
        <v>1670700</v>
      </c>
    </row>
    <row r="3533" spans="1:4" x14ac:dyDescent="0.2">
      <c r="A3533">
        <v>1998</v>
      </c>
      <c r="B3533" s="1" t="s">
        <v>24</v>
      </c>
      <c r="C3533" s="3" t="s">
        <v>28</v>
      </c>
      <c r="D3533">
        <v>1618800</v>
      </c>
    </row>
    <row r="3534" spans="1:4" x14ac:dyDescent="0.2">
      <c r="A3534">
        <v>1998</v>
      </c>
      <c r="B3534" s="1" t="s">
        <v>24</v>
      </c>
      <c r="C3534" t="s">
        <v>4</v>
      </c>
      <c r="D3534">
        <v>1560700</v>
      </c>
    </row>
    <row r="3535" spans="1:4" x14ac:dyDescent="0.2">
      <c r="A3535">
        <v>1998</v>
      </c>
      <c r="B3535" s="1" t="s">
        <v>24</v>
      </c>
      <c r="C3535" t="s">
        <v>5</v>
      </c>
      <c r="D3535">
        <v>1516700</v>
      </c>
    </row>
    <row r="3536" spans="1:4" x14ac:dyDescent="0.2">
      <c r="A3536">
        <v>1998</v>
      </c>
      <c r="B3536" s="1" t="s">
        <v>24</v>
      </c>
      <c r="C3536" t="s">
        <v>12</v>
      </c>
      <c r="D3536">
        <v>1902300</v>
      </c>
    </row>
    <row r="3537" spans="1:4" x14ac:dyDescent="0.2">
      <c r="A3537">
        <v>1998</v>
      </c>
      <c r="B3537" s="1" t="s">
        <v>24</v>
      </c>
      <c r="C3537" t="s">
        <v>13</v>
      </c>
      <c r="D3537">
        <v>2080700</v>
      </c>
    </row>
    <row r="3538" spans="1:4" x14ac:dyDescent="0.2">
      <c r="A3538">
        <v>1998</v>
      </c>
      <c r="B3538" s="1" t="s">
        <v>24</v>
      </c>
      <c r="C3538" t="s">
        <v>14</v>
      </c>
      <c r="D3538">
        <v>1951900</v>
      </c>
    </row>
    <row r="3539" spans="1:4" x14ac:dyDescent="0.2">
      <c r="A3539">
        <v>1998</v>
      </c>
      <c r="B3539" s="1" t="s">
        <v>24</v>
      </c>
      <c r="C3539" t="s">
        <v>15</v>
      </c>
      <c r="D3539">
        <v>1725000</v>
      </c>
    </row>
    <row r="3540" spans="1:4" x14ac:dyDescent="0.2">
      <c r="A3540">
        <v>1998</v>
      </c>
      <c r="B3540" s="1" t="s">
        <v>24</v>
      </c>
      <c r="C3540" t="s">
        <v>16</v>
      </c>
      <c r="D3540">
        <v>1693200</v>
      </c>
    </row>
    <row r="3541" spans="1:4" x14ac:dyDescent="0.2">
      <c r="A3541">
        <v>1998</v>
      </c>
      <c r="B3541" s="1" t="s">
        <v>24</v>
      </c>
      <c r="C3541" t="s">
        <v>17</v>
      </c>
      <c r="D3541">
        <v>1747000</v>
      </c>
    </row>
    <row r="3542" spans="1:4" x14ac:dyDescent="0.2">
      <c r="A3542">
        <v>1998</v>
      </c>
      <c r="B3542" s="1" t="s">
        <v>24</v>
      </c>
      <c r="C3542" t="s">
        <v>18</v>
      </c>
      <c r="D3542">
        <v>1367500</v>
      </c>
    </row>
    <row r="3543" spans="1:4" x14ac:dyDescent="0.2">
      <c r="A3543">
        <v>1998</v>
      </c>
      <c r="B3543" s="1" t="s">
        <v>24</v>
      </c>
      <c r="C3543" t="s">
        <v>19</v>
      </c>
      <c r="D3543">
        <v>1272400</v>
      </c>
    </row>
    <row r="3544" spans="1:4" x14ac:dyDescent="0.2">
      <c r="A3544">
        <v>1998</v>
      </c>
      <c r="B3544" s="1" t="s">
        <v>24</v>
      </c>
      <c r="C3544" t="s">
        <v>20</v>
      </c>
      <c r="D3544">
        <v>1220500</v>
      </c>
    </row>
    <row r="3545" spans="1:4" x14ac:dyDescent="0.2">
      <c r="A3545">
        <v>1998</v>
      </c>
      <c r="B3545" s="1" t="s">
        <v>24</v>
      </c>
      <c r="C3545" t="s">
        <v>21</v>
      </c>
      <c r="D3545">
        <v>1149600</v>
      </c>
    </row>
    <row r="3546" spans="1:4" x14ac:dyDescent="0.2">
      <c r="A3546">
        <v>1998</v>
      </c>
      <c r="B3546" s="1" t="s">
        <v>24</v>
      </c>
      <c r="C3546" t="s">
        <v>22</v>
      </c>
      <c r="D3546">
        <v>1059700</v>
      </c>
    </row>
    <row r="3547" spans="1:4" x14ac:dyDescent="0.2">
      <c r="A3547">
        <v>1998</v>
      </c>
      <c r="B3547" s="1" t="s">
        <v>24</v>
      </c>
      <c r="C3547" t="s">
        <v>23</v>
      </c>
      <c r="D3547">
        <v>699900</v>
      </c>
    </row>
    <row r="3548" spans="1:4" x14ac:dyDescent="0.2">
      <c r="A3548">
        <v>1998</v>
      </c>
      <c r="B3548" s="1" t="s">
        <v>24</v>
      </c>
      <c r="C3548" t="s">
        <v>31</v>
      </c>
      <c r="D3548">
        <v>711200</v>
      </c>
    </row>
    <row r="3549" spans="1:4" x14ac:dyDescent="0.2">
      <c r="A3549">
        <v>1998</v>
      </c>
      <c r="B3549" s="1" t="s">
        <v>25</v>
      </c>
      <c r="C3549" s="1" t="s">
        <v>29</v>
      </c>
      <c r="D3549">
        <v>323400</v>
      </c>
    </row>
    <row r="3550" spans="1:4" x14ac:dyDescent="0.2">
      <c r="A3550">
        <v>1998</v>
      </c>
      <c r="B3550" s="1" t="s">
        <v>25</v>
      </c>
      <c r="C3550" s="2" t="s">
        <v>26</v>
      </c>
      <c r="D3550">
        <v>1330600</v>
      </c>
    </row>
    <row r="3551" spans="1:4" x14ac:dyDescent="0.2">
      <c r="A3551">
        <v>1998</v>
      </c>
      <c r="B3551" s="1" t="s">
        <v>25</v>
      </c>
      <c r="C3551" s="2" t="s">
        <v>27</v>
      </c>
      <c r="D3551">
        <v>1752200</v>
      </c>
    </row>
    <row r="3552" spans="1:4" x14ac:dyDescent="0.2">
      <c r="A3552">
        <v>1998</v>
      </c>
      <c r="B3552" s="1" t="s">
        <v>25</v>
      </c>
      <c r="C3552" s="3" t="s">
        <v>28</v>
      </c>
      <c r="D3552">
        <v>1698700</v>
      </c>
    </row>
    <row r="3553" spans="1:4" x14ac:dyDescent="0.2">
      <c r="A3553">
        <v>1998</v>
      </c>
      <c r="B3553" s="1" t="s">
        <v>25</v>
      </c>
      <c r="C3553" t="s">
        <v>4</v>
      </c>
      <c r="D3553">
        <v>1604200</v>
      </c>
    </row>
    <row r="3554" spans="1:4" x14ac:dyDescent="0.2">
      <c r="A3554">
        <v>1998</v>
      </c>
      <c r="B3554" s="1" t="s">
        <v>25</v>
      </c>
      <c r="C3554" t="s">
        <v>5</v>
      </c>
      <c r="D3554">
        <v>1530300</v>
      </c>
    </row>
    <row r="3555" spans="1:4" x14ac:dyDescent="0.2">
      <c r="A3555">
        <v>1998</v>
      </c>
      <c r="B3555" s="1" t="s">
        <v>25</v>
      </c>
      <c r="C3555" t="s">
        <v>12</v>
      </c>
      <c r="D3555">
        <v>1886600</v>
      </c>
    </row>
    <row r="3556" spans="1:4" x14ac:dyDescent="0.2">
      <c r="A3556">
        <v>1998</v>
      </c>
      <c r="B3556" s="1" t="s">
        <v>25</v>
      </c>
      <c r="C3556" t="s">
        <v>13</v>
      </c>
      <c r="D3556">
        <v>2055700</v>
      </c>
    </row>
    <row r="3557" spans="1:4" x14ac:dyDescent="0.2">
      <c r="A3557">
        <v>1998</v>
      </c>
      <c r="B3557" s="1" t="s">
        <v>25</v>
      </c>
      <c r="C3557" t="s">
        <v>14</v>
      </c>
      <c r="D3557">
        <v>1924200</v>
      </c>
    </row>
    <row r="3558" spans="1:4" x14ac:dyDescent="0.2">
      <c r="A3558">
        <v>1998</v>
      </c>
      <c r="B3558" s="1" t="s">
        <v>25</v>
      </c>
      <c r="C3558" t="s">
        <v>15</v>
      </c>
      <c r="D3558">
        <v>1703200</v>
      </c>
    </row>
    <row r="3559" spans="1:4" x14ac:dyDescent="0.2">
      <c r="A3559">
        <v>1998</v>
      </c>
      <c r="B3559" s="1" t="s">
        <v>25</v>
      </c>
      <c r="C3559" t="s">
        <v>16</v>
      </c>
      <c r="D3559">
        <v>1671400</v>
      </c>
    </row>
    <row r="3560" spans="1:4" x14ac:dyDescent="0.2">
      <c r="A3560">
        <v>1998</v>
      </c>
      <c r="B3560" s="1" t="s">
        <v>25</v>
      </c>
      <c r="C3560" t="s">
        <v>17</v>
      </c>
      <c r="D3560">
        <v>1729000</v>
      </c>
    </row>
    <row r="3561" spans="1:4" x14ac:dyDescent="0.2">
      <c r="A3561">
        <v>1998</v>
      </c>
      <c r="B3561" s="1" t="s">
        <v>25</v>
      </c>
      <c r="C3561" t="s">
        <v>18</v>
      </c>
      <c r="D3561">
        <v>1343500</v>
      </c>
    </row>
    <row r="3562" spans="1:4" x14ac:dyDescent="0.2">
      <c r="A3562">
        <v>1998</v>
      </c>
      <c r="B3562" s="1" t="s">
        <v>25</v>
      </c>
      <c r="C3562" t="s">
        <v>19</v>
      </c>
      <c r="D3562">
        <v>1230500</v>
      </c>
    </row>
    <row r="3563" spans="1:4" x14ac:dyDescent="0.2">
      <c r="A3563">
        <v>1998</v>
      </c>
      <c r="B3563" s="1" t="s">
        <v>25</v>
      </c>
      <c r="C3563" t="s">
        <v>20</v>
      </c>
      <c r="D3563">
        <v>1102600</v>
      </c>
    </row>
    <row r="3564" spans="1:4" x14ac:dyDescent="0.2">
      <c r="A3564">
        <v>1998</v>
      </c>
      <c r="B3564" s="1" t="s">
        <v>25</v>
      </c>
      <c r="C3564" t="s">
        <v>21</v>
      </c>
      <c r="D3564">
        <v>938600</v>
      </c>
    </row>
    <row r="3565" spans="1:4" x14ac:dyDescent="0.2">
      <c r="A3565">
        <v>1998</v>
      </c>
      <c r="B3565" s="1" t="s">
        <v>25</v>
      </c>
      <c r="C3565" t="s">
        <v>22</v>
      </c>
      <c r="D3565">
        <v>732400</v>
      </c>
    </row>
    <row r="3566" spans="1:4" x14ac:dyDescent="0.2">
      <c r="A3566">
        <v>1998</v>
      </c>
      <c r="B3566" s="1" t="s">
        <v>25</v>
      </c>
      <c r="C3566" t="s">
        <v>23</v>
      </c>
      <c r="D3566">
        <v>383100</v>
      </c>
    </row>
    <row r="3567" spans="1:4" x14ac:dyDescent="0.2">
      <c r="A3567">
        <v>1998</v>
      </c>
      <c r="B3567" s="1" t="s">
        <v>25</v>
      </c>
      <c r="C3567" t="s">
        <v>31</v>
      </c>
      <c r="D3567">
        <v>260500</v>
      </c>
    </row>
    <row r="3568" spans="1:4" x14ac:dyDescent="0.2">
      <c r="A3568">
        <v>1999</v>
      </c>
      <c r="B3568" s="1" t="s">
        <v>24</v>
      </c>
      <c r="C3568" s="1" t="s">
        <v>29</v>
      </c>
      <c r="D3568">
        <v>304500</v>
      </c>
    </row>
    <row r="3569" spans="1:4" x14ac:dyDescent="0.2">
      <c r="A3569">
        <v>1999</v>
      </c>
      <c r="B3569" s="1" t="s">
        <v>24</v>
      </c>
      <c r="C3569" s="2" t="s">
        <v>26</v>
      </c>
      <c r="D3569">
        <v>1251100</v>
      </c>
    </row>
    <row r="3570" spans="1:4" x14ac:dyDescent="0.2">
      <c r="A3570">
        <v>1999</v>
      </c>
      <c r="B3570" s="1" t="s">
        <v>24</v>
      </c>
      <c r="C3570" s="2" t="s">
        <v>27</v>
      </c>
      <c r="D3570">
        <v>1663600</v>
      </c>
    </row>
    <row r="3571" spans="1:4" x14ac:dyDescent="0.2">
      <c r="A3571">
        <v>1999</v>
      </c>
      <c r="B3571" s="1" t="s">
        <v>24</v>
      </c>
      <c r="C3571" s="3" t="s">
        <v>28</v>
      </c>
      <c r="D3571">
        <v>1644400</v>
      </c>
    </row>
    <row r="3572" spans="1:4" x14ac:dyDescent="0.2">
      <c r="A3572">
        <v>1999</v>
      </c>
      <c r="B3572" s="1" t="s">
        <v>24</v>
      </c>
      <c r="C3572" t="s">
        <v>4</v>
      </c>
      <c r="D3572">
        <v>1566600</v>
      </c>
    </row>
    <row r="3573" spans="1:4" x14ac:dyDescent="0.2">
      <c r="A3573">
        <v>1999</v>
      </c>
      <c r="B3573" s="1" t="s">
        <v>24</v>
      </c>
      <c r="C3573" t="s">
        <v>5</v>
      </c>
      <c r="D3573">
        <v>1516900</v>
      </c>
    </row>
    <row r="3574" spans="1:4" x14ac:dyDescent="0.2">
      <c r="A3574">
        <v>1999</v>
      </c>
      <c r="B3574" s="1" t="s">
        <v>24</v>
      </c>
      <c r="C3574" t="s">
        <v>12</v>
      </c>
      <c r="D3574">
        <v>1850900</v>
      </c>
    </row>
    <row r="3575" spans="1:4" x14ac:dyDescent="0.2">
      <c r="A3575">
        <v>1999</v>
      </c>
      <c r="B3575" s="1" t="s">
        <v>24</v>
      </c>
      <c r="C3575" t="s">
        <v>13</v>
      </c>
      <c r="D3575">
        <v>2069200</v>
      </c>
    </row>
    <row r="3576" spans="1:4" x14ac:dyDescent="0.2">
      <c r="A3576">
        <v>1999</v>
      </c>
      <c r="B3576" s="1" t="s">
        <v>24</v>
      </c>
      <c r="C3576" t="s">
        <v>14</v>
      </c>
      <c r="D3576">
        <v>2004000</v>
      </c>
    </row>
    <row r="3577" spans="1:4" x14ac:dyDescent="0.2">
      <c r="A3577">
        <v>1999</v>
      </c>
      <c r="B3577" s="1" t="s">
        <v>24</v>
      </c>
      <c r="C3577" t="s">
        <v>15</v>
      </c>
      <c r="D3577">
        <v>1759100</v>
      </c>
    </row>
    <row r="3578" spans="1:4" x14ac:dyDescent="0.2">
      <c r="A3578">
        <v>1999</v>
      </c>
      <c r="B3578" s="1" t="s">
        <v>24</v>
      </c>
      <c r="C3578" t="s">
        <v>16</v>
      </c>
      <c r="D3578">
        <v>1673900</v>
      </c>
    </row>
    <row r="3579" spans="1:4" x14ac:dyDescent="0.2">
      <c r="A3579">
        <v>1999</v>
      </c>
      <c r="B3579" s="1" t="s">
        <v>24</v>
      </c>
      <c r="C3579" t="s">
        <v>17</v>
      </c>
      <c r="D3579">
        <v>1781900</v>
      </c>
    </row>
    <row r="3580" spans="1:4" x14ac:dyDescent="0.2">
      <c r="A3580">
        <v>1999</v>
      </c>
      <c r="B3580" s="1" t="s">
        <v>24</v>
      </c>
      <c r="C3580" t="s">
        <v>18</v>
      </c>
      <c r="D3580">
        <v>1407000</v>
      </c>
    </row>
    <row r="3581" spans="1:4" x14ac:dyDescent="0.2">
      <c r="A3581">
        <v>1999</v>
      </c>
      <c r="B3581" s="1" t="s">
        <v>24</v>
      </c>
      <c r="C3581" t="s">
        <v>19</v>
      </c>
      <c r="D3581">
        <v>1292100</v>
      </c>
    </row>
    <row r="3582" spans="1:4" x14ac:dyDescent="0.2">
      <c r="A3582">
        <v>1999</v>
      </c>
      <c r="B3582" s="1" t="s">
        <v>24</v>
      </c>
      <c r="C3582" t="s">
        <v>20</v>
      </c>
      <c r="D3582">
        <v>1206700</v>
      </c>
    </row>
    <row r="3583" spans="1:4" x14ac:dyDescent="0.2">
      <c r="A3583">
        <v>1999</v>
      </c>
      <c r="B3583" s="1" t="s">
        <v>24</v>
      </c>
      <c r="C3583" t="s">
        <v>21</v>
      </c>
      <c r="D3583">
        <v>1138000</v>
      </c>
    </row>
    <row r="3584" spans="1:4" x14ac:dyDescent="0.2">
      <c r="A3584">
        <v>1999</v>
      </c>
      <c r="B3584" s="1" t="s">
        <v>24</v>
      </c>
      <c r="C3584" t="s">
        <v>22</v>
      </c>
      <c r="D3584">
        <v>1084100</v>
      </c>
    </row>
    <row r="3585" spans="1:4" x14ac:dyDescent="0.2">
      <c r="A3585">
        <v>1999</v>
      </c>
      <c r="B3585" s="1" t="s">
        <v>24</v>
      </c>
      <c r="C3585" t="s">
        <v>23</v>
      </c>
      <c r="D3585">
        <v>675000</v>
      </c>
    </row>
    <row r="3586" spans="1:4" x14ac:dyDescent="0.2">
      <c r="A3586">
        <v>1999</v>
      </c>
      <c r="B3586" s="1" t="s">
        <v>24</v>
      </c>
      <c r="C3586" t="s">
        <v>31</v>
      </c>
      <c r="D3586">
        <v>721100</v>
      </c>
    </row>
    <row r="3587" spans="1:4" x14ac:dyDescent="0.2">
      <c r="A3587">
        <v>1999</v>
      </c>
      <c r="B3587" s="1" t="s">
        <v>25</v>
      </c>
      <c r="C3587" s="1" t="s">
        <v>29</v>
      </c>
      <c r="D3587">
        <v>320600</v>
      </c>
    </row>
    <row r="3588" spans="1:4" x14ac:dyDescent="0.2">
      <c r="A3588">
        <v>1999</v>
      </c>
      <c r="B3588" s="1" t="s">
        <v>25</v>
      </c>
      <c r="C3588" s="2" t="s">
        <v>26</v>
      </c>
      <c r="D3588">
        <v>1315100</v>
      </c>
    </row>
    <row r="3589" spans="1:4" x14ac:dyDescent="0.2">
      <c r="A3589">
        <v>1999</v>
      </c>
      <c r="B3589" s="1" t="s">
        <v>25</v>
      </c>
      <c r="C3589" s="2" t="s">
        <v>27</v>
      </c>
      <c r="D3589">
        <v>1747100</v>
      </c>
    </row>
    <row r="3590" spans="1:4" x14ac:dyDescent="0.2">
      <c r="A3590">
        <v>1999</v>
      </c>
      <c r="B3590" s="1" t="s">
        <v>25</v>
      </c>
      <c r="C3590" s="3" t="s">
        <v>28</v>
      </c>
      <c r="D3590">
        <v>1724100</v>
      </c>
    </row>
    <row r="3591" spans="1:4" x14ac:dyDescent="0.2">
      <c r="A3591">
        <v>1999</v>
      </c>
      <c r="B3591" s="1" t="s">
        <v>25</v>
      </c>
      <c r="C3591" t="s">
        <v>4</v>
      </c>
      <c r="D3591">
        <v>1614500</v>
      </c>
    </row>
    <row r="3592" spans="1:4" x14ac:dyDescent="0.2">
      <c r="A3592">
        <v>1999</v>
      </c>
      <c r="B3592" s="1" t="s">
        <v>25</v>
      </c>
      <c r="C3592" t="s">
        <v>5</v>
      </c>
      <c r="D3592">
        <v>1530000</v>
      </c>
    </row>
    <row r="3593" spans="1:4" x14ac:dyDescent="0.2">
      <c r="A3593">
        <v>1999</v>
      </c>
      <c r="B3593" s="1" t="s">
        <v>25</v>
      </c>
      <c r="C3593" t="s">
        <v>12</v>
      </c>
      <c r="D3593">
        <v>1836100</v>
      </c>
    </row>
    <row r="3594" spans="1:4" x14ac:dyDescent="0.2">
      <c r="A3594">
        <v>1999</v>
      </c>
      <c r="B3594" s="1" t="s">
        <v>25</v>
      </c>
      <c r="C3594" t="s">
        <v>13</v>
      </c>
      <c r="D3594">
        <v>2044200</v>
      </c>
    </row>
    <row r="3595" spans="1:4" x14ac:dyDescent="0.2">
      <c r="A3595">
        <v>1999</v>
      </c>
      <c r="B3595" s="1" t="s">
        <v>25</v>
      </c>
      <c r="C3595" t="s">
        <v>14</v>
      </c>
      <c r="D3595">
        <v>1974000</v>
      </c>
    </row>
    <row r="3596" spans="1:4" x14ac:dyDescent="0.2">
      <c r="A3596">
        <v>1999</v>
      </c>
      <c r="B3596" s="1" t="s">
        <v>25</v>
      </c>
      <c r="C3596" t="s">
        <v>15</v>
      </c>
      <c r="D3596">
        <v>1737400</v>
      </c>
    </row>
    <row r="3597" spans="1:4" x14ac:dyDescent="0.2">
      <c r="A3597">
        <v>1999</v>
      </c>
      <c r="B3597" s="1" t="s">
        <v>25</v>
      </c>
      <c r="C3597" t="s">
        <v>16</v>
      </c>
      <c r="D3597">
        <v>1649700</v>
      </c>
    </row>
    <row r="3598" spans="1:4" x14ac:dyDescent="0.2">
      <c r="A3598">
        <v>1999</v>
      </c>
      <c r="B3598" s="1" t="s">
        <v>25</v>
      </c>
      <c r="C3598" t="s">
        <v>17</v>
      </c>
      <c r="D3598">
        <v>1760500</v>
      </c>
    </row>
    <row r="3599" spans="1:4" x14ac:dyDescent="0.2">
      <c r="A3599">
        <v>1999</v>
      </c>
      <c r="B3599" s="1" t="s">
        <v>25</v>
      </c>
      <c r="C3599" t="s">
        <v>18</v>
      </c>
      <c r="D3599">
        <v>1383000</v>
      </c>
    </row>
    <row r="3600" spans="1:4" x14ac:dyDescent="0.2">
      <c r="A3600">
        <v>1999</v>
      </c>
      <c r="B3600" s="1" t="s">
        <v>25</v>
      </c>
      <c r="C3600" t="s">
        <v>19</v>
      </c>
      <c r="D3600">
        <v>1249900</v>
      </c>
    </row>
    <row r="3601" spans="1:4" x14ac:dyDescent="0.2">
      <c r="A3601">
        <v>1999</v>
      </c>
      <c r="B3601" s="1" t="s">
        <v>25</v>
      </c>
      <c r="C3601" t="s">
        <v>20</v>
      </c>
      <c r="D3601">
        <v>1098800</v>
      </c>
    </row>
    <row r="3602" spans="1:4" x14ac:dyDescent="0.2">
      <c r="A3602">
        <v>1999</v>
      </c>
      <c r="B3602" s="1" t="s">
        <v>25</v>
      </c>
      <c r="C3602" t="s">
        <v>21</v>
      </c>
      <c r="D3602">
        <v>937500</v>
      </c>
    </row>
    <row r="3603" spans="1:4" x14ac:dyDescent="0.2">
      <c r="A3603">
        <v>1999</v>
      </c>
      <c r="B3603" s="1" t="s">
        <v>25</v>
      </c>
      <c r="C3603" t="s">
        <v>22</v>
      </c>
      <c r="D3603">
        <v>755400</v>
      </c>
    </row>
    <row r="3604" spans="1:4" x14ac:dyDescent="0.2">
      <c r="A3604">
        <v>1999</v>
      </c>
      <c r="B3604" s="1" t="s">
        <v>25</v>
      </c>
      <c r="C3604" t="s">
        <v>23</v>
      </c>
      <c r="D3604">
        <v>376300</v>
      </c>
    </row>
    <row r="3605" spans="1:4" x14ac:dyDescent="0.2">
      <c r="A3605">
        <v>1999</v>
      </c>
      <c r="B3605" s="1" t="s">
        <v>25</v>
      </c>
      <c r="C3605" t="s">
        <v>31</v>
      </c>
      <c r="D3605">
        <v>269300</v>
      </c>
    </row>
    <row r="3606" spans="1:4" x14ac:dyDescent="0.2">
      <c r="A3606">
        <v>2000</v>
      </c>
      <c r="B3606" s="1" t="s">
        <v>24</v>
      </c>
      <c r="C3606" s="1" t="s">
        <v>29</v>
      </c>
      <c r="D3606">
        <v>296000</v>
      </c>
    </row>
    <row r="3607" spans="1:4" x14ac:dyDescent="0.2">
      <c r="A3607">
        <v>2000</v>
      </c>
      <c r="B3607" s="1" t="s">
        <v>24</v>
      </c>
      <c r="C3607" s="2" t="s">
        <v>26</v>
      </c>
      <c r="D3607">
        <v>1241300</v>
      </c>
    </row>
    <row r="3608" spans="1:4" x14ac:dyDescent="0.2">
      <c r="A3608">
        <v>2000</v>
      </c>
      <c r="B3608" s="1" t="s">
        <v>24</v>
      </c>
      <c r="C3608" s="2" t="s">
        <v>27</v>
      </c>
      <c r="D3608">
        <v>1639700</v>
      </c>
    </row>
    <row r="3609" spans="1:4" x14ac:dyDescent="0.2">
      <c r="A3609">
        <v>2000</v>
      </c>
      <c r="B3609" s="1" t="s">
        <v>24</v>
      </c>
      <c r="C3609" s="3" t="s">
        <v>28</v>
      </c>
      <c r="D3609">
        <v>1655800</v>
      </c>
    </row>
    <row r="3610" spans="1:4" x14ac:dyDescent="0.2">
      <c r="A3610">
        <v>2000</v>
      </c>
      <c r="B3610" s="1" t="s">
        <v>24</v>
      </c>
      <c r="C3610" t="s">
        <v>4</v>
      </c>
      <c r="D3610">
        <v>1562700</v>
      </c>
    </row>
    <row r="3611" spans="1:4" x14ac:dyDescent="0.2">
      <c r="A3611">
        <v>2000</v>
      </c>
      <c r="B3611" s="1" t="s">
        <v>24</v>
      </c>
      <c r="C3611" t="s">
        <v>5</v>
      </c>
      <c r="D3611">
        <v>1540000</v>
      </c>
    </row>
    <row r="3612" spans="1:4" x14ac:dyDescent="0.2">
      <c r="A3612">
        <v>2000</v>
      </c>
      <c r="B3612" s="1" t="s">
        <v>24</v>
      </c>
      <c r="C3612" t="s">
        <v>12</v>
      </c>
      <c r="D3612">
        <v>1809900</v>
      </c>
    </row>
    <row r="3613" spans="1:4" x14ac:dyDescent="0.2">
      <c r="A3613">
        <v>2000</v>
      </c>
      <c r="B3613" s="1" t="s">
        <v>24</v>
      </c>
      <c r="C3613" t="s">
        <v>13</v>
      </c>
      <c r="D3613">
        <v>2049300</v>
      </c>
    </row>
    <row r="3614" spans="1:4" x14ac:dyDescent="0.2">
      <c r="A3614">
        <v>2000</v>
      </c>
      <c r="B3614" s="1" t="s">
        <v>24</v>
      </c>
      <c r="C3614" t="s">
        <v>14</v>
      </c>
      <c r="D3614">
        <v>2053700</v>
      </c>
    </row>
    <row r="3615" spans="1:4" x14ac:dyDescent="0.2">
      <c r="A3615">
        <v>2000</v>
      </c>
      <c r="B3615" s="1" t="s">
        <v>24</v>
      </c>
      <c r="C3615" t="s">
        <v>15</v>
      </c>
      <c r="D3615">
        <v>1805200</v>
      </c>
    </row>
    <row r="3616" spans="1:4" x14ac:dyDescent="0.2">
      <c r="A3616">
        <v>2000</v>
      </c>
      <c r="B3616" s="1" t="s">
        <v>24</v>
      </c>
      <c r="C3616" t="s">
        <v>16</v>
      </c>
      <c r="D3616">
        <v>1664600</v>
      </c>
    </row>
    <row r="3617" spans="1:4" x14ac:dyDescent="0.2">
      <c r="A3617">
        <v>2000</v>
      </c>
      <c r="B3617" s="1" t="s">
        <v>24</v>
      </c>
      <c r="C3617" t="s">
        <v>17</v>
      </c>
      <c r="D3617">
        <v>1803400</v>
      </c>
    </row>
    <row r="3618" spans="1:4" x14ac:dyDescent="0.2">
      <c r="A3618">
        <v>2000</v>
      </c>
      <c r="B3618" s="1" t="s">
        <v>24</v>
      </c>
      <c r="C3618" t="s">
        <v>18</v>
      </c>
      <c r="D3618">
        <v>1454500</v>
      </c>
    </row>
    <row r="3619" spans="1:4" x14ac:dyDescent="0.2">
      <c r="A3619">
        <v>2000</v>
      </c>
      <c r="B3619" s="1" t="s">
        <v>24</v>
      </c>
      <c r="C3619" t="s">
        <v>19</v>
      </c>
      <c r="D3619">
        <v>1304400</v>
      </c>
    </row>
    <row r="3620" spans="1:4" x14ac:dyDescent="0.2">
      <c r="A3620">
        <v>2000</v>
      </c>
      <c r="B3620" s="1" t="s">
        <v>24</v>
      </c>
      <c r="C3620" t="s">
        <v>20</v>
      </c>
      <c r="D3620">
        <v>1198100</v>
      </c>
    </row>
    <row r="3621" spans="1:4" x14ac:dyDescent="0.2">
      <c r="A3621">
        <v>2000</v>
      </c>
      <c r="B3621" s="1" t="s">
        <v>24</v>
      </c>
      <c r="C3621" t="s">
        <v>21</v>
      </c>
      <c r="D3621">
        <v>1134000</v>
      </c>
    </row>
    <row r="3622" spans="1:4" x14ac:dyDescent="0.2">
      <c r="A3622">
        <v>2000</v>
      </c>
      <c r="B3622" s="1" t="s">
        <v>24</v>
      </c>
      <c r="C3622" t="s">
        <v>22</v>
      </c>
      <c r="D3622">
        <v>1049800</v>
      </c>
    </row>
    <row r="3623" spans="1:4" x14ac:dyDescent="0.2">
      <c r="A3623">
        <v>2000</v>
      </c>
      <c r="B3623" s="1" t="s">
        <v>24</v>
      </c>
      <c r="C3623" t="s">
        <v>23</v>
      </c>
      <c r="D3623">
        <v>708500</v>
      </c>
    </row>
    <row r="3624" spans="1:4" x14ac:dyDescent="0.2">
      <c r="A3624">
        <v>2000</v>
      </c>
      <c r="B3624" s="1" t="s">
        <v>24</v>
      </c>
      <c r="C3624" t="s">
        <v>31</v>
      </c>
      <c r="D3624">
        <v>731000</v>
      </c>
    </row>
    <row r="3625" spans="1:4" x14ac:dyDescent="0.2">
      <c r="A3625">
        <v>2000</v>
      </c>
      <c r="B3625" s="1" t="s">
        <v>25</v>
      </c>
      <c r="C3625" s="1" t="s">
        <v>29</v>
      </c>
      <c r="D3625">
        <v>310700</v>
      </c>
    </row>
    <row r="3626" spans="1:4" x14ac:dyDescent="0.2">
      <c r="A3626">
        <v>2000</v>
      </c>
      <c r="B3626" s="1" t="s">
        <v>25</v>
      </c>
      <c r="C3626" s="2" t="s">
        <v>26</v>
      </c>
      <c r="D3626">
        <v>1302600</v>
      </c>
    </row>
    <row r="3627" spans="1:4" x14ac:dyDescent="0.2">
      <c r="A3627">
        <v>2000</v>
      </c>
      <c r="B3627" s="1" t="s">
        <v>25</v>
      </c>
      <c r="C3627" s="2" t="s">
        <v>27</v>
      </c>
      <c r="D3627">
        <v>1725300</v>
      </c>
    </row>
    <row r="3628" spans="1:4" x14ac:dyDescent="0.2">
      <c r="A3628">
        <v>2000</v>
      </c>
      <c r="B3628" s="1" t="s">
        <v>25</v>
      </c>
      <c r="C3628" s="3" t="s">
        <v>28</v>
      </c>
      <c r="D3628">
        <v>1736600</v>
      </c>
    </row>
    <row r="3629" spans="1:4" x14ac:dyDescent="0.2">
      <c r="A3629">
        <v>2000</v>
      </c>
      <c r="B3629" s="1" t="s">
        <v>25</v>
      </c>
      <c r="C3629" t="s">
        <v>4</v>
      </c>
      <c r="D3629">
        <v>1624100</v>
      </c>
    </row>
    <row r="3630" spans="1:4" x14ac:dyDescent="0.2">
      <c r="A3630">
        <v>2000</v>
      </c>
      <c r="B3630" s="1" t="s">
        <v>25</v>
      </c>
      <c r="C3630" t="s">
        <v>5</v>
      </c>
      <c r="D3630">
        <v>1547800</v>
      </c>
    </row>
    <row r="3631" spans="1:4" x14ac:dyDescent="0.2">
      <c r="A3631">
        <v>2000</v>
      </c>
      <c r="B3631" s="1" t="s">
        <v>25</v>
      </c>
      <c r="C3631" t="s">
        <v>12</v>
      </c>
      <c r="D3631">
        <v>1795600</v>
      </c>
    </row>
    <row r="3632" spans="1:4" x14ac:dyDescent="0.2">
      <c r="A3632">
        <v>2000</v>
      </c>
      <c r="B3632" s="1" t="s">
        <v>25</v>
      </c>
      <c r="C3632" t="s">
        <v>13</v>
      </c>
      <c r="D3632">
        <v>2027100</v>
      </c>
    </row>
    <row r="3633" spans="1:4" x14ac:dyDescent="0.2">
      <c r="A3633">
        <v>2000</v>
      </c>
      <c r="B3633" s="1" t="s">
        <v>25</v>
      </c>
      <c r="C3633" t="s">
        <v>14</v>
      </c>
      <c r="D3633">
        <v>2019100</v>
      </c>
    </row>
    <row r="3634" spans="1:4" x14ac:dyDescent="0.2">
      <c r="A3634">
        <v>2000</v>
      </c>
      <c r="B3634" s="1" t="s">
        <v>25</v>
      </c>
      <c r="C3634" t="s">
        <v>15</v>
      </c>
      <c r="D3634">
        <v>1782700</v>
      </c>
    </row>
    <row r="3635" spans="1:4" x14ac:dyDescent="0.2">
      <c r="A3635">
        <v>2000</v>
      </c>
      <c r="B3635" s="1" t="s">
        <v>25</v>
      </c>
      <c r="C3635" t="s">
        <v>16</v>
      </c>
      <c r="D3635">
        <v>1636900</v>
      </c>
    </row>
    <row r="3636" spans="1:4" x14ac:dyDescent="0.2">
      <c r="A3636">
        <v>2000</v>
      </c>
      <c r="B3636" s="1" t="s">
        <v>25</v>
      </c>
      <c r="C3636" t="s">
        <v>17</v>
      </c>
      <c r="D3636">
        <v>1775900</v>
      </c>
    </row>
    <row r="3637" spans="1:4" x14ac:dyDescent="0.2">
      <c r="A3637">
        <v>2000</v>
      </c>
      <c r="B3637" s="1" t="s">
        <v>25</v>
      </c>
      <c r="C3637" t="s">
        <v>18</v>
      </c>
      <c r="D3637">
        <v>1428700</v>
      </c>
    </row>
    <row r="3638" spans="1:4" x14ac:dyDescent="0.2">
      <c r="A3638">
        <v>2000</v>
      </c>
      <c r="B3638" s="1" t="s">
        <v>25</v>
      </c>
      <c r="C3638" t="s">
        <v>19</v>
      </c>
      <c r="D3638">
        <v>1259200</v>
      </c>
    </row>
    <row r="3639" spans="1:4" x14ac:dyDescent="0.2">
      <c r="A3639">
        <v>2000</v>
      </c>
      <c r="B3639" s="1" t="s">
        <v>25</v>
      </c>
      <c r="C3639" t="s">
        <v>20</v>
      </c>
      <c r="D3639">
        <v>1099700</v>
      </c>
    </row>
    <row r="3640" spans="1:4" x14ac:dyDescent="0.2">
      <c r="A3640">
        <v>2000</v>
      </c>
      <c r="B3640" s="1" t="s">
        <v>25</v>
      </c>
      <c r="C3640" t="s">
        <v>21</v>
      </c>
      <c r="D3640">
        <v>940500</v>
      </c>
    </row>
    <row r="3641" spans="1:4" x14ac:dyDescent="0.2">
      <c r="A3641">
        <v>2000</v>
      </c>
      <c r="B3641" s="1" t="s">
        <v>25</v>
      </c>
      <c r="C3641" t="s">
        <v>22</v>
      </c>
      <c r="D3641">
        <v>740900</v>
      </c>
    </row>
    <row r="3642" spans="1:4" x14ac:dyDescent="0.2">
      <c r="A3642">
        <v>2000</v>
      </c>
      <c r="B3642" s="1" t="s">
        <v>25</v>
      </c>
      <c r="C3642" t="s">
        <v>23</v>
      </c>
      <c r="D3642">
        <v>407600</v>
      </c>
    </row>
    <row r="3643" spans="1:4" x14ac:dyDescent="0.2">
      <c r="A3643">
        <v>2000</v>
      </c>
      <c r="B3643" s="1" t="s">
        <v>25</v>
      </c>
      <c r="C3643" t="s">
        <v>31</v>
      </c>
      <c r="D3643">
        <v>277000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Sheet1</vt:lpstr>
      <vt:lpstr>Sheet2</vt:lpstr>
      <vt:lpstr>POPLNS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daviept</dc:creator>
  <cp:lastModifiedBy>Paul Golder</cp:lastModifiedBy>
  <dcterms:created xsi:type="dcterms:W3CDTF">2011-03-04T11:29:59Z</dcterms:created>
  <dcterms:modified xsi:type="dcterms:W3CDTF">2025-11-19T18:43:06Z</dcterms:modified>
</cp:coreProperties>
</file>